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Solvent Effect Study/"/>
    </mc:Choice>
  </mc:AlternateContent>
  <xr:revisionPtr revIDLastSave="34" documentId="8_{A4C92D34-0084-4BBC-A002-9AA29E50763B}" xr6:coauthVersionLast="47" xr6:coauthVersionMax="47" xr10:uidLastSave="{061FC11C-C412-4640-9C78-5B80B79826D1}"/>
  <bookViews>
    <workbookView xWindow="28680" yWindow="-120" windowWidth="29040" windowHeight="15720" activeTab="1" xr2:uid="{DD27474C-0324-408A-856E-7B7A146548CB}"/>
  </bookViews>
  <sheets>
    <sheet name="Sheet1" sheetId="1" r:id="rId1"/>
    <sheet name="Sheet1 (2)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K3" i="2" s="1"/>
  <c r="D4" i="2"/>
  <c r="K4" i="2" s="1"/>
  <c r="D5" i="2"/>
  <c r="K5" i="2" s="1"/>
  <c r="D6" i="2"/>
  <c r="D7" i="2"/>
  <c r="D8" i="2"/>
  <c r="D9" i="2"/>
  <c r="D10" i="2"/>
  <c r="D11" i="2"/>
  <c r="D12" i="2"/>
  <c r="D13" i="2"/>
  <c r="K13" i="2" s="1"/>
  <c r="D2" i="2"/>
  <c r="C3" i="2"/>
  <c r="C4" i="2"/>
  <c r="C5" i="2"/>
  <c r="C6" i="2"/>
  <c r="C7" i="2"/>
  <c r="C8" i="2"/>
  <c r="C9" i="2"/>
  <c r="K9" i="2" s="1"/>
  <c r="C10" i="2"/>
  <c r="C11" i="2"/>
  <c r="C12" i="2"/>
  <c r="C13" i="2"/>
  <c r="C2" i="2"/>
  <c r="K2" i="2" s="1"/>
  <c r="J12" i="2"/>
  <c r="J11" i="2"/>
  <c r="J10" i="2"/>
  <c r="J9" i="2"/>
  <c r="K8" i="2"/>
  <c r="J8" i="2"/>
  <c r="K7" i="2"/>
  <c r="J7" i="2"/>
  <c r="K6" i="2"/>
  <c r="J6" i="2"/>
  <c r="J2" i="2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J3" i="2" l="1"/>
  <c r="J13" i="2"/>
  <c r="J4" i="2"/>
  <c r="J5" i="2"/>
  <c r="K12" i="2"/>
  <c r="K11" i="2"/>
  <c r="K10" i="2"/>
</calcChain>
</file>

<file path=xl/sharedStrings.xml><?xml version="1.0" encoding="utf-8"?>
<sst xmlns="http://schemas.openxmlformats.org/spreadsheetml/2006/main" count="70" uniqueCount="35">
  <si>
    <t>Dataset</t>
  </si>
  <si>
    <t>Solvent</t>
  </si>
  <si>
    <t>Kk2 / M-1s-1</t>
  </si>
  <si>
    <t>Kk3 / M-2s-1</t>
  </si>
  <si>
    <t>KI / mM</t>
  </si>
  <si>
    <t>R2_A</t>
  </si>
  <si>
    <t>R2_P</t>
  </si>
  <si>
    <t>RMSE_A</t>
  </si>
  <si>
    <t>RMSE_P</t>
  </si>
  <si>
    <t>Kk2+Kk3</t>
  </si>
  <si>
    <t>k3/k2</t>
  </si>
  <si>
    <t>DMSO</t>
  </si>
  <si>
    <t>MeCN</t>
  </si>
  <si>
    <t>DMF</t>
  </si>
  <si>
    <t>NMP</t>
  </si>
  <si>
    <t>DMA</t>
  </si>
  <si>
    <t>EtOAc</t>
  </si>
  <si>
    <t>3-Pentanone</t>
  </si>
  <si>
    <t>tBuOH</t>
  </si>
  <si>
    <t>IPA</t>
  </si>
  <si>
    <t>2-Me-THF</t>
  </si>
  <si>
    <t>1,4-Dioxane</t>
  </si>
  <si>
    <t>EtOH</t>
  </si>
  <si>
    <t>C1_E3</t>
  </si>
  <si>
    <t>C4_E1a and C4_E1b</t>
  </si>
  <si>
    <t>C4_E2</t>
  </si>
  <si>
    <t>C4_E3</t>
  </si>
  <si>
    <t>C4_E4</t>
  </si>
  <si>
    <t>C4_E5</t>
  </si>
  <si>
    <t>C4_E6</t>
  </si>
  <si>
    <t>C4_E8</t>
  </si>
  <si>
    <t>C4_E7</t>
  </si>
  <si>
    <t>C4_E9</t>
  </si>
  <si>
    <t>C4_E10</t>
  </si>
  <si>
    <t>C4_E11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</si>
</sst>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'[1]Results (2)'!$E$1</c:f>
              <c:strCache>
                <c:ptCount val="1"/>
                <c:pt idx="0">
                  <c:v>KI / mM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'[1]Results (2)'!$B$2:$B$13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'[1]Results (2)'!$E$2:$E$13</c:f>
              <c:numCache>
                <c:formatCode>General</c:formatCode>
                <c:ptCount val="12"/>
                <c:pt idx="0">
                  <c:v>5.9099599999999999E-4</c:v>
                </c:pt>
                <c:pt idx="1">
                  <c:v>5.6338824379342962E-3</c:v>
                </c:pt>
                <c:pt idx="2">
                  <c:v>4.2357761837448092E-4</c:v>
                </c:pt>
                <c:pt idx="3">
                  <c:v>3.3541926259262499E-4</c:v>
                </c:pt>
                <c:pt idx="4">
                  <c:v>5.6897136658055859E-4</c:v>
                </c:pt>
                <c:pt idx="5">
                  <c:v>2.2807726558288712E-3</c:v>
                </c:pt>
                <c:pt idx="6">
                  <c:v>1.619356E-3</c:v>
                </c:pt>
                <c:pt idx="7">
                  <c:v>1.31609526680313E-4</c:v>
                </c:pt>
                <c:pt idx="8">
                  <c:v>1.000000000000001E-6</c:v>
                </c:pt>
                <c:pt idx="9">
                  <c:v>5.6534910793114594E-4</c:v>
                </c:pt>
                <c:pt idx="10">
                  <c:v>1.5387643821277929E-3</c:v>
                </c:pt>
                <c:pt idx="11">
                  <c:v>1.7329184745870009E-3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4-4B1B-A35E-09EB904E1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0731151"/>
        <c:axId val="1860736431"/>
      </c:barChart>
      <c:catAx>
        <c:axId val="186073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36431"/>
        <c:crosses val="autoZero"/>
        <c:auto val="1"/>
        <c:lblAlgn val="ctr"/>
        <c:lblOffset val="100"/>
        <c:noMultiLvlLbl val="0"/>
      </c:catAx>
      <c:valAx>
        <c:axId val="186073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3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Effect of solvent on</a:t>
            </a:r>
            <a:r>
              <a:rPr lang="en-GB" sz="1600" b="1" baseline="0"/>
              <a:t> Kk</a:t>
            </a:r>
            <a:r>
              <a:rPr lang="en-GB" sz="1600" b="1" baseline="-25000"/>
              <a:t>2</a:t>
            </a:r>
            <a:r>
              <a:rPr lang="en-GB" sz="1600" b="1" baseline="0"/>
              <a:t> and Kk</a:t>
            </a:r>
            <a:r>
              <a:rPr lang="en-GB" sz="1600" b="1" baseline="-25000"/>
              <a:t>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Kk2 / M-1s-1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Sheet1!$C$2:$C$13</c:f>
              <c:numCache>
                <c:formatCode>0.000000</c:formatCode>
                <c:ptCount val="12"/>
                <c:pt idx="0">
                  <c:v>1.61326698932E-3</c:v>
                </c:pt>
                <c:pt idx="1">
                  <c:v>5.4724869079745533E-4</c:v>
                </c:pt>
                <c:pt idx="2">
                  <c:v>4.9096798745839015E-4</c:v>
                </c:pt>
                <c:pt idx="3">
                  <c:v>6.3659296497026359E-4</c:v>
                </c:pt>
                <c:pt idx="4">
                  <c:v>4.2600894981987392E-4</c:v>
                </c:pt>
                <c:pt idx="5">
                  <c:v>1.8167333970976683E-4</c:v>
                </c:pt>
                <c:pt idx="6">
                  <c:v>3.0600006119999999E-5</c:v>
                </c:pt>
                <c:pt idx="7">
                  <c:v>1.7646563164764743E-4</c:v>
                </c:pt>
                <c:pt idx="8">
                  <c:v>1.7049735560165498E-4</c:v>
                </c:pt>
                <c:pt idx="9">
                  <c:v>8.307485172708335E-5</c:v>
                </c:pt>
                <c:pt idx="10">
                  <c:v>8.2773799920147836E-5</c:v>
                </c:pt>
                <c:pt idx="11">
                  <c:v>1.6640140785724217E-4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03-4523-8B7E-32CD2DF9B16A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Sheet1!$L$2:$L$13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8503-4523-8B7E-32CD2DF9B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3265136"/>
        <c:axId val="1733265616"/>
      </c:barChart>
      <c:barChart>
        <c:barDir val="col"/>
        <c:grouping val="clustered"/>
        <c:varyColors val="0"/>
        <c:ser>
          <c:idx val="2"/>
          <c:order val="2"/>
          <c:tx>
            <c:strRef>
              <c:f>Sheet1!$M$1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Sheet1!$M$2:$M$13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8503-4523-8B7E-32CD2DF9B16A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Kk3 / M-2s-1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Sheet1!$D$2:$D$13</c:f>
              <c:numCache>
                <c:formatCode>0.000000</c:formatCode>
                <c:ptCount val="12"/>
                <c:pt idx="0">
                  <c:v>1.3899994440000001E-2</c:v>
                </c:pt>
                <c:pt idx="1">
                  <c:v>2.3980982959157748E-2</c:v>
                </c:pt>
                <c:pt idx="2">
                  <c:v>1.4682417788109263E-2</c:v>
                </c:pt>
                <c:pt idx="3">
                  <c:v>4.4893250090235004E-3</c:v>
                </c:pt>
                <c:pt idx="4">
                  <c:v>5.9902531405718667E-3</c:v>
                </c:pt>
                <c:pt idx="5">
                  <c:v>1.3487079998705141E-3</c:v>
                </c:pt>
                <c:pt idx="6">
                  <c:v>4.2666649600000004E-3</c:v>
                </c:pt>
                <c:pt idx="7">
                  <c:v>7.3598890390527585E-4</c:v>
                </c:pt>
                <c:pt idx="8">
                  <c:v>7.61149472757592E-4</c:v>
                </c:pt>
                <c:pt idx="9">
                  <c:v>1.1675923976045114E-3</c:v>
                </c:pt>
                <c:pt idx="10">
                  <c:v>1.1161998558846303E-3</c:v>
                </c:pt>
                <c:pt idx="11">
                  <c:v>4.5073099591591499E-4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3-4523-8B7E-32CD2DF9B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9795104"/>
        <c:axId val="2049809024"/>
      </c:barChart>
      <c:catAx>
        <c:axId val="173326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265616"/>
        <c:crosses val="autoZero"/>
        <c:auto val="1"/>
        <c:lblAlgn val="ctr"/>
        <c:lblOffset val="100"/>
        <c:noMultiLvlLbl val="0"/>
      </c:catAx>
      <c:valAx>
        <c:axId val="173326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rgbClr val="002060"/>
                    </a:solidFill>
                  </a:rPr>
                  <a:t>Kk</a:t>
                </a:r>
                <a:r>
                  <a:rPr lang="en-GB" b="1" baseline="-25000">
                    <a:solidFill>
                      <a:srgbClr val="002060"/>
                    </a:solidFill>
                  </a:rPr>
                  <a:t>2</a:t>
                </a:r>
                <a:r>
                  <a:rPr lang="en-GB" b="1">
                    <a:solidFill>
                      <a:srgbClr val="002060"/>
                    </a:solidFill>
                  </a:rPr>
                  <a:t> / M</a:t>
                </a:r>
                <a:r>
                  <a:rPr lang="en-GB" b="1" baseline="30000">
                    <a:solidFill>
                      <a:srgbClr val="002060"/>
                    </a:solidFill>
                  </a:rPr>
                  <a:t>-1</a:t>
                </a:r>
                <a:r>
                  <a:rPr lang="en-GB" b="1">
                    <a:solidFill>
                      <a:srgbClr val="002060"/>
                    </a:solidFill>
                  </a:rPr>
                  <a:t>s</a:t>
                </a:r>
                <a:r>
                  <a:rPr lang="en-GB" b="1" baseline="30000">
                    <a:solidFill>
                      <a:srgbClr val="002060"/>
                    </a:solidFill>
                  </a:rPr>
                  <a:t>-1</a:t>
                </a:r>
              </a:p>
            </c:rich>
          </c:tx>
          <c:layout>
            <c:manualLayout>
              <c:xMode val="edge"/>
              <c:yMode val="edge"/>
              <c:x val="2.87401350252009E-2"/>
              <c:y val="0.32190142025058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265136"/>
        <c:crosses val="autoZero"/>
        <c:crossBetween val="between"/>
      </c:valAx>
      <c:valAx>
        <c:axId val="2049809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accent4"/>
                    </a:solidFill>
                  </a:rPr>
                  <a:t>Kk</a:t>
                </a:r>
                <a:r>
                  <a:rPr lang="en-GB" b="1" baseline="-25000">
                    <a:solidFill>
                      <a:schemeClr val="accent4"/>
                    </a:solidFill>
                  </a:rPr>
                  <a:t>3</a:t>
                </a:r>
                <a:r>
                  <a:rPr lang="en-GB" b="1">
                    <a:solidFill>
                      <a:schemeClr val="accent4"/>
                    </a:solidFill>
                  </a:rPr>
                  <a:t> / M</a:t>
                </a:r>
                <a:r>
                  <a:rPr lang="en-GB" b="1" baseline="30000">
                    <a:solidFill>
                      <a:schemeClr val="accent4"/>
                    </a:solidFill>
                  </a:rPr>
                  <a:t>-2</a:t>
                </a:r>
                <a:r>
                  <a:rPr lang="en-GB" b="1">
                    <a:solidFill>
                      <a:schemeClr val="accent4"/>
                    </a:solidFill>
                  </a:rPr>
                  <a:t>s</a:t>
                </a:r>
                <a:r>
                  <a:rPr lang="en-GB" b="1" baseline="30000">
                    <a:solidFill>
                      <a:schemeClr val="accent4"/>
                    </a:solidFill>
                  </a:rPr>
                  <a:t>-1</a:t>
                </a:r>
                <a:r>
                  <a:rPr lang="en-GB" b="1">
                    <a:solidFill>
                      <a:schemeClr val="accent4"/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795104"/>
        <c:crosses val="max"/>
        <c:crossBetween val="between"/>
      </c:valAx>
      <c:catAx>
        <c:axId val="2049795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980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0724948438391425"/>
          <c:y val="0.8989573481459322"/>
          <c:w val="0.36712281340250902"/>
          <c:h val="5.8556631857441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Effect of solvent on</a:t>
            </a:r>
            <a:r>
              <a:rPr lang="en-GB" sz="1600" b="1" baseline="0"/>
              <a:t> Kk</a:t>
            </a:r>
            <a:r>
              <a:rPr lang="en-GB" sz="1600" b="1" baseline="-25000"/>
              <a:t>2</a:t>
            </a:r>
            <a:r>
              <a:rPr lang="en-GB" sz="1600" b="1" baseline="0"/>
              <a:t> and Kk</a:t>
            </a:r>
            <a:r>
              <a:rPr lang="en-GB" sz="1600" b="1" baseline="-25000"/>
              <a:t>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Kk2 / M-1s-1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Sheet1!$C$2:$C$13</c:f>
              <c:numCache>
                <c:formatCode>0.000000</c:formatCode>
                <c:ptCount val="12"/>
                <c:pt idx="0">
                  <c:v>1.61326698932E-3</c:v>
                </c:pt>
                <c:pt idx="1">
                  <c:v>5.4724869079745533E-4</c:v>
                </c:pt>
                <c:pt idx="2">
                  <c:v>4.9096798745839015E-4</c:v>
                </c:pt>
                <c:pt idx="3">
                  <c:v>6.3659296497026359E-4</c:v>
                </c:pt>
                <c:pt idx="4">
                  <c:v>4.2600894981987392E-4</c:v>
                </c:pt>
                <c:pt idx="5">
                  <c:v>1.8167333970976683E-4</c:v>
                </c:pt>
                <c:pt idx="6">
                  <c:v>3.0600006119999999E-5</c:v>
                </c:pt>
                <c:pt idx="7">
                  <c:v>1.7646563164764743E-4</c:v>
                </c:pt>
                <c:pt idx="8">
                  <c:v>1.7049735560165498E-4</c:v>
                </c:pt>
                <c:pt idx="9">
                  <c:v>8.307485172708335E-5</c:v>
                </c:pt>
                <c:pt idx="10">
                  <c:v>8.2773799920147836E-5</c:v>
                </c:pt>
                <c:pt idx="11">
                  <c:v>1.6640140785724217E-4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B-471C-9EFE-52D3C6B124BF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Sheet1!$L$2:$L$13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454B-471C-9EFE-52D3C6B12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3265136"/>
        <c:axId val="1733265616"/>
      </c:barChart>
      <c:barChart>
        <c:barDir val="col"/>
        <c:grouping val="clustered"/>
        <c:varyColors val="0"/>
        <c:ser>
          <c:idx val="2"/>
          <c:order val="2"/>
          <c:tx>
            <c:strRef>
              <c:f>Sheet1!$M$1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Sheet1!$M$2:$M$13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454B-471C-9EFE-52D3C6B124BF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Kk3 / M-2s-1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Sheet1!$D$2:$D$13</c:f>
              <c:numCache>
                <c:formatCode>0.000000</c:formatCode>
                <c:ptCount val="12"/>
                <c:pt idx="0">
                  <c:v>1.3899994440000001E-2</c:v>
                </c:pt>
                <c:pt idx="1">
                  <c:v>2.3980982959157748E-2</c:v>
                </c:pt>
                <c:pt idx="2">
                  <c:v>1.4682417788109263E-2</c:v>
                </c:pt>
                <c:pt idx="3">
                  <c:v>4.4893250090235004E-3</c:v>
                </c:pt>
                <c:pt idx="4">
                  <c:v>5.9902531405718667E-3</c:v>
                </c:pt>
                <c:pt idx="5">
                  <c:v>1.3487079998705141E-3</c:v>
                </c:pt>
                <c:pt idx="6">
                  <c:v>4.2666649600000004E-3</c:v>
                </c:pt>
                <c:pt idx="7">
                  <c:v>7.3598890390527585E-4</c:v>
                </c:pt>
                <c:pt idx="8">
                  <c:v>7.61149472757592E-4</c:v>
                </c:pt>
                <c:pt idx="9">
                  <c:v>1.1675923976045114E-3</c:v>
                </c:pt>
                <c:pt idx="10">
                  <c:v>1.1161998558846303E-3</c:v>
                </c:pt>
                <c:pt idx="11">
                  <c:v>4.5073099591591499E-4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4B-471C-9EFE-52D3C6B12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9795104"/>
        <c:axId val="2049809024"/>
      </c:barChart>
      <c:catAx>
        <c:axId val="173326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265616"/>
        <c:crosses val="autoZero"/>
        <c:auto val="1"/>
        <c:lblAlgn val="ctr"/>
        <c:lblOffset val="100"/>
        <c:noMultiLvlLbl val="0"/>
      </c:catAx>
      <c:valAx>
        <c:axId val="173326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rgbClr val="002060"/>
                    </a:solidFill>
                  </a:rPr>
                  <a:t>Kk</a:t>
                </a:r>
                <a:r>
                  <a:rPr lang="en-GB" b="1" baseline="-25000">
                    <a:solidFill>
                      <a:srgbClr val="002060"/>
                    </a:solidFill>
                  </a:rPr>
                  <a:t>2</a:t>
                </a:r>
                <a:r>
                  <a:rPr lang="en-GB" b="1">
                    <a:solidFill>
                      <a:srgbClr val="002060"/>
                    </a:solidFill>
                  </a:rPr>
                  <a:t> / M</a:t>
                </a:r>
                <a:r>
                  <a:rPr lang="en-GB" b="1" baseline="30000">
                    <a:solidFill>
                      <a:srgbClr val="002060"/>
                    </a:solidFill>
                  </a:rPr>
                  <a:t>-1</a:t>
                </a:r>
                <a:r>
                  <a:rPr lang="en-GB" b="1">
                    <a:solidFill>
                      <a:srgbClr val="002060"/>
                    </a:solidFill>
                  </a:rPr>
                  <a:t>s</a:t>
                </a:r>
                <a:r>
                  <a:rPr lang="en-GB" b="1" baseline="30000">
                    <a:solidFill>
                      <a:srgbClr val="002060"/>
                    </a:solidFill>
                  </a:rPr>
                  <a:t>-1</a:t>
                </a:r>
              </a:p>
            </c:rich>
          </c:tx>
          <c:layout>
            <c:manualLayout>
              <c:xMode val="edge"/>
              <c:yMode val="edge"/>
              <c:x val="2.87401350252009E-2"/>
              <c:y val="0.32190142025058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265136"/>
        <c:crosses val="autoZero"/>
        <c:crossBetween val="between"/>
      </c:valAx>
      <c:valAx>
        <c:axId val="2049809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accent4"/>
                    </a:solidFill>
                  </a:rPr>
                  <a:t>Kk</a:t>
                </a:r>
                <a:r>
                  <a:rPr lang="en-GB" b="1" baseline="-25000">
                    <a:solidFill>
                      <a:schemeClr val="accent4"/>
                    </a:solidFill>
                  </a:rPr>
                  <a:t>3</a:t>
                </a:r>
                <a:r>
                  <a:rPr lang="en-GB" b="1">
                    <a:solidFill>
                      <a:schemeClr val="accent4"/>
                    </a:solidFill>
                  </a:rPr>
                  <a:t> / M</a:t>
                </a:r>
                <a:r>
                  <a:rPr lang="en-GB" b="1" baseline="30000">
                    <a:solidFill>
                      <a:schemeClr val="accent4"/>
                    </a:solidFill>
                  </a:rPr>
                  <a:t>-2</a:t>
                </a:r>
                <a:r>
                  <a:rPr lang="en-GB" b="1">
                    <a:solidFill>
                      <a:schemeClr val="accent4"/>
                    </a:solidFill>
                  </a:rPr>
                  <a:t>s</a:t>
                </a:r>
                <a:r>
                  <a:rPr lang="en-GB" b="1" baseline="30000">
                    <a:solidFill>
                      <a:schemeClr val="accent4"/>
                    </a:solidFill>
                  </a:rPr>
                  <a:t>-1</a:t>
                </a:r>
                <a:r>
                  <a:rPr lang="en-GB" b="1">
                    <a:solidFill>
                      <a:schemeClr val="accent4"/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0.80928853538923406"/>
              <c:y val="0.3476938132975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795104"/>
        <c:crosses val="max"/>
        <c:crossBetween val="between"/>
      </c:valAx>
      <c:catAx>
        <c:axId val="2049795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980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0724948438391425"/>
          <c:y val="0.8989573481459322"/>
          <c:w val="0.36712281340250902"/>
          <c:h val="5.8556631857441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'[1]Results (2)'!$E$1</c:f>
              <c:strCache>
                <c:ptCount val="1"/>
                <c:pt idx="0">
                  <c:v>KI / mM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'[1]Results (2)'!$B$2:$B$13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'[1]Results (2)'!$E$2:$E$13</c:f>
              <c:numCache>
                <c:formatCode>General</c:formatCode>
                <c:ptCount val="12"/>
                <c:pt idx="0">
                  <c:v>5.9099599999999999E-4</c:v>
                </c:pt>
                <c:pt idx="1">
                  <c:v>5.6338824379342962E-3</c:v>
                </c:pt>
                <c:pt idx="2">
                  <c:v>4.2357761837448092E-4</c:v>
                </c:pt>
                <c:pt idx="3">
                  <c:v>3.3541926259262499E-4</c:v>
                </c:pt>
                <c:pt idx="4">
                  <c:v>5.6897136658055859E-4</c:v>
                </c:pt>
                <c:pt idx="5">
                  <c:v>2.2807726558288712E-3</c:v>
                </c:pt>
                <c:pt idx="6">
                  <c:v>1.619356E-3</c:v>
                </c:pt>
                <c:pt idx="7">
                  <c:v>1.31609526680313E-4</c:v>
                </c:pt>
                <c:pt idx="8">
                  <c:v>1.000000000000001E-6</c:v>
                </c:pt>
                <c:pt idx="9">
                  <c:v>5.6534910793114594E-4</c:v>
                </c:pt>
                <c:pt idx="10">
                  <c:v>1.5387643821277929E-3</c:v>
                </c:pt>
                <c:pt idx="11">
                  <c:v>1.7329184745870009E-3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B-4F17-BC2E-3061224B7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0731151"/>
        <c:axId val="1860736431"/>
      </c:barChart>
      <c:catAx>
        <c:axId val="186073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36431"/>
        <c:crosses val="autoZero"/>
        <c:auto val="1"/>
        <c:lblAlgn val="ctr"/>
        <c:lblOffset val="100"/>
        <c:noMultiLvlLbl val="0"/>
      </c:catAx>
      <c:valAx>
        <c:axId val="186073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3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Effect of solvent on</a:t>
            </a:r>
            <a:r>
              <a:rPr lang="en-GB" sz="1600" b="1" baseline="0"/>
              <a:t> Kk</a:t>
            </a:r>
            <a:r>
              <a:rPr lang="en-GB" sz="1600" b="1" baseline="-25000"/>
              <a:t>2</a:t>
            </a:r>
            <a:r>
              <a:rPr lang="en-GB" sz="1600" b="1" baseline="0"/>
              <a:t> and Kk</a:t>
            </a:r>
            <a:r>
              <a:rPr lang="en-GB" sz="1600" b="1" baseline="-25000"/>
              <a:t>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(2)'!$C$1</c:f>
              <c:strCache>
                <c:ptCount val="1"/>
                <c:pt idx="0">
                  <c:v>Kk2 / M-1s-1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'Sheet1 (2)'!$B$2:$B$13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'Sheet1 (2)'!$C$2:$C$13</c:f>
              <c:numCache>
                <c:formatCode>0.000000</c:formatCode>
                <c:ptCount val="12"/>
                <c:pt idx="0">
                  <c:v>1.61326698932</c:v>
                </c:pt>
                <c:pt idx="1">
                  <c:v>0.54724869079745531</c:v>
                </c:pt>
                <c:pt idx="2">
                  <c:v>0.49096798745839015</c:v>
                </c:pt>
                <c:pt idx="3">
                  <c:v>0.63659296497026363</c:v>
                </c:pt>
                <c:pt idx="4">
                  <c:v>0.42600894981987392</c:v>
                </c:pt>
                <c:pt idx="5">
                  <c:v>0.18167333970976685</c:v>
                </c:pt>
                <c:pt idx="6">
                  <c:v>3.0600006119999999E-2</c:v>
                </c:pt>
                <c:pt idx="7">
                  <c:v>0.17646563164764745</c:v>
                </c:pt>
                <c:pt idx="8">
                  <c:v>0.17049735560165497</c:v>
                </c:pt>
                <c:pt idx="9">
                  <c:v>8.3074851727083357E-2</c:v>
                </c:pt>
                <c:pt idx="10">
                  <c:v>8.2773799920147842E-2</c:v>
                </c:pt>
                <c:pt idx="11">
                  <c:v>0.16640140785724217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4-48D9-B04E-F803EE194B62}"/>
            </c:ext>
          </c:extLst>
        </c:ser>
        <c:ser>
          <c:idx val="1"/>
          <c:order val="1"/>
          <c:tx>
            <c:strRef>
              <c:f>'Sheet1 (2)'!$L$1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'Sheet1 (2)'!$B$2:$B$13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'Sheet1 (2)'!$L$2:$L$13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3DA4-48D9-B04E-F803EE194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3265136"/>
        <c:axId val="1733265616"/>
      </c:barChart>
      <c:barChart>
        <c:barDir val="col"/>
        <c:grouping val="clustered"/>
        <c:varyColors val="0"/>
        <c:ser>
          <c:idx val="2"/>
          <c:order val="2"/>
          <c:tx>
            <c:strRef>
              <c:f>'Sheet1 (2)'!$M$1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'Sheet1 (2)'!$B$2:$B$13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'Sheet1 (2)'!$M$2:$M$13</c:f>
              <c:numCache>
                <c:formatCode>0.000000</c:formatCode>
                <c:ptCount val="12"/>
                <c:pt idx="0">
                  <c:v>1.61326698932E-3</c:v>
                </c:pt>
                <c:pt idx="1">
                  <c:v>5.4724869079745533E-4</c:v>
                </c:pt>
                <c:pt idx="2">
                  <c:v>4.9096798745839015E-4</c:v>
                </c:pt>
                <c:pt idx="3">
                  <c:v>6.3659296497026359E-4</c:v>
                </c:pt>
                <c:pt idx="4">
                  <c:v>4.2600894981987392E-4</c:v>
                </c:pt>
                <c:pt idx="5">
                  <c:v>1.8167333970976683E-4</c:v>
                </c:pt>
                <c:pt idx="6">
                  <c:v>3.0600006119999999E-5</c:v>
                </c:pt>
                <c:pt idx="7">
                  <c:v>1.7646563164764743E-4</c:v>
                </c:pt>
                <c:pt idx="8">
                  <c:v>1.7049735560165498E-4</c:v>
                </c:pt>
                <c:pt idx="9">
                  <c:v>8.307485172708335E-5</c:v>
                </c:pt>
                <c:pt idx="10">
                  <c:v>8.2773799920147836E-5</c:v>
                </c:pt>
                <c:pt idx="11">
                  <c:v>1.6640140785724217E-4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A4-48D9-B04E-F803EE194B62}"/>
            </c:ext>
          </c:extLst>
        </c:ser>
        <c:ser>
          <c:idx val="3"/>
          <c:order val="3"/>
          <c:tx>
            <c:strRef>
              <c:f>'Sheet1 (2)'!$D$1</c:f>
              <c:strCache>
                <c:ptCount val="1"/>
                <c:pt idx="0">
                  <c:v>Kk3 / M-2s-1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'Sheet1 (2)'!$B$2:$B$13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'Sheet1 (2)'!$D$2:$D$13</c:f>
              <c:numCache>
                <c:formatCode>0.000000</c:formatCode>
                <c:ptCount val="12"/>
                <c:pt idx="0">
                  <c:v>13.89999444</c:v>
                </c:pt>
                <c:pt idx="1">
                  <c:v>23.980982959157746</c:v>
                </c:pt>
                <c:pt idx="2">
                  <c:v>14.682417788109264</c:v>
                </c:pt>
                <c:pt idx="3">
                  <c:v>4.4893250090235002</c:v>
                </c:pt>
                <c:pt idx="4">
                  <c:v>5.9902531405718671</c:v>
                </c:pt>
                <c:pt idx="5">
                  <c:v>1.348707999870514</c:v>
                </c:pt>
                <c:pt idx="6">
                  <c:v>4.26666496</c:v>
                </c:pt>
                <c:pt idx="7">
                  <c:v>0.73598890390527583</c:v>
                </c:pt>
                <c:pt idx="8">
                  <c:v>0.76114947275759204</c:v>
                </c:pt>
                <c:pt idx="9">
                  <c:v>1.1675923976045115</c:v>
                </c:pt>
                <c:pt idx="10">
                  <c:v>1.1161998558846302</c:v>
                </c:pt>
                <c:pt idx="11">
                  <c:v>0.45073099591591498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A4-48D9-B04E-F803EE194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9795104"/>
        <c:axId val="2049809024"/>
      </c:barChart>
      <c:catAx>
        <c:axId val="173326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265616"/>
        <c:crosses val="autoZero"/>
        <c:auto val="1"/>
        <c:lblAlgn val="ctr"/>
        <c:lblOffset val="100"/>
        <c:noMultiLvlLbl val="0"/>
      </c:catAx>
      <c:valAx>
        <c:axId val="173326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rgbClr val="002060"/>
                    </a:solidFill>
                  </a:rPr>
                  <a:t>Kk</a:t>
                </a:r>
                <a:r>
                  <a:rPr lang="en-GB" b="1" baseline="-25000">
                    <a:solidFill>
                      <a:srgbClr val="002060"/>
                    </a:solidFill>
                  </a:rPr>
                  <a:t>2</a:t>
                </a:r>
                <a:r>
                  <a:rPr lang="en-GB" b="1">
                    <a:solidFill>
                      <a:srgbClr val="002060"/>
                    </a:solidFill>
                  </a:rPr>
                  <a:t> / M</a:t>
                </a:r>
                <a:r>
                  <a:rPr lang="en-GB" b="1" baseline="30000">
                    <a:solidFill>
                      <a:srgbClr val="002060"/>
                    </a:solidFill>
                  </a:rPr>
                  <a:t>-1</a:t>
                </a:r>
                <a:r>
                  <a:rPr lang="en-GB" b="1">
                    <a:solidFill>
                      <a:srgbClr val="002060"/>
                    </a:solidFill>
                  </a:rPr>
                  <a:t>s</a:t>
                </a:r>
                <a:r>
                  <a:rPr lang="en-GB" b="1" baseline="30000">
                    <a:solidFill>
                      <a:srgbClr val="002060"/>
                    </a:solidFill>
                  </a:rPr>
                  <a:t>-1</a:t>
                </a:r>
              </a:p>
            </c:rich>
          </c:tx>
          <c:layout>
            <c:manualLayout>
              <c:xMode val="edge"/>
              <c:yMode val="edge"/>
              <c:x val="2.87401350252009E-2"/>
              <c:y val="0.32190142025058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265136"/>
        <c:crosses val="autoZero"/>
        <c:crossBetween val="between"/>
      </c:valAx>
      <c:valAx>
        <c:axId val="2049809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accent4"/>
                    </a:solidFill>
                  </a:rPr>
                  <a:t>Kk</a:t>
                </a:r>
                <a:r>
                  <a:rPr lang="en-GB" b="1" baseline="-25000">
                    <a:solidFill>
                      <a:schemeClr val="accent4"/>
                    </a:solidFill>
                  </a:rPr>
                  <a:t>3</a:t>
                </a:r>
                <a:r>
                  <a:rPr lang="en-GB" b="1">
                    <a:solidFill>
                      <a:schemeClr val="accent4"/>
                    </a:solidFill>
                  </a:rPr>
                  <a:t> / M</a:t>
                </a:r>
                <a:r>
                  <a:rPr lang="en-GB" b="1" baseline="30000">
                    <a:solidFill>
                      <a:schemeClr val="accent4"/>
                    </a:solidFill>
                  </a:rPr>
                  <a:t>-2</a:t>
                </a:r>
                <a:r>
                  <a:rPr lang="en-GB" b="1">
                    <a:solidFill>
                      <a:schemeClr val="accent4"/>
                    </a:solidFill>
                  </a:rPr>
                  <a:t>s</a:t>
                </a:r>
                <a:r>
                  <a:rPr lang="en-GB" b="1" baseline="30000">
                    <a:solidFill>
                      <a:schemeClr val="accent4"/>
                    </a:solidFill>
                  </a:rPr>
                  <a:t>-1</a:t>
                </a:r>
                <a:r>
                  <a:rPr lang="en-GB" b="1">
                    <a:solidFill>
                      <a:schemeClr val="accent4"/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795104"/>
        <c:crosses val="max"/>
        <c:crossBetween val="between"/>
      </c:valAx>
      <c:catAx>
        <c:axId val="2049795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980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0724948438391425"/>
          <c:y val="0.8989573481459322"/>
          <c:w val="0.36712281340250902"/>
          <c:h val="5.8556631857441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325188207176"/>
          <c:y val="4.3594460986669539E-2"/>
          <c:w val="0.75410166224312913"/>
          <c:h val="0.687532731955585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'Sheet1 (2)'!$C$1</c:f>
              <c:strCache>
                <c:ptCount val="1"/>
                <c:pt idx="0">
                  <c:v>Kk2 / M-1s-1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'Sheet1 (2)'!$B$2:$B$13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'Sheet1 (2)'!$C$2:$C$13</c:f>
              <c:numCache>
                <c:formatCode>0.000000</c:formatCode>
                <c:ptCount val="12"/>
                <c:pt idx="0">
                  <c:v>1.61326698932</c:v>
                </c:pt>
                <c:pt idx="1">
                  <c:v>0.54724869079745531</c:v>
                </c:pt>
                <c:pt idx="2">
                  <c:v>0.49096798745839015</c:v>
                </c:pt>
                <c:pt idx="3">
                  <c:v>0.63659296497026363</c:v>
                </c:pt>
                <c:pt idx="4">
                  <c:v>0.42600894981987392</c:v>
                </c:pt>
                <c:pt idx="5">
                  <c:v>0.18167333970976685</c:v>
                </c:pt>
                <c:pt idx="6">
                  <c:v>3.0600006119999999E-2</c:v>
                </c:pt>
                <c:pt idx="7">
                  <c:v>0.17646563164764745</c:v>
                </c:pt>
                <c:pt idx="8">
                  <c:v>0.17049735560165497</c:v>
                </c:pt>
                <c:pt idx="9">
                  <c:v>8.3074851727083357E-2</c:v>
                </c:pt>
                <c:pt idx="10">
                  <c:v>8.2773799920147842E-2</c:v>
                </c:pt>
                <c:pt idx="11">
                  <c:v>0.16640140785724217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4-45B8-A66C-5E18EABAAFAD}"/>
            </c:ext>
          </c:extLst>
        </c:ser>
        <c:ser>
          <c:idx val="1"/>
          <c:order val="1"/>
          <c:tx>
            <c:strRef>
              <c:f>'Sheet1 (2)'!$L$1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'Sheet1 (2)'!$B$2:$B$13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'Sheet1 (2)'!$L$2:$L$13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A934-45B8-A66C-5E18EABAA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3265136"/>
        <c:axId val="1733265616"/>
      </c:barChart>
      <c:barChart>
        <c:barDir val="col"/>
        <c:grouping val="clustered"/>
        <c:varyColors val="0"/>
        <c:ser>
          <c:idx val="2"/>
          <c:order val="2"/>
          <c:tx>
            <c:strRef>
              <c:f>'Sheet1 (2)'!$M$1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(2)'!$B$2:$B$13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'Sheet1 (2)'!$O$2:$O$13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A934-45B8-A66C-5E18EABAAFAD}"/>
            </c:ext>
          </c:extLst>
        </c:ser>
        <c:ser>
          <c:idx val="3"/>
          <c:order val="3"/>
          <c:tx>
            <c:strRef>
              <c:f>'Sheet1 (2)'!$D$1</c:f>
              <c:strCache>
                <c:ptCount val="1"/>
                <c:pt idx="0">
                  <c:v>Kk3 / M-2s-1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'Sheet1 (2)'!$B$2:$B$13</c:f>
              <c:strCache>
                <c:ptCount val="12"/>
                <c:pt idx="0">
                  <c:v>DMSO</c:v>
                </c:pt>
                <c:pt idx="1">
                  <c:v>MeCN</c:v>
                </c:pt>
                <c:pt idx="2">
                  <c:v>DMF</c:v>
                </c:pt>
                <c:pt idx="3">
                  <c:v>NMP</c:v>
                </c:pt>
                <c:pt idx="4">
                  <c:v>DMA</c:v>
                </c:pt>
                <c:pt idx="5">
                  <c:v>EtOAc</c:v>
                </c:pt>
                <c:pt idx="6">
                  <c:v>3-Pentanone</c:v>
                </c:pt>
                <c:pt idx="7">
                  <c:v>tBuOH</c:v>
                </c:pt>
                <c:pt idx="8">
                  <c:v>IPA</c:v>
                </c:pt>
                <c:pt idx="9">
                  <c:v>2-Me-THF</c:v>
                </c:pt>
                <c:pt idx="10">
                  <c:v>1,4-Dioxane</c:v>
                </c:pt>
                <c:pt idx="11">
                  <c:v>EtOH</c:v>
                </c:pt>
              </c:strCache>
            </c:strRef>
          </c:cat>
          <c:val>
            <c:numRef>
              <c:f>'Sheet1 (2)'!$D$2:$D$13</c:f>
              <c:numCache>
                <c:formatCode>0.000000</c:formatCode>
                <c:ptCount val="12"/>
                <c:pt idx="0">
                  <c:v>13.89999444</c:v>
                </c:pt>
                <c:pt idx="1">
                  <c:v>23.980982959157746</c:v>
                </c:pt>
                <c:pt idx="2">
                  <c:v>14.682417788109264</c:v>
                </c:pt>
                <c:pt idx="3">
                  <c:v>4.4893250090235002</c:v>
                </c:pt>
                <c:pt idx="4">
                  <c:v>5.9902531405718671</c:v>
                </c:pt>
                <c:pt idx="5">
                  <c:v>1.348707999870514</c:v>
                </c:pt>
                <c:pt idx="6">
                  <c:v>4.26666496</c:v>
                </c:pt>
                <c:pt idx="7">
                  <c:v>0.73598890390527583</c:v>
                </c:pt>
                <c:pt idx="8">
                  <c:v>0.76114947275759204</c:v>
                </c:pt>
                <c:pt idx="9">
                  <c:v>1.1675923976045115</c:v>
                </c:pt>
                <c:pt idx="10">
                  <c:v>1.1161998558846302</c:v>
                </c:pt>
                <c:pt idx="11">
                  <c:v>0.45073099591591498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34-45B8-A66C-5E18EABAA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9795104"/>
        <c:axId val="2049809024"/>
      </c:barChart>
      <c:catAx>
        <c:axId val="173326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265616"/>
        <c:crosses val="autoZero"/>
        <c:auto val="1"/>
        <c:lblAlgn val="ctr"/>
        <c:lblOffset val="100"/>
        <c:noMultiLvlLbl val="0"/>
      </c:catAx>
      <c:valAx>
        <c:axId val="173326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rgbClr val="002060"/>
                    </a:solidFill>
                  </a:rPr>
                  <a:t>Kk</a:t>
                </a:r>
                <a:r>
                  <a:rPr lang="en-GB" b="1" baseline="-25000">
                    <a:solidFill>
                      <a:srgbClr val="002060"/>
                    </a:solidFill>
                  </a:rPr>
                  <a:t>2</a:t>
                </a:r>
                <a:r>
                  <a:rPr lang="en-GB" b="1">
                    <a:solidFill>
                      <a:srgbClr val="002060"/>
                    </a:solidFill>
                  </a:rPr>
                  <a:t> / 10</a:t>
                </a:r>
                <a:r>
                  <a:rPr lang="en-GB" b="1" baseline="30000">
                    <a:solidFill>
                      <a:srgbClr val="002060"/>
                    </a:solidFill>
                  </a:rPr>
                  <a:t>-3</a:t>
                </a:r>
                <a:r>
                  <a:rPr lang="en-GB" b="1">
                    <a:solidFill>
                      <a:srgbClr val="002060"/>
                    </a:solidFill>
                  </a:rPr>
                  <a:t> M</a:t>
                </a:r>
                <a:r>
                  <a:rPr lang="en-GB" b="1" baseline="30000">
                    <a:solidFill>
                      <a:srgbClr val="002060"/>
                    </a:solidFill>
                  </a:rPr>
                  <a:t>-1</a:t>
                </a:r>
                <a:r>
                  <a:rPr lang="en-GB" b="1">
                    <a:solidFill>
                      <a:srgbClr val="002060"/>
                    </a:solidFill>
                  </a:rPr>
                  <a:t>s</a:t>
                </a:r>
                <a:r>
                  <a:rPr lang="en-GB" b="1" baseline="30000">
                    <a:solidFill>
                      <a:srgbClr val="002060"/>
                    </a:solidFill>
                  </a:rPr>
                  <a:t>-1</a:t>
                </a:r>
              </a:p>
            </c:rich>
          </c:tx>
          <c:layout>
            <c:manualLayout>
              <c:xMode val="edge"/>
              <c:yMode val="edge"/>
              <c:x val="8.9682809285671471E-3"/>
              <c:y val="0.32190146815315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265136"/>
        <c:crosses val="autoZero"/>
        <c:crossBetween val="between"/>
      </c:valAx>
      <c:valAx>
        <c:axId val="20498090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accent4"/>
                    </a:solidFill>
                  </a:rPr>
                  <a:t>Kk</a:t>
                </a:r>
                <a:r>
                  <a:rPr lang="en-GB" b="1" baseline="-25000">
                    <a:solidFill>
                      <a:schemeClr val="accent4"/>
                    </a:solidFill>
                  </a:rPr>
                  <a:t>3</a:t>
                </a:r>
                <a:r>
                  <a:rPr lang="en-GB" b="1">
                    <a:solidFill>
                      <a:schemeClr val="accent4"/>
                    </a:solidFill>
                  </a:rPr>
                  <a:t> / 10</a:t>
                </a:r>
                <a:r>
                  <a:rPr lang="en-GB" b="1" baseline="30000">
                    <a:solidFill>
                      <a:schemeClr val="accent4"/>
                    </a:solidFill>
                  </a:rPr>
                  <a:t>-3</a:t>
                </a:r>
                <a:r>
                  <a:rPr lang="en-GB" b="1">
                    <a:solidFill>
                      <a:schemeClr val="accent4"/>
                    </a:solidFill>
                  </a:rPr>
                  <a:t> M</a:t>
                </a:r>
                <a:r>
                  <a:rPr lang="en-GB" b="1" baseline="30000">
                    <a:solidFill>
                      <a:schemeClr val="accent4"/>
                    </a:solidFill>
                  </a:rPr>
                  <a:t>-2</a:t>
                </a:r>
                <a:r>
                  <a:rPr lang="en-GB" b="1">
                    <a:solidFill>
                      <a:schemeClr val="accent4"/>
                    </a:solidFill>
                  </a:rPr>
                  <a:t>s</a:t>
                </a:r>
                <a:r>
                  <a:rPr lang="en-GB" b="1" baseline="30000">
                    <a:solidFill>
                      <a:schemeClr val="accent4"/>
                    </a:solidFill>
                  </a:rPr>
                  <a:t>-1</a:t>
                </a:r>
                <a:r>
                  <a:rPr lang="en-GB" b="1">
                    <a:solidFill>
                      <a:schemeClr val="accent4"/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0.86314936526514796"/>
              <c:y val="0.24336487505993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100" b="1" i="0" u="none" strike="noStrike" kern="120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795104"/>
        <c:crosses val="max"/>
        <c:crossBetween val="between"/>
      </c:valAx>
      <c:catAx>
        <c:axId val="2049795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980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22597394093665896"/>
          <c:y val="0.94114648207924445"/>
          <c:w val="0.59076759227360409"/>
          <c:h val="5.8556631857441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14</xdr:row>
      <xdr:rowOff>0</xdr:rowOff>
    </xdr:from>
    <xdr:to>
      <xdr:col>30</xdr:col>
      <xdr:colOff>304800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18773-CB70-4A8D-9021-17E75CC0D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391886</xdr:colOff>
      <xdr:row>14</xdr:row>
      <xdr:rowOff>87086</xdr:rowOff>
    </xdr:from>
    <xdr:to>
      <xdr:col>6</xdr:col>
      <xdr:colOff>590941</xdr:colOff>
      <xdr:row>37</xdr:row>
      <xdr:rowOff>99135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A8A83A-01C1-462B-912C-4C92DA9BE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217715</xdr:colOff>
      <xdr:row>14</xdr:row>
      <xdr:rowOff>163285</xdr:rowOff>
    </xdr:from>
    <xdr:to>
      <xdr:col>14</xdr:col>
      <xdr:colOff>319615</xdr:colOff>
      <xdr:row>37</xdr:row>
      <xdr:rowOff>171524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7EAF35-4A6E-4242-A7A3-3ACC561B9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14</xdr:row>
      <xdr:rowOff>0</xdr:rowOff>
    </xdr:from>
    <xdr:to>
      <xdr:col>30</xdr:col>
      <xdr:colOff>304800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8E405-CCA5-47DF-BFDC-C78251E39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391886</xdr:colOff>
      <xdr:row>14</xdr:row>
      <xdr:rowOff>87086</xdr:rowOff>
    </xdr:from>
    <xdr:to>
      <xdr:col>6</xdr:col>
      <xdr:colOff>590941</xdr:colOff>
      <xdr:row>37</xdr:row>
      <xdr:rowOff>99135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BA1BAE-5B72-4BCE-8004-EDDCB88A3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246457</xdr:colOff>
      <xdr:row>17</xdr:row>
      <xdr:rowOff>115956</xdr:rowOff>
    </xdr:from>
    <xdr:to>
      <xdr:col>12</xdr:col>
      <xdr:colOff>612913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20B341-C26E-43F4-8D29-72041AC75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772BC88DFF60BCC/Dokumenter/Dokumenter/PhD/SNAr%20base%20catalysis/20mar25%20solvent%20dataset%20and%20analysis%20completion.xlsx" TargetMode="External"/><Relationship Id="rId1" Type="http://schemas.openxmlformats.org/officeDocument/2006/relationships/externalLinkPath" Target="https://d.docs.live.net/D772BC88DFF60BCC/Dokumenter/Dokumenter/PhD/SNAr%20base%20catalysis/20mar25%20solvent%20dataset%20and%20analysis%20comple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 preparation"/>
      <sheetName val="Results"/>
      <sheetName val="Results (3)"/>
      <sheetName val="Results (2)"/>
      <sheetName val="VTNA data"/>
      <sheetName val="Solvent dataset"/>
      <sheetName val="solvent dataset v2"/>
      <sheetName val="Solvent data references"/>
      <sheetName val="Failed experiments"/>
    </sheetNames>
    <sheetDataSet>
      <sheetData sheetId="0"/>
      <sheetData sheetId="1"/>
      <sheetData sheetId="2"/>
      <sheetData sheetId="3">
        <row r="1">
          <cell r="C1" t="str">
            <v>Kk2 / M-1s-1</v>
          </cell>
          <cell r="E1" t="str">
            <v>KI / mM</v>
          </cell>
        </row>
        <row r="2">
          <cell r="B2" t="str">
            <v>DMSO</v>
          </cell>
          <cell r="E2">
            <v>5.9099599999999999E-4</v>
          </cell>
        </row>
        <row r="3">
          <cell r="B3" t="str">
            <v>MeCN</v>
          </cell>
          <cell r="E3">
            <v>5.6338824379342962E-3</v>
          </cell>
        </row>
        <row r="4">
          <cell r="B4" t="str">
            <v>DMF</v>
          </cell>
          <cell r="E4">
            <v>4.2357761837448092E-4</v>
          </cell>
        </row>
        <row r="5">
          <cell r="B5" t="str">
            <v>NMP</v>
          </cell>
          <cell r="E5">
            <v>3.3541926259262499E-4</v>
          </cell>
        </row>
        <row r="6">
          <cell r="B6" t="str">
            <v>DMA</v>
          </cell>
          <cell r="E6">
            <v>5.6897136658055859E-4</v>
          </cell>
        </row>
        <row r="7">
          <cell r="B7" t="str">
            <v>EtOAc</v>
          </cell>
          <cell r="E7">
            <v>2.2807726558288712E-3</v>
          </cell>
        </row>
        <row r="8">
          <cell r="B8" t="str">
            <v>3-Pentanone</v>
          </cell>
          <cell r="E8">
            <v>1.619356E-3</v>
          </cell>
        </row>
        <row r="9">
          <cell r="B9" t="str">
            <v>tBuOH</v>
          </cell>
          <cell r="E9">
            <v>1.31609526680313E-4</v>
          </cell>
        </row>
        <row r="10">
          <cell r="B10" t="str">
            <v>IPA</v>
          </cell>
          <cell r="E10">
            <v>1.000000000000001E-6</v>
          </cell>
        </row>
        <row r="11">
          <cell r="B11" t="str">
            <v>2-Me-THF</v>
          </cell>
          <cell r="E11">
            <v>5.6534910793114594E-4</v>
          </cell>
        </row>
        <row r="12">
          <cell r="B12" t="str">
            <v>1,4-Dioxane</v>
          </cell>
          <cell r="E12">
            <v>1.5387643821277929E-3</v>
          </cell>
        </row>
        <row r="13">
          <cell r="B13" t="str">
            <v>EtOH</v>
          </cell>
          <cell r="E13">
            <v>1.7329184745870009E-3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6B21-51C4-4322-8674-BDD69C6BB488}">
  <dimension ref="A1:N16"/>
  <sheetViews>
    <sheetView zoomScale="115" zoomScaleNormal="115" workbookViewId="0">
      <selection activeCell="C2" sqref="C2:C5"/>
    </sheetView>
  </sheetViews>
  <sheetFormatPr defaultRowHeight="14.4" x14ac:dyDescent="0.3"/>
  <cols>
    <col min="1" max="1" width="17.88671875" bestFit="1" customWidth="1"/>
    <col min="2" max="2" width="10.44140625" bestFit="1" customWidth="1"/>
    <col min="3" max="5" width="13.33203125" bestFit="1" customWidth="1"/>
    <col min="6" max="7" width="9" bestFit="1" customWidth="1"/>
    <col min="8" max="8" width="10" bestFit="1" customWidth="1"/>
    <col min="9" max="10" width="9" bestFit="1" customWidth="1"/>
    <col min="11" max="11" width="16.21875" bestFit="1" customWidth="1"/>
    <col min="12" max="12" width="9" bestFit="1" customWidth="1"/>
    <col min="13" max="13" width="16.21875" bestFit="1" customWidth="1"/>
    <col min="15" max="15" width="12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N1" s="2"/>
    </row>
    <row r="2" spans="1:14" x14ac:dyDescent="0.3">
      <c r="A2" t="s">
        <v>23</v>
      </c>
      <c r="B2" t="s">
        <v>11</v>
      </c>
      <c r="C2" s="4">
        <v>1.61326698932E-3</v>
      </c>
      <c r="D2" s="4">
        <v>1.3899994440000001E-2</v>
      </c>
      <c r="E2">
        <v>5.9099599999999999E-4</v>
      </c>
      <c r="F2">
        <v>0.99976846299628186</v>
      </c>
      <c r="G2">
        <v>0.99985244929858541</v>
      </c>
      <c r="H2" s="3">
        <v>0.49846754231937551</v>
      </c>
      <c r="I2" s="3">
        <v>0.37226282651149689</v>
      </c>
      <c r="J2">
        <f t="shared" ref="J2:J13" si="0">SUM(D2:D2)</f>
        <v>1.3899994440000001E-2</v>
      </c>
      <c r="K2" s="3">
        <f t="shared" ref="K2:K13" si="1">D2/C2</f>
        <v>8.6160533451805872</v>
      </c>
    </row>
    <row r="3" spans="1:14" x14ac:dyDescent="0.3">
      <c r="A3" t="s">
        <v>24</v>
      </c>
      <c r="B3" t="s">
        <v>12</v>
      </c>
      <c r="C3" s="4">
        <v>5.4724869079745533E-4</v>
      </c>
      <c r="D3" s="4">
        <v>2.3980982959157748E-2</v>
      </c>
      <c r="E3">
        <v>5.6338824379342962E-3</v>
      </c>
      <c r="F3">
        <v>0.99992355507878961</v>
      </c>
      <c r="G3">
        <v>0.99986406452607612</v>
      </c>
      <c r="H3" s="3">
        <v>0.30784765642301398</v>
      </c>
      <c r="I3" s="3">
        <v>0.47174730813793792</v>
      </c>
      <c r="J3">
        <f t="shared" si="0"/>
        <v>2.3980982959157748E-2</v>
      </c>
      <c r="K3" s="3">
        <f t="shared" si="1"/>
        <v>43.8209964910331</v>
      </c>
    </row>
    <row r="4" spans="1:14" x14ac:dyDescent="0.3">
      <c r="A4" t="s">
        <v>25</v>
      </c>
      <c r="B4" t="s">
        <v>13</v>
      </c>
      <c r="C4" s="4">
        <v>4.9096798745839015E-4</v>
      </c>
      <c r="D4" s="4">
        <v>1.4682417788109263E-2</v>
      </c>
      <c r="E4">
        <v>4.2357761837448092E-4</v>
      </c>
      <c r="F4">
        <v>0.99694095137491312</v>
      </c>
      <c r="G4">
        <v>0.99479787274201192</v>
      </c>
      <c r="H4" s="3">
        <v>1.259986024082645</v>
      </c>
      <c r="I4" s="3">
        <v>1.676049135825211</v>
      </c>
      <c r="J4">
        <f t="shared" si="0"/>
        <v>1.4682417788109263E-2</v>
      </c>
      <c r="K4" s="3">
        <f t="shared" si="1"/>
        <v>29.905040986717299</v>
      </c>
    </row>
    <row r="5" spans="1:14" x14ac:dyDescent="0.3">
      <c r="A5" t="s">
        <v>26</v>
      </c>
      <c r="B5" t="s">
        <v>14</v>
      </c>
      <c r="C5" s="4">
        <v>6.3659296497026359E-4</v>
      </c>
      <c r="D5" s="4">
        <v>4.4893250090235004E-3</v>
      </c>
      <c r="E5">
        <v>3.3541926259262499E-4</v>
      </c>
      <c r="F5">
        <v>0.99994710527846631</v>
      </c>
      <c r="G5">
        <v>0.99983137968505731</v>
      </c>
      <c r="H5" s="3">
        <v>0.34766369477094539</v>
      </c>
      <c r="I5" s="3">
        <v>0.5908767482478533</v>
      </c>
      <c r="J5">
        <f t="shared" si="0"/>
        <v>4.4893250090235004E-3</v>
      </c>
      <c r="K5" s="3">
        <f t="shared" si="1"/>
        <v>7.0521121910814788</v>
      </c>
    </row>
    <row r="6" spans="1:14" x14ac:dyDescent="0.3">
      <c r="A6" t="s">
        <v>27</v>
      </c>
      <c r="B6" t="s">
        <v>15</v>
      </c>
      <c r="C6" s="4">
        <v>4.2600894981987392E-4</v>
      </c>
      <c r="D6" s="4">
        <v>5.9902531405718667E-3</v>
      </c>
      <c r="E6">
        <v>5.6897136658055859E-4</v>
      </c>
      <c r="F6">
        <v>0.99977247088330246</v>
      </c>
      <c r="G6">
        <v>0.99992807283612095</v>
      </c>
      <c r="H6" s="3">
        <v>0.42271282029992308</v>
      </c>
      <c r="I6" s="3">
        <v>0.2245751897384464</v>
      </c>
      <c r="J6">
        <f t="shared" si="0"/>
        <v>5.9902531405718667E-3</v>
      </c>
      <c r="K6" s="3">
        <f t="shared" si="1"/>
        <v>14.061331676493367</v>
      </c>
    </row>
    <row r="7" spans="1:14" x14ac:dyDescent="0.3">
      <c r="A7" t="s">
        <v>28</v>
      </c>
      <c r="B7" t="s">
        <v>16</v>
      </c>
      <c r="C7" s="4">
        <v>1.8167333970976683E-4</v>
      </c>
      <c r="D7" s="4">
        <v>1.3487079998705141E-3</v>
      </c>
      <c r="E7">
        <v>2.2807726558288712E-3</v>
      </c>
      <c r="F7">
        <v>0.99986045180085426</v>
      </c>
      <c r="G7">
        <v>0.99935617238237306</v>
      </c>
      <c r="H7" s="3">
        <v>0.45086895360149709</v>
      </c>
      <c r="I7" s="3">
        <v>0.93042771951689751</v>
      </c>
      <c r="J7">
        <f t="shared" si="0"/>
        <v>1.3487079998705141E-3</v>
      </c>
      <c r="K7" s="3">
        <f t="shared" si="1"/>
        <v>7.4238080393366985</v>
      </c>
    </row>
    <row r="8" spans="1:14" x14ac:dyDescent="0.3">
      <c r="A8" t="s">
        <v>29</v>
      </c>
      <c r="B8" t="s">
        <v>17</v>
      </c>
      <c r="C8" s="4">
        <v>3.0600006119999999E-5</v>
      </c>
      <c r="D8" s="4">
        <v>4.2666649600000004E-3</v>
      </c>
      <c r="E8">
        <v>1.619356E-3</v>
      </c>
      <c r="F8">
        <v>0.99959373500000004</v>
      </c>
      <c r="G8">
        <v>0.99958791999999996</v>
      </c>
      <c r="H8" s="3">
        <v>0.99958791999999996</v>
      </c>
      <c r="I8" s="3">
        <v>0.99958791999999996</v>
      </c>
      <c r="J8">
        <f t="shared" si="0"/>
        <v>4.2666649600000004E-3</v>
      </c>
      <c r="K8" s="3">
        <f t="shared" si="1"/>
        <v>139.43346753814311</v>
      </c>
    </row>
    <row r="9" spans="1:14" x14ac:dyDescent="0.3">
      <c r="A9" t="s">
        <v>31</v>
      </c>
      <c r="B9" t="s">
        <v>18</v>
      </c>
      <c r="C9" s="4">
        <v>1.7646563164764743E-4</v>
      </c>
      <c r="D9" s="4">
        <v>7.3598890390527585E-4</v>
      </c>
      <c r="E9">
        <v>1.31609526680313E-4</v>
      </c>
      <c r="F9">
        <v>0.99966204871647002</v>
      </c>
      <c r="G9">
        <v>0.9996801168552979</v>
      </c>
      <c r="H9" s="3">
        <v>0.74084031845239151</v>
      </c>
      <c r="I9" s="3">
        <v>0.68216365482499031</v>
      </c>
      <c r="J9">
        <f t="shared" si="0"/>
        <v>7.3598890390527585E-4</v>
      </c>
      <c r="K9" s="3">
        <f t="shared" si="1"/>
        <v>4.1707209332117436</v>
      </c>
    </row>
    <row r="10" spans="1:14" x14ac:dyDescent="0.3">
      <c r="A10" t="s">
        <v>30</v>
      </c>
      <c r="B10" t="s">
        <v>19</v>
      </c>
      <c r="C10" s="4">
        <v>1.7049735560165498E-4</v>
      </c>
      <c r="D10" s="4">
        <v>7.61149472757592E-4</v>
      </c>
      <c r="E10">
        <v>1.000000000000001E-6</v>
      </c>
      <c r="F10">
        <v>0.99920590199138226</v>
      </c>
      <c r="G10">
        <v>0.99912006406762566</v>
      </c>
      <c r="H10" s="3">
        <v>1.074420345466393</v>
      </c>
      <c r="I10" s="3">
        <v>1.0691056651488391</v>
      </c>
      <c r="J10">
        <f t="shared" si="0"/>
        <v>7.61149472757592E-4</v>
      </c>
      <c r="K10" s="3">
        <f t="shared" si="1"/>
        <v>4.4642890212087467</v>
      </c>
    </row>
    <row r="11" spans="1:14" x14ac:dyDescent="0.3">
      <c r="A11" t="s">
        <v>32</v>
      </c>
      <c r="B11" t="s">
        <v>20</v>
      </c>
      <c r="C11" s="4">
        <v>8.307485172708335E-5</v>
      </c>
      <c r="D11" s="4">
        <v>1.1675923976045114E-3</v>
      </c>
      <c r="E11">
        <v>5.6534910793114594E-4</v>
      </c>
      <c r="F11">
        <v>0.99986474597282982</v>
      </c>
      <c r="G11">
        <v>0.99984574277981419</v>
      </c>
      <c r="H11" s="3">
        <v>0.41718470492564469</v>
      </c>
      <c r="I11" s="3">
        <v>0.43122760570199559</v>
      </c>
      <c r="J11">
        <f t="shared" si="0"/>
        <v>1.1675923976045114E-3</v>
      </c>
      <c r="K11" s="3">
        <f t="shared" si="1"/>
        <v>14.054703358848885</v>
      </c>
    </row>
    <row r="12" spans="1:14" x14ac:dyDescent="0.3">
      <c r="A12" t="s">
        <v>33</v>
      </c>
      <c r="B12" t="s">
        <v>21</v>
      </c>
      <c r="C12" s="4">
        <v>8.2773799920147836E-5</v>
      </c>
      <c r="D12" s="4">
        <v>1.1161998558846303E-3</v>
      </c>
      <c r="E12">
        <v>1.5387643821277929E-3</v>
      </c>
      <c r="F12">
        <v>0.99908742093804903</v>
      </c>
      <c r="G12">
        <v>0.99886061882771049</v>
      </c>
      <c r="H12" s="3">
        <v>0.67613555103912604</v>
      </c>
      <c r="I12" s="3">
        <v>0.70827871414281696</v>
      </c>
      <c r="J12">
        <f t="shared" si="0"/>
        <v>1.1161998558846303E-3</v>
      </c>
      <c r="K12" s="3">
        <f t="shared" si="1"/>
        <v>13.484941575250044</v>
      </c>
    </row>
    <row r="13" spans="1:14" x14ac:dyDescent="0.3">
      <c r="A13" t="s">
        <v>34</v>
      </c>
      <c r="B13" t="s">
        <v>22</v>
      </c>
      <c r="C13" s="4">
        <v>1.6640140785724217E-4</v>
      </c>
      <c r="D13" s="4">
        <v>4.5073099591591499E-4</v>
      </c>
      <c r="E13">
        <v>1.7329184745870009E-3</v>
      </c>
      <c r="F13">
        <v>0.99946033969653592</v>
      </c>
      <c r="G13">
        <v>0.99949092859291999</v>
      </c>
      <c r="H13" s="3">
        <v>0.69142893497964675</v>
      </c>
      <c r="I13" s="3">
        <v>0.64560673492012621</v>
      </c>
      <c r="J13">
        <f t="shared" si="0"/>
        <v>4.5073099591591499E-4</v>
      </c>
      <c r="K13" s="3">
        <f t="shared" si="1"/>
        <v>2.7086970099592107</v>
      </c>
    </row>
    <row r="16" spans="1:14" x14ac:dyDescent="0.3">
      <c r="E16" s="2"/>
      <c r="F16" s="2"/>
      <c r="H16" s="2"/>
      <c r="I16" s="2"/>
      <c r="J16" s="2"/>
      <c r="K16" s="2"/>
      <c r="L16" s="2"/>
      <c r="M16" s="2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F3C9-F8D3-4BB3-A55B-7D476B8C7EBB}">
  <dimension ref="A1:N16"/>
  <sheetViews>
    <sheetView tabSelected="1" topLeftCell="A13" zoomScale="115" zoomScaleNormal="115" workbookViewId="0">
      <selection activeCell="O32" sqref="O32"/>
    </sheetView>
  </sheetViews>
  <sheetFormatPr defaultRowHeight="14.4" x14ac:dyDescent="0.3"/>
  <cols>
    <col min="1" max="1" width="17.88671875" bestFit="1" customWidth="1"/>
    <col min="2" max="2" width="10.44140625" bestFit="1" customWidth="1"/>
    <col min="3" max="5" width="13.33203125" bestFit="1" customWidth="1"/>
    <col min="6" max="7" width="9" bestFit="1" customWidth="1"/>
    <col min="8" max="8" width="10" bestFit="1" customWidth="1"/>
    <col min="9" max="10" width="9" bestFit="1" customWidth="1"/>
    <col min="11" max="11" width="16.21875" bestFit="1" customWidth="1"/>
    <col min="12" max="12" width="9" bestFit="1" customWidth="1"/>
    <col min="13" max="13" width="16.21875" bestFit="1" customWidth="1"/>
    <col min="15" max="15" width="12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N1" s="2"/>
    </row>
    <row r="2" spans="1:14" x14ac:dyDescent="0.3">
      <c r="A2" t="s">
        <v>23</v>
      </c>
      <c r="B2" t="s">
        <v>11</v>
      </c>
      <c r="C2" s="4">
        <f>M2*1000</f>
        <v>1.61326698932</v>
      </c>
      <c r="D2" s="4">
        <f>N2*1000</f>
        <v>13.89999444</v>
      </c>
      <c r="E2">
        <v>5.9099599999999999E-4</v>
      </c>
      <c r="F2">
        <v>0.99976846299628186</v>
      </c>
      <c r="G2">
        <v>0.99985244929858541</v>
      </c>
      <c r="H2" s="3">
        <v>0.49846754231937551</v>
      </c>
      <c r="I2" s="3">
        <v>0.37226282651149689</v>
      </c>
      <c r="J2">
        <f t="shared" ref="J2:J13" si="0">SUM(D2:D2)</f>
        <v>13.89999444</v>
      </c>
      <c r="K2" s="3">
        <f t="shared" ref="K2:K13" si="1">D2/C2</f>
        <v>8.6160533451805872</v>
      </c>
      <c r="M2" s="4">
        <v>1.61326698932E-3</v>
      </c>
      <c r="N2" s="4">
        <v>1.3899994440000001E-2</v>
      </c>
    </row>
    <row r="3" spans="1:14" x14ac:dyDescent="0.3">
      <c r="A3" t="s">
        <v>24</v>
      </c>
      <c r="B3" t="s">
        <v>12</v>
      </c>
      <c r="C3" s="4">
        <f t="shared" ref="C3:C13" si="2">M3*1000</f>
        <v>0.54724869079745531</v>
      </c>
      <c r="D3" s="4">
        <f t="shared" ref="D3:D13" si="3">N3*1000</f>
        <v>23.980982959157746</v>
      </c>
      <c r="E3">
        <v>5.6338824379342962E-3</v>
      </c>
      <c r="F3">
        <v>0.99992355507878961</v>
      </c>
      <c r="G3">
        <v>0.99986406452607612</v>
      </c>
      <c r="H3" s="3">
        <v>0.30784765642301398</v>
      </c>
      <c r="I3" s="3">
        <v>0.47174730813793792</v>
      </c>
      <c r="J3">
        <f t="shared" si="0"/>
        <v>23.980982959157746</v>
      </c>
      <c r="K3" s="3">
        <f t="shared" si="1"/>
        <v>43.8209964910331</v>
      </c>
      <c r="M3" s="4">
        <v>5.4724869079745533E-4</v>
      </c>
      <c r="N3" s="4">
        <v>2.3980982959157748E-2</v>
      </c>
    </row>
    <row r="4" spans="1:14" x14ac:dyDescent="0.3">
      <c r="A4" t="s">
        <v>25</v>
      </c>
      <c r="B4" t="s">
        <v>13</v>
      </c>
      <c r="C4" s="4">
        <f t="shared" si="2"/>
        <v>0.49096798745839015</v>
      </c>
      <c r="D4" s="4">
        <f t="shared" si="3"/>
        <v>14.682417788109264</v>
      </c>
      <c r="E4">
        <v>4.2357761837448092E-4</v>
      </c>
      <c r="F4">
        <v>0.99694095137491312</v>
      </c>
      <c r="G4">
        <v>0.99479787274201192</v>
      </c>
      <c r="H4" s="3">
        <v>1.259986024082645</v>
      </c>
      <c r="I4" s="3">
        <v>1.676049135825211</v>
      </c>
      <c r="J4">
        <f t="shared" si="0"/>
        <v>14.682417788109264</v>
      </c>
      <c r="K4" s="3">
        <f t="shared" si="1"/>
        <v>29.905040986717303</v>
      </c>
      <c r="M4" s="4">
        <v>4.9096798745839015E-4</v>
      </c>
      <c r="N4" s="4">
        <v>1.4682417788109263E-2</v>
      </c>
    </row>
    <row r="5" spans="1:14" x14ac:dyDescent="0.3">
      <c r="A5" t="s">
        <v>26</v>
      </c>
      <c r="B5" t="s">
        <v>14</v>
      </c>
      <c r="C5" s="4">
        <f t="shared" si="2"/>
        <v>0.63659296497026363</v>
      </c>
      <c r="D5" s="4">
        <f t="shared" si="3"/>
        <v>4.4893250090235002</v>
      </c>
      <c r="E5">
        <v>3.3541926259262499E-4</v>
      </c>
      <c r="F5">
        <v>0.99994710527846631</v>
      </c>
      <c r="G5">
        <v>0.99983137968505731</v>
      </c>
      <c r="H5" s="3">
        <v>0.34766369477094539</v>
      </c>
      <c r="I5" s="3">
        <v>0.5908767482478533</v>
      </c>
      <c r="J5">
        <f t="shared" si="0"/>
        <v>4.4893250090235002</v>
      </c>
      <c r="K5" s="3">
        <f t="shared" si="1"/>
        <v>7.0521121910814779</v>
      </c>
      <c r="M5" s="4">
        <v>6.3659296497026359E-4</v>
      </c>
      <c r="N5" s="4">
        <v>4.4893250090235004E-3</v>
      </c>
    </row>
    <row r="6" spans="1:14" x14ac:dyDescent="0.3">
      <c r="A6" t="s">
        <v>27</v>
      </c>
      <c r="B6" t="s">
        <v>15</v>
      </c>
      <c r="C6" s="4">
        <f t="shared" si="2"/>
        <v>0.42600894981987392</v>
      </c>
      <c r="D6" s="4">
        <f t="shared" si="3"/>
        <v>5.9902531405718671</v>
      </c>
      <c r="E6">
        <v>5.6897136658055859E-4</v>
      </c>
      <c r="F6">
        <v>0.99977247088330246</v>
      </c>
      <c r="G6">
        <v>0.99992807283612095</v>
      </c>
      <c r="H6" s="3">
        <v>0.42271282029992308</v>
      </c>
      <c r="I6" s="3">
        <v>0.2245751897384464</v>
      </c>
      <c r="J6">
        <f t="shared" si="0"/>
        <v>5.9902531405718671</v>
      </c>
      <c r="K6" s="3">
        <f t="shared" si="1"/>
        <v>14.061331676493369</v>
      </c>
      <c r="M6" s="4">
        <v>4.2600894981987392E-4</v>
      </c>
      <c r="N6" s="4">
        <v>5.9902531405718667E-3</v>
      </c>
    </row>
    <row r="7" spans="1:14" x14ac:dyDescent="0.3">
      <c r="A7" t="s">
        <v>28</v>
      </c>
      <c r="B7" t="s">
        <v>16</v>
      </c>
      <c r="C7" s="4">
        <f t="shared" si="2"/>
        <v>0.18167333970976685</v>
      </c>
      <c r="D7" s="4">
        <f t="shared" si="3"/>
        <v>1.348707999870514</v>
      </c>
      <c r="E7">
        <v>2.2807726558288712E-3</v>
      </c>
      <c r="F7">
        <v>0.99986045180085426</v>
      </c>
      <c r="G7">
        <v>0.99935617238237306</v>
      </c>
      <c r="H7" s="3">
        <v>0.45086895360149709</v>
      </c>
      <c r="I7" s="3">
        <v>0.93042771951689751</v>
      </c>
      <c r="J7">
        <f t="shared" si="0"/>
        <v>1.348707999870514</v>
      </c>
      <c r="K7" s="3">
        <f t="shared" si="1"/>
        <v>7.4238080393366976</v>
      </c>
      <c r="M7" s="4">
        <v>1.8167333970976683E-4</v>
      </c>
      <c r="N7" s="4">
        <v>1.3487079998705141E-3</v>
      </c>
    </row>
    <row r="8" spans="1:14" x14ac:dyDescent="0.3">
      <c r="A8" t="s">
        <v>29</v>
      </c>
      <c r="B8" t="s">
        <v>17</v>
      </c>
      <c r="C8" s="4">
        <f t="shared" si="2"/>
        <v>3.0600006119999999E-2</v>
      </c>
      <c r="D8" s="4">
        <f t="shared" si="3"/>
        <v>4.26666496</v>
      </c>
      <c r="E8">
        <v>1.619356E-3</v>
      </c>
      <c r="F8">
        <v>0.99959373500000004</v>
      </c>
      <c r="G8">
        <v>0.99958791999999996</v>
      </c>
      <c r="H8" s="3">
        <v>0.99958791999999996</v>
      </c>
      <c r="I8" s="3">
        <v>0.99958791999999996</v>
      </c>
      <c r="J8">
        <f t="shared" si="0"/>
        <v>4.26666496</v>
      </c>
      <c r="K8" s="3">
        <f t="shared" si="1"/>
        <v>139.43346753814311</v>
      </c>
      <c r="M8" s="4">
        <v>3.0600006119999999E-5</v>
      </c>
      <c r="N8" s="4">
        <v>4.2666649600000004E-3</v>
      </c>
    </row>
    <row r="9" spans="1:14" x14ac:dyDescent="0.3">
      <c r="A9" t="s">
        <v>31</v>
      </c>
      <c r="B9" t="s">
        <v>18</v>
      </c>
      <c r="C9" s="4">
        <f t="shared" si="2"/>
        <v>0.17646563164764745</v>
      </c>
      <c r="D9" s="4">
        <f t="shared" si="3"/>
        <v>0.73598890390527583</v>
      </c>
      <c r="E9">
        <v>1.31609526680313E-4</v>
      </c>
      <c r="F9">
        <v>0.99966204871647002</v>
      </c>
      <c r="G9">
        <v>0.9996801168552979</v>
      </c>
      <c r="H9" s="3">
        <v>0.74084031845239151</v>
      </c>
      <c r="I9" s="3">
        <v>0.68216365482499031</v>
      </c>
      <c r="J9">
        <f t="shared" si="0"/>
        <v>0.73598890390527583</v>
      </c>
      <c r="K9" s="3">
        <f t="shared" si="1"/>
        <v>4.1707209332117428</v>
      </c>
      <c r="M9" s="4">
        <v>1.7646563164764743E-4</v>
      </c>
      <c r="N9" s="4">
        <v>7.3598890390527585E-4</v>
      </c>
    </row>
    <row r="10" spans="1:14" x14ac:dyDescent="0.3">
      <c r="A10" t="s">
        <v>30</v>
      </c>
      <c r="B10" t="s">
        <v>19</v>
      </c>
      <c r="C10" s="4">
        <f t="shared" si="2"/>
        <v>0.17049735560165497</v>
      </c>
      <c r="D10" s="4">
        <f t="shared" si="3"/>
        <v>0.76114947275759204</v>
      </c>
      <c r="E10">
        <v>1.000000000000001E-6</v>
      </c>
      <c r="F10">
        <v>0.99920590199138226</v>
      </c>
      <c r="G10">
        <v>0.99912006406762566</v>
      </c>
      <c r="H10" s="3">
        <v>1.074420345466393</v>
      </c>
      <c r="I10" s="3">
        <v>1.0691056651488391</v>
      </c>
      <c r="J10">
        <f t="shared" si="0"/>
        <v>0.76114947275759204</v>
      </c>
      <c r="K10" s="3">
        <f t="shared" si="1"/>
        <v>4.4642890212087476</v>
      </c>
      <c r="M10" s="4">
        <v>1.7049735560165498E-4</v>
      </c>
      <c r="N10" s="4">
        <v>7.61149472757592E-4</v>
      </c>
    </row>
    <row r="11" spans="1:14" x14ac:dyDescent="0.3">
      <c r="A11" t="s">
        <v>32</v>
      </c>
      <c r="B11" t="s">
        <v>20</v>
      </c>
      <c r="C11" s="4">
        <f t="shared" si="2"/>
        <v>8.3074851727083357E-2</v>
      </c>
      <c r="D11" s="4">
        <f t="shared" si="3"/>
        <v>1.1675923976045115</v>
      </c>
      <c r="E11">
        <v>5.6534910793114594E-4</v>
      </c>
      <c r="F11">
        <v>0.99986474597282982</v>
      </c>
      <c r="G11">
        <v>0.99984574277981419</v>
      </c>
      <c r="H11" s="3">
        <v>0.41718470492564469</v>
      </c>
      <c r="I11" s="3">
        <v>0.43122760570199559</v>
      </c>
      <c r="J11">
        <f t="shared" si="0"/>
        <v>1.1675923976045115</v>
      </c>
      <c r="K11" s="3">
        <f t="shared" si="1"/>
        <v>14.054703358848885</v>
      </c>
      <c r="M11" s="4">
        <v>8.307485172708335E-5</v>
      </c>
      <c r="N11" s="4">
        <v>1.1675923976045114E-3</v>
      </c>
    </row>
    <row r="12" spans="1:14" x14ac:dyDescent="0.3">
      <c r="A12" t="s">
        <v>33</v>
      </c>
      <c r="B12" t="s">
        <v>21</v>
      </c>
      <c r="C12" s="4">
        <f t="shared" si="2"/>
        <v>8.2773799920147842E-2</v>
      </c>
      <c r="D12" s="4">
        <f t="shared" si="3"/>
        <v>1.1161998558846302</v>
      </c>
      <c r="E12">
        <v>1.5387643821277929E-3</v>
      </c>
      <c r="F12">
        <v>0.99908742093804903</v>
      </c>
      <c r="G12">
        <v>0.99886061882771049</v>
      </c>
      <c r="H12" s="3">
        <v>0.67613555103912604</v>
      </c>
      <c r="I12" s="3">
        <v>0.70827871414281696</v>
      </c>
      <c r="J12">
        <f t="shared" si="0"/>
        <v>1.1161998558846302</v>
      </c>
      <c r="K12" s="3">
        <f t="shared" si="1"/>
        <v>13.484941575250042</v>
      </c>
      <c r="M12" s="4">
        <v>8.2773799920147836E-5</v>
      </c>
      <c r="N12" s="4">
        <v>1.1161998558846303E-3</v>
      </c>
    </row>
    <row r="13" spans="1:14" x14ac:dyDescent="0.3">
      <c r="A13" t="s">
        <v>34</v>
      </c>
      <c r="B13" t="s">
        <v>22</v>
      </c>
      <c r="C13" s="4">
        <f t="shared" si="2"/>
        <v>0.16640140785724217</v>
      </c>
      <c r="D13" s="4">
        <f t="shared" si="3"/>
        <v>0.45073099591591498</v>
      </c>
      <c r="E13">
        <v>1.7329184745870009E-3</v>
      </c>
      <c r="F13">
        <v>0.99946033969653592</v>
      </c>
      <c r="G13">
        <v>0.99949092859291999</v>
      </c>
      <c r="H13" s="3">
        <v>0.69142893497964675</v>
      </c>
      <c r="I13" s="3">
        <v>0.64560673492012621</v>
      </c>
      <c r="J13">
        <f t="shared" si="0"/>
        <v>0.45073099591591498</v>
      </c>
      <c r="K13" s="3">
        <f t="shared" si="1"/>
        <v>2.7086970099592107</v>
      </c>
      <c r="M13" s="4">
        <v>1.6640140785724217E-4</v>
      </c>
      <c r="N13" s="4">
        <v>4.5073099591591499E-4</v>
      </c>
    </row>
    <row r="16" spans="1:14" x14ac:dyDescent="0.3">
      <c r="E16" s="2"/>
      <c r="F16" s="2"/>
      <c r="H16" s="2"/>
      <c r="I16" s="2"/>
      <c r="J16" s="2"/>
      <c r="K16" s="2"/>
      <c r="L16" s="2"/>
      <c r="M16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Dalland, Daniel</dc:creator>
  <cp:lastModifiedBy>Dalland, Daniel</cp:lastModifiedBy>
  <dcterms:created xsi:type="dcterms:W3CDTF">2025-10-16T09:04:48Z</dcterms:created>
  <dcterms:modified xsi:type="dcterms:W3CDTF">2025-11-25T13:39:28Z</dcterms:modified>
</cp:coreProperties>
</file>
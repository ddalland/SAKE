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yring Hammett and Bronsted Analyis/"/>
    </mc:Choice>
  </mc:AlternateContent>
  <xr:revisionPtr revIDLastSave="355" documentId="8_{02DAF7B4-49AE-463E-AB66-53AC4CCE1F6E}" xr6:coauthVersionLast="47" xr6:coauthVersionMax="47" xr10:uidLastSave="{29A8BE9F-551A-4C77-AB47-47EFECB0C3EA}"/>
  <bookViews>
    <workbookView xWindow="28680" yWindow="-120" windowWidth="29040" windowHeight="15720" xr2:uid="{00000000-000D-0000-FFFF-FFFF00000000}"/>
  </bookViews>
  <sheets>
    <sheet name="Hammett analysis C2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4" l="1"/>
  <c r="A13" i="14"/>
  <c r="A14" i="14"/>
  <c r="A15" i="14"/>
  <c r="A16" i="14"/>
  <c r="A17" i="14"/>
  <c r="A18" i="14"/>
  <c r="A19" i="14"/>
  <c r="B12" i="14"/>
  <c r="F7" i="14"/>
  <c r="E7" i="14"/>
  <c r="N7" i="14"/>
  <c r="F4" i="14"/>
  <c r="E4" i="14"/>
  <c r="N2" i="14"/>
  <c r="N4" i="14"/>
  <c r="F2" i="14"/>
  <c r="E2" i="14"/>
  <c r="D18" i="14"/>
  <c r="D19" i="14" l="1"/>
  <c r="C19" i="14"/>
  <c r="B19" i="14"/>
  <c r="C18" i="14"/>
  <c r="B18" i="14"/>
  <c r="D17" i="14"/>
  <c r="C17" i="14"/>
  <c r="B17" i="14"/>
  <c r="D16" i="14"/>
  <c r="C16" i="14"/>
  <c r="B16" i="14"/>
  <c r="D15" i="14"/>
  <c r="B15" i="14"/>
  <c r="D14" i="14"/>
  <c r="C14" i="14"/>
  <c r="B14" i="14"/>
  <c r="D13" i="14"/>
  <c r="C13" i="14"/>
  <c r="B13" i="14"/>
  <c r="D12" i="14"/>
  <c r="C12" i="14"/>
  <c r="H3" i="14"/>
  <c r="F19" i="14" s="1"/>
  <c r="H19" i="14" s="1"/>
  <c r="G3" i="14"/>
  <c r="F18" i="14"/>
  <c r="H18" i="14" s="1"/>
  <c r="J18" i="14" s="1"/>
  <c r="F17" i="14"/>
  <c r="H17" i="14" s="1"/>
  <c r="E17" i="14"/>
  <c r="G17" i="14" s="1"/>
  <c r="H9" i="14"/>
  <c r="G9" i="14"/>
  <c r="E15" i="14" s="1"/>
  <c r="G15" i="14" s="1"/>
  <c r="H5" i="14"/>
  <c r="G5" i="14"/>
  <c r="E14" i="14" s="1"/>
  <c r="G14" i="14" s="1"/>
  <c r="H6" i="14"/>
  <c r="F13" i="14" s="1"/>
  <c r="H13" i="14" s="1"/>
  <c r="G6" i="14"/>
  <c r="H8" i="14"/>
  <c r="F12" i="14" s="1"/>
  <c r="H12" i="14" s="1"/>
  <c r="G8" i="14"/>
  <c r="E12" i="14" s="1"/>
  <c r="G12" i="14" s="1"/>
  <c r="F14" i="14" l="1"/>
  <c r="H14" i="14" s="1"/>
  <c r="J14" i="14" s="1"/>
  <c r="J19" i="14"/>
  <c r="N5" i="14"/>
  <c r="E18" i="14"/>
  <c r="G18" i="14" s="1"/>
  <c r="I18" i="14" s="1"/>
  <c r="E13" i="14"/>
  <c r="G13" i="14" s="1"/>
  <c r="E19" i="14"/>
  <c r="G19" i="14" s="1"/>
  <c r="E16" i="14"/>
  <c r="G16" i="14" s="1"/>
  <c r="F16" i="14"/>
  <c r="H16" i="14" s="1"/>
  <c r="J16" i="14" s="1"/>
  <c r="N9" i="14"/>
  <c r="J12" i="14"/>
  <c r="J13" i="14"/>
  <c r="J17" i="14"/>
  <c r="N3" i="14"/>
  <c r="F15" i="14"/>
  <c r="H15" i="14" s="1"/>
  <c r="J15" i="14" s="1"/>
  <c r="N6" i="14"/>
  <c r="N8" i="14"/>
  <c r="I13" i="14" l="1"/>
  <c r="I17" i="14"/>
  <c r="I14" i="14"/>
  <c r="I15" i="14"/>
  <c r="I12" i="14"/>
  <c r="I16" i="14"/>
  <c r="I19" i="14"/>
</calcChain>
</file>

<file path=xl/sharedStrings.xml><?xml version="1.0" encoding="utf-8"?>
<sst xmlns="http://schemas.openxmlformats.org/spreadsheetml/2006/main" count="40" uniqueCount="36">
  <si>
    <t>R2_A</t>
  </si>
  <si>
    <t>R2_P</t>
  </si>
  <si>
    <t>RMSE_A</t>
  </si>
  <si>
    <t>RMSE_P</t>
  </si>
  <si>
    <t>COOEt</t>
  </si>
  <si>
    <t>COPh</t>
  </si>
  <si>
    <t>CN</t>
  </si>
  <si>
    <t>NO2</t>
  </si>
  <si>
    <t>SO2Me</t>
  </si>
  <si>
    <t>CF3</t>
  </si>
  <si>
    <t>Cl</t>
  </si>
  <si>
    <t>sigma</t>
  </si>
  <si>
    <t>Substituent</t>
  </si>
  <si>
    <t>CONH2</t>
  </si>
  <si>
    <t>k3/k2</t>
  </si>
  <si>
    <t>Sigma</t>
  </si>
  <si>
    <t>Sigma minus</t>
  </si>
  <si>
    <t>sigma minus</t>
  </si>
  <si>
    <t>Kk2 / M-1s-1</t>
  </si>
  <si>
    <t>Kk3 / M-2s-1</t>
  </si>
  <si>
    <t>Kk2 / mM-1min-1</t>
  </si>
  <si>
    <t>Kk3 /  mM-2min-1</t>
  </si>
  <si>
    <t>KI</t>
  </si>
  <si>
    <t>log10(Kk2)</t>
  </si>
  <si>
    <t>log10(Kk3)</t>
  </si>
  <si>
    <t>log10(Kk2_X/Kk2_H)</t>
  </si>
  <si>
    <t>log10(Kk3_X/Kk3_H)</t>
  </si>
  <si>
    <t>C2_E1</t>
  </si>
  <si>
    <t>C2_E2</t>
  </si>
  <si>
    <t>C2_E3</t>
  </si>
  <si>
    <t>C2_E4</t>
  </si>
  <si>
    <t>C2_E5</t>
  </si>
  <si>
    <t>C2_E6</t>
  </si>
  <si>
    <t>Experiment</t>
  </si>
  <si>
    <t>C1_E4a-b</t>
  </si>
  <si>
    <t>C2_E7a-b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</si>
</sst>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"/>
    <numFmt numFmtId="167" formatCode="0.0"/>
    <numFmt numFmtId="168" formatCode="0.00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left" vertical="center"/>
    </xf>
    <xf numFmtId="11" fontId="0" fillId="0" borderId="0" xfId="0" applyNumberFormat="1"/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0" fillId="0" borderId="0" xfId="0" applyNumberFormat="1"/>
    <xf numFmtId="2" fontId="0" fillId="0" borderId="0" xfId="0" applyNumberFormat="1"/>
    <xf numFmtId="167" fontId="0" fillId="0" borderId="0" xfId="0" applyNumberFormat="1"/>
    <xf numFmtId="166" fontId="4" fillId="0" borderId="0" xfId="0" applyNumberFormat="1" applyFont="1" applyAlignment="1">
      <alignment horizontal="left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Hammett Kk</a:t>
            </a:r>
            <a:r>
              <a:rPr lang="en-GB" baseline="-25000"/>
              <a:t>3</a:t>
            </a:r>
            <a:r>
              <a:rPr lang="en-GB"/>
              <a:t> with sigma minus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895383336334367"/>
                  <c:y val="3.70535339362795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'Hammett analysis C2'!$D$12:$D$19</c:f>
              <c:numCache>
                <c:formatCode>0.000</c:formatCode>
                <c:ptCount val="8"/>
                <c:pt idx="0">
                  <c:v>0.96099999999999997</c:v>
                </c:pt>
                <c:pt idx="1">
                  <c:v>0.83</c:v>
                </c:pt>
                <c:pt idx="2">
                  <c:v>0.78388625592417094</c:v>
                </c:pt>
                <c:pt idx="3">
                  <c:v>1.3450236966824651</c:v>
                </c:pt>
                <c:pt idx="4">
                  <c:v>0.8597156398104272</c:v>
                </c:pt>
                <c:pt idx="5">
                  <c:v>0.62511848341232246</c:v>
                </c:pt>
                <c:pt idx="6">
                  <c:v>0.27867298578199057</c:v>
                </c:pt>
                <c:pt idx="7">
                  <c:v>0.61</c:v>
                </c:pt>
              </c:numCache>
            </c:numRef>
          </c:xVal>
          <c:yVal>
            <c:numRef>
              <c:f>'Hammett analysis C2'!$J$12:$J$19</c:f>
              <c:numCache>
                <c:formatCode>General</c:formatCode>
                <c:ptCount val="8"/>
                <c:pt idx="0">
                  <c:v>3.197225336817028</c:v>
                </c:pt>
                <c:pt idx="1">
                  <c:v>2.8602828303220589</c:v>
                </c:pt>
                <c:pt idx="2">
                  <c:v>2.1567325624978047</c:v>
                </c:pt>
                <c:pt idx="3">
                  <c:v>4.6876296259388788</c:v>
                </c:pt>
                <c:pt idx="4">
                  <c:v>3.0173602262918147</c:v>
                </c:pt>
                <c:pt idx="5">
                  <c:v>2.1849505706946517</c:v>
                </c:pt>
                <c:pt idx="6">
                  <c:v>0</c:v>
                </c:pt>
                <c:pt idx="7">
                  <c:v>1.5561797833504176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3-4FCE-A46A-ED9337FB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847999"/>
        <c:axId val="1753848479"/>
      </c:scatterChart>
      <c:valAx>
        <c:axId val="175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Sigma minus (</a:t>
                </a:r>
                <a:r>
                  <a:rPr lang="el-GR"/>
                  <a:t>σ</a:t>
                </a:r>
                <a:r>
                  <a:rPr lang="en-US" sz="1000" b="0" i="0" u="none" strike="noStrike" baseline="30000">
                    <a:effectLst/>
                  </a:rPr>
                  <a:t>–</a:t>
                </a:r>
                <a:r>
                  <a:rPr lang="en-US" sz="1000" b="0" i="0" u="none" strike="noStrike" baseline="0">
                    <a:effectLst/>
                  </a:rPr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48479"/>
        <c:crosses val="autoZero"/>
        <c:crossBetween val="midCat"/>
      </c:valAx>
      <c:valAx>
        <c:axId val="17538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log10(k2)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Hammett</a:t>
            </a:r>
            <a:r>
              <a:rPr lang="en-GB" baseline="0"/>
              <a:t> Kk</a:t>
            </a:r>
            <a:r>
              <a:rPr lang="en-GB" baseline="-25000"/>
              <a:t>2</a:t>
            </a:r>
            <a:r>
              <a:rPr lang="en-GB" baseline="0"/>
              <a:t> with sigma minus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82130432088383"/>
                  <c:y val="0.130302949025118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'Hammett analysis C2'!$D$12:$D$19</c:f>
              <c:numCache>
                <c:formatCode>0.000</c:formatCode>
                <c:ptCount val="8"/>
                <c:pt idx="0">
                  <c:v>0.96099999999999997</c:v>
                </c:pt>
                <c:pt idx="1">
                  <c:v>0.83</c:v>
                </c:pt>
                <c:pt idx="2">
                  <c:v>0.78388625592417094</c:v>
                </c:pt>
                <c:pt idx="3">
                  <c:v>1.3450236966824651</c:v>
                </c:pt>
                <c:pt idx="4">
                  <c:v>0.8597156398104272</c:v>
                </c:pt>
                <c:pt idx="5">
                  <c:v>0.62511848341232246</c:v>
                </c:pt>
                <c:pt idx="6">
                  <c:v>0.27867298578199057</c:v>
                </c:pt>
                <c:pt idx="7">
                  <c:v>0.61</c:v>
                </c:pt>
              </c:numCache>
            </c:numRef>
          </c:xVal>
          <c:yVal>
            <c:numRef>
              <c:f>'Hammett analysis C2'!$I$12:$I$19</c:f>
              <c:numCache>
                <c:formatCode>General</c:formatCode>
                <c:ptCount val="8"/>
                <c:pt idx="0">
                  <c:v>1.5563649586837358</c:v>
                </c:pt>
                <c:pt idx="1">
                  <c:v>1.5353382441008252</c:v>
                </c:pt>
                <c:pt idx="2">
                  <c:v>1.0117074218498585</c:v>
                </c:pt>
                <c:pt idx="3">
                  <c:v>2.39570263323726</c:v>
                </c:pt>
                <c:pt idx="4">
                  <c:v>1.6850008556127021</c:v>
                </c:pt>
                <c:pt idx="5">
                  <c:v>1.1248961758680651</c:v>
                </c:pt>
                <c:pt idx="6">
                  <c:v>0</c:v>
                </c:pt>
                <c:pt idx="7">
                  <c:v>0.23551561609459348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BF-4F5B-B788-E294161F3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847999"/>
        <c:axId val="1753848479"/>
      </c:scatterChart>
      <c:valAx>
        <c:axId val="175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Sigma minus </a:t>
                </a:r>
                <a:r>
                  <a:rPr lang="en-GB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σ</a:t>
                </a:r>
                <a:r>
                  <a:rPr lang="en-US" sz="8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–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48479"/>
        <c:crosses val="autoZero"/>
        <c:crossBetween val="midCat"/>
      </c:valAx>
      <c:valAx>
        <c:axId val="17538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log10(k2)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Hammett</a:t>
            </a:r>
            <a:r>
              <a:rPr lang="en-GB" baseline="0"/>
              <a:t> Kk</a:t>
            </a:r>
            <a:r>
              <a:rPr lang="en-GB" baseline="-25000"/>
              <a:t>2</a:t>
            </a:r>
            <a:r>
              <a:rPr lang="en-GB" baseline="0"/>
              <a:t> with sigma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'Hammett analysis C2'!$C$12:$C$19</c:f>
              <c:numCache>
                <c:formatCode>General</c:formatCode>
                <c:ptCount val="8"/>
                <c:pt idx="0">
                  <c:v>0.86</c:v>
                </c:pt>
                <c:pt idx="1">
                  <c:v>0.43</c:v>
                </c:pt>
                <c:pt idx="2">
                  <c:v>0.45</c:v>
                </c:pt>
                <c:pt idx="3">
                  <c:v>0.78</c:v>
                </c:pt>
                <c:pt idx="4">
                  <c:v>0.72</c:v>
                </c:pt>
                <c:pt idx="5">
                  <c:v>0.54</c:v>
                </c:pt>
                <c:pt idx="6">
                  <c:v>0.23</c:v>
                </c:pt>
                <c:pt idx="7">
                  <c:v>0.36</c:v>
                </c:pt>
              </c:numCache>
            </c:numRef>
          </c:xVal>
          <c:yVal>
            <c:numRef>
              <c:f>'Hammett analysis C2'!$I$12:$I$19</c:f>
              <c:numCache>
                <c:formatCode>General</c:formatCode>
                <c:ptCount val="8"/>
                <c:pt idx="0">
                  <c:v>1.5563649586837358</c:v>
                </c:pt>
                <c:pt idx="1">
                  <c:v>1.5353382441008252</c:v>
                </c:pt>
                <c:pt idx="2">
                  <c:v>1.0117074218498585</c:v>
                </c:pt>
                <c:pt idx="3">
                  <c:v>2.39570263323726</c:v>
                </c:pt>
                <c:pt idx="4">
                  <c:v>1.6850008556127021</c:v>
                </c:pt>
                <c:pt idx="5">
                  <c:v>1.1248961758680651</c:v>
                </c:pt>
                <c:pt idx="6">
                  <c:v>0</c:v>
                </c:pt>
                <c:pt idx="7">
                  <c:v>0.23551561609459348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B6-4B69-A6E2-6CEB5B734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847999"/>
        <c:axId val="1753848479"/>
      </c:scatterChart>
      <c:valAx>
        <c:axId val="175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Sigma </a:t>
                </a:r>
                <a:r>
                  <a:rPr lang="en-GB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σ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48479"/>
        <c:crosses val="autoZero"/>
        <c:crossBetween val="midCat"/>
      </c:valAx>
      <c:valAx>
        <c:axId val="17538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log10(k2)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Hammett</a:t>
            </a:r>
            <a:r>
              <a:rPr lang="en-GB" baseline="0"/>
              <a:t> Kk</a:t>
            </a:r>
            <a:r>
              <a:rPr lang="en-GB" sz="11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3</a:t>
            </a:r>
            <a:r>
              <a:rPr lang="en-GB" baseline="0"/>
              <a:t> with sigma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'Hammett analysis C2'!$C$12:$C$19</c:f>
              <c:numCache>
                <c:formatCode>General</c:formatCode>
                <c:ptCount val="8"/>
                <c:pt idx="0">
                  <c:v>0.86</c:v>
                </c:pt>
                <c:pt idx="1">
                  <c:v>0.43</c:v>
                </c:pt>
                <c:pt idx="2">
                  <c:v>0.45</c:v>
                </c:pt>
                <c:pt idx="3">
                  <c:v>0.78</c:v>
                </c:pt>
                <c:pt idx="4">
                  <c:v>0.72</c:v>
                </c:pt>
                <c:pt idx="5">
                  <c:v>0.54</c:v>
                </c:pt>
                <c:pt idx="6">
                  <c:v>0.23</c:v>
                </c:pt>
                <c:pt idx="7">
                  <c:v>0.36</c:v>
                </c:pt>
              </c:numCache>
            </c:numRef>
          </c:xVal>
          <c:yVal>
            <c:numRef>
              <c:f>'Hammett analysis C2'!$J$12:$J$19</c:f>
              <c:numCache>
                <c:formatCode>General</c:formatCode>
                <c:ptCount val="8"/>
                <c:pt idx="0">
                  <c:v>3.197225336817028</c:v>
                </c:pt>
                <c:pt idx="1">
                  <c:v>2.8602828303220589</c:v>
                </c:pt>
                <c:pt idx="2">
                  <c:v>2.1567325624978047</c:v>
                </c:pt>
                <c:pt idx="3">
                  <c:v>4.6876296259388788</c:v>
                </c:pt>
                <c:pt idx="4">
                  <c:v>3.0173602262918147</c:v>
                </c:pt>
                <c:pt idx="5">
                  <c:v>2.1849505706946517</c:v>
                </c:pt>
                <c:pt idx="6">
                  <c:v>0</c:v>
                </c:pt>
                <c:pt idx="7">
                  <c:v>1.5561797833504176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8F-4CA0-9661-03A0F4AF1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847999"/>
        <c:axId val="1753848479"/>
      </c:scatterChart>
      <c:valAx>
        <c:axId val="17538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Sigma </a:t>
                </a:r>
                <a:r>
                  <a:rPr lang="en-GB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σ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48479"/>
        <c:crosses val="autoZero"/>
        <c:crossBetween val="midCat"/>
      </c:valAx>
      <c:valAx>
        <c:axId val="17538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log10(k2)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300095</xdr:colOff>
      <xdr:row>20</xdr:row>
      <xdr:rowOff>136547</xdr:rowOff>
    </xdr:from>
    <xdr:to>
      <xdr:col>6</xdr:col>
      <xdr:colOff>30673</xdr:colOff>
      <xdr:row>33</xdr:row>
      <xdr:rowOff>66062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1B241-495A-4FE2-BA50-97662EEAF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300014</xdr:colOff>
      <xdr:row>33</xdr:row>
      <xdr:rowOff>97385</xdr:rowOff>
    </xdr:from>
    <xdr:to>
      <xdr:col>6</xdr:col>
      <xdr:colOff>30592</xdr:colOff>
      <xdr:row>46</xdr:row>
      <xdr:rowOff>34792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59DA04-98AB-4C4B-AD91-566E5ECB3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67074</xdr:colOff>
      <xdr:row>33</xdr:row>
      <xdr:rowOff>89765</xdr:rowOff>
    </xdr:from>
    <xdr:to>
      <xdr:col>9</xdr:col>
      <xdr:colOff>406164</xdr:colOff>
      <xdr:row>46</xdr:row>
      <xdr:rowOff>27172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A8EDFC-FFEA-4A33-84E4-D71FBEC0D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57137</xdr:colOff>
      <xdr:row>20</xdr:row>
      <xdr:rowOff>133040</xdr:rowOff>
    </xdr:from>
    <xdr:to>
      <xdr:col>9</xdr:col>
      <xdr:colOff>396227</xdr:colOff>
      <xdr:row>33</xdr:row>
      <xdr:rowOff>62555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BADA82-1C03-4500-A53F-1F5941492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5C83-C7EB-401C-8BA7-8EC5C37B2633}">
  <sheetPr codeName="Sheet15"/>
  <dimension ref="A1:X43"/>
  <sheetViews>
    <sheetView tabSelected="1" topLeftCell="C17" zoomScaleNormal="100" workbookViewId="0">
      <selection activeCell="N46" sqref="N46"/>
    </sheetView>
  </sheetViews>
  <sheetFormatPr defaultRowHeight="14.4" x14ac:dyDescent="0.3"/>
  <cols>
    <col min="1" max="1" width="17.33203125" bestFit="1" customWidth="1"/>
    <col min="2" max="2" width="11.88671875" bestFit="1" customWidth="1"/>
    <col min="3" max="3" width="14.21875" bestFit="1" customWidth="1"/>
    <col min="4" max="4" width="19.6640625" bestFit="1" customWidth="1"/>
    <col min="5" max="5" width="16" bestFit="1" customWidth="1"/>
    <col min="6" max="6" width="16.44140625" bestFit="1" customWidth="1"/>
    <col min="7" max="7" width="13.109375" bestFit="1" customWidth="1"/>
    <col min="8" max="8" width="12.5546875" bestFit="1" customWidth="1"/>
    <col min="9" max="10" width="17.6640625" bestFit="1" customWidth="1"/>
    <col min="11" max="11" width="12.33203125" bestFit="1" customWidth="1"/>
    <col min="12" max="14" width="14.6640625" bestFit="1" customWidth="1"/>
  </cols>
  <sheetData>
    <row r="1" spans="1:24" x14ac:dyDescent="0.3">
      <c r="A1" s="1" t="s">
        <v>33</v>
      </c>
      <c r="B1" s="2" t="s">
        <v>12</v>
      </c>
      <c r="C1" s="2" t="s">
        <v>16</v>
      </c>
      <c r="D1" s="2" t="s">
        <v>15</v>
      </c>
      <c r="E1" s="1" t="s">
        <v>20</v>
      </c>
      <c r="F1" s="1" t="s">
        <v>21</v>
      </c>
      <c r="G1" s="1" t="s">
        <v>18</v>
      </c>
      <c r="H1" s="1" t="s">
        <v>19</v>
      </c>
      <c r="I1" s="1" t="s">
        <v>22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14</v>
      </c>
    </row>
    <row r="2" spans="1:24" x14ac:dyDescent="0.3">
      <c r="A2" t="s">
        <v>27</v>
      </c>
      <c r="B2" t="s">
        <v>10</v>
      </c>
      <c r="C2" s="3">
        <v>0.27867298578199057</v>
      </c>
      <c r="D2">
        <v>0.23</v>
      </c>
      <c r="E2" s="12">
        <f>G2/16.666666</f>
        <v>4.5155401806216077E-6</v>
      </c>
      <c r="F2" s="12">
        <f>H2/16.666666/1000</f>
        <v>1.4829000593160025E-9</v>
      </c>
      <c r="G2" s="12">
        <v>7.5259000000000006E-5</v>
      </c>
      <c r="H2" s="12">
        <v>2.4715E-5</v>
      </c>
      <c r="I2" s="12">
        <v>1.5423640000000001E-3</v>
      </c>
      <c r="J2" s="8">
        <v>0.99960404599999997</v>
      </c>
      <c r="K2" s="8">
        <v>0.99931931399999996</v>
      </c>
      <c r="L2" s="3">
        <v>0.75521333700000004</v>
      </c>
      <c r="M2" s="3">
        <v>0.91882606600000005</v>
      </c>
      <c r="N2" s="3">
        <f>H2/G2</f>
        <v>0.3283992612179274</v>
      </c>
      <c r="X2" s="4"/>
    </row>
    <row r="3" spans="1:24" x14ac:dyDescent="0.3">
      <c r="A3" t="s">
        <v>28</v>
      </c>
      <c r="B3" t="s">
        <v>13</v>
      </c>
      <c r="C3" s="3">
        <v>0.61</v>
      </c>
      <c r="D3">
        <v>0.36</v>
      </c>
      <c r="E3" s="12">
        <v>7.7664977895542107E-6</v>
      </c>
      <c r="F3" s="12">
        <v>5.3369338793265097E-8</v>
      </c>
      <c r="G3" s="12">
        <f>E3*16.66667</f>
        <v>1.2944165571422946E-4</v>
      </c>
      <c r="H3" s="12">
        <f>F3*16.66666*1000</f>
        <v>8.894886240921597E-4</v>
      </c>
      <c r="I3" s="12">
        <v>2.8452155382806469E-3</v>
      </c>
      <c r="J3" s="8">
        <v>0.99989516982543547</v>
      </c>
      <c r="K3" s="8">
        <v>0.99968291052794422</v>
      </c>
      <c r="L3" s="3">
        <v>0.4594322802906281</v>
      </c>
      <c r="M3" s="3">
        <v>0.7562208870890228</v>
      </c>
      <c r="N3" s="3">
        <f t="shared" ref="N3:N9" si="0">H3/G3</f>
        <v>6.8717339807202311</v>
      </c>
    </row>
    <row r="4" spans="1:24" x14ac:dyDescent="0.3">
      <c r="A4" t="s">
        <v>29</v>
      </c>
      <c r="B4" t="s">
        <v>9</v>
      </c>
      <c r="C4" s="3">
        <v>0.62511848341232246</v>
      </c>
      <c r="D4">
        <v>0.54</v>
      </c>
      <c r="E4" s="12">
        <f>G4/16.666666</f>
        <v>6.0201302408052099E-5</v>
      </c>
      <c r="F4" s="12">
        <f>H4/16.666666/1000</f>
        <v>2.2701912908076519E-7</v>
      </c>
      <c r="G4" s="12">
        <v>1.003355E-3</v>
      </c>
      <c r="H4" s="12">
        <v>3.7836520000000002E-3</v>
      </c>
      <c r="I4" s="12">
        <v>2.564144E-3</v>
      </c>
      <c r="J4" s="8">
        <v>0.99973761900000002</v>
      </c>
      <c r="K4" s="8">
        <v>0.99980241000000003</v>
      </c>
      <c r="L4" s="3">
        <v>0.65386887900000001</v>
      </c>
      <c r="M4" s="3">
        <v>0.54708016199999998</v>
      </c>
      <c r="N4" s="3">
        <f t="shared" si="0"/>
        <v>3.7710002940135845</v>
      </c>
    </row>
    <row r="5" spans="1:24" x14ac:dyDescent="0.3">
      <c r="A5" t="s">
        <v>30</v>
      </c>
      <c r="B5" t="s">
        <v>4</v>
      </c>
      <c r="C5" s="3">
        <v>0.78388625592417094</v>
      </c>
      <c r="D5">
        <v>0.45</v>
      </c>
      <c r="E5" s="12">
        <v>4.6389215565903248E-5</v>
      </c>
      <c r="F5" s="12">
        <v>2.1273776946635121E-7</v>
      </c>
      <c r="G5" s="12">
        <f>E5*16.66667</f>
        <v>7.7315374739577271E-4</v>
      </c>
      <c r="H5" s="12">
        <f>F5*16.66666*1000</f>
        <v>3.5456280728540573E-3</v>
      </c>
      <c r="I5" s="12">
        <v>5.3944677458317046E-4</v>
      </c>
      <c r="J5" s="8">
        <v>0.99975940229041815</v>
      </c>
      <c r="K5" s="8">
        <v>0.99963878148850194</v>
      </c>
      <c r="L5" s="3">
        <v>0.64021621615955671</v>
      </c>
      <c r="M5" s="3">
        <v>0.74613339667647816</v>
      </c>
      <c r="N5" s="3">
        <f t="shared" si="0"/>
        <v>4.5859288463605825</v>
      </c>
    </row>
    <row r="6" spans="1:24" x14ac:dyDescent="0.3">
      <c r="A6" t="s">
        <v>31</v>
      </c>
      <c r="B6" t="s">
        <v>5</v>
      </c>
      <c r="C6" s="3">
        <v>0.83</v>
      </c>
      <c r="D6">
        <v>0.43</v>
      </c>
      <c r="E6" s="12">
        <v>1.548987278415118E-4</v>
      </c>
      <c r="F6" s="12">
        <v>1.0749663490315639E-6</v>
      </c>
      <c r="G6" s="12">
        <f t="shared" ref="G6:G9" si="1">E6*16.66667</f>
        <v>2.5816459803542895E-3</v>
      </c>
      <c r="H6" s="12">
        <f t="shared" ref="H6:H9" si="2">F6*16.66666*1000</f>
        <v>1.7916098650750407E-2</v>
      </c>
      <c r="I6" s="12">
        <v>1.311179897040399E-3</v>
      </c>
      <c r="J6" s="8">
        <v>0.99971551314400109</v>
      </c>
      <c r="K6" s="8">
        <v>0.99958329459591799</v>
      </c>
      <c r="L6" s="3">
        <v>0.64437306824524754</v>
      </c>
      <c r="M6" s="3">
        <v>0.74538983990209939</v>
      </c>
      <c r="N6" s="3">
        <f t="shared" si="0"/>
        <v>6.9397968532818393</v>
      </c>
    </row>
    <row r="7" spans="1:24" x14ac:dyDescent="0.3">
      <c r="A7" t="s">
        <v>34</v>
      </c>
      <c r="B7" t="s">
        <v>8</v>
      </c>
      <c r="C7" s="3">
        <v>0.8597156398104272</v>
      </c>
      <c r="D7">
        <v>0.72</v>
      </c>
      <c r="E7" s="12">
        <f>G7/16.666666</f>
        <v>2.1863040874521637E-4</v>
      </c>
      <c r="F7" s="12">
        <f>H7/16.666666/1000</f>
        <v>1.5433773017350921E-6</v>
      </c>
      <c r="G7" s="12">
        <v>3.6438400000000002E-3</v>
      </c>
      <c r="H7" s="12">
        <v>2.5722953999999999E-2</v>
      </c>
      <c r="I7" s="12">
        <v>9.7276999999999997E-4</v>
      </c>
      <c r="J7" s="8">
        <v>0.99990504400000002</v>
      </c>
      <c r="K7" s="8">
        <v>0.99988304400000005</v>
      </c>
      <c r="L7" s="3">
        <v>0.38698546299999997</v>
      </c>
      <c r="M7" s="3">
        <v>0.42562034999999998</v>
      </c>
      <c r="N7" s="3">
        <f>H7/G7</f>
        <v>7.0592984324229375</v>
      </c>
    </row>
    <row r="8" spans="1:24" x14ac:dyDescent="0.3">
      <c r="A8" t="s">
        <v>32</v>
      </c>
      <c r="B8" t="s">
        <v>6</v>
      </c>
      <c r="C8" s="3">
        <v>0.96099999999999997</v>
      </c>
      <c r="D8">
        <v>0.86</v>
      </c>
      <c r="E8" s="12">
        <v>1.625827875963926E-4</v>
      </c>
      <c r="F8" s="12">
        <v>2.3352714814651741E-6</v>
      </c>
      <c r="G8" s="12">
        <f>E8*16.66667</f>
        <v>2.7097136685491686E-3</v>
      </c>
      <c r="H8" s="12">
        <f>F8*16.66666*1000</f>
        <v>3.8921175789276362E-2</v>
      </c>
      <c r="I8" s="12">
        <v>9.4945669875722244E-4</v>
      </c>
      <c r="J8" s="8">
        <v>0.99972080885976011</v>
      </c>
      <c r="K8" s="8">
        <v>0.99938275435868829</v>
      </c>
      <c r="L8" s="3">
        <v>0.86323453209565459</v>
      </c>
      <c r="M8" s="3">
        <v>1.2191226965582691</v>
      </c>
      <c r="N8" s="3">
        <f t="shared" si="0"/>
        <v>14.363575104271252</v>
      </c>
    </row>
    <row r="9" spans="1:24" x14ac:dyDescent="0.3">
      <c r="A9" t="s">
        <v>35</v>
      </c>
      <c r="B9" t="s">
        <v>7</v>
      </c>
      <c r="C9" s="3">
        <v>1.3450236966824651</v>
      </c>
      <c r="D9">
        <v>0.78</v>
      </c>
      <c r="E9" s="12">
        <v>1.1230840000000001E-3</v>
      </c>
      <c r="F9" s="12">
        <v>7.2234E-5</v>
      </c>
      <c r="G9" s="12">
        <f t="shared" si="1"/>
        <v>1.8718070410280001E-2</v>
      </c>
      <c r="H9" s="12">
        <f t="shared" si="2"/>
        <v>1.2038995184399999</v>
      </c>
      <c r="I9" s="12">
        <v>9.1889000000000001E-4</v>
      </c>
      <c r="J9" s="8">
        <v>0.99915885599999998</v>
      </c>
      <c r="K9" s="8">
        <v>0.99918858799999999</v>
      </c>
      <c r="L9" s="3">
        <v>1.1697754140000001</v>
      </c>
      <c r="M9" s="3">
        <v>1.090285548</v>
      </c>
      <c r="N9" s="3">
        <f t="shared" si="0"/>
        <v>64.317501326355512</v>
      </c>
    </row>
    <row r="11" spans="1:24" x14ac:dyDescent="0.3">
      <c r="A11" s="1" t="s">
        <v>33</v>
      </c>
      <c r="B11" s="2" t="s">
        <v>12</v>
      </c>
      <c r="C11" s="2" t="s">
        <v>11</v>
      </c>
      <c r="D11" s="2" t="s">
        <v>17</v>
      </c>
      <c r="E11" s="1" t="s">
        <v>18</v>
      </c>
      <c r="F11" s="1" t="s">
        <v>19</v>
      </c>
      <c r="G11" s="2" t="s">
        <v>23</v>
      </c>
      <c r="H11" s="2" t="s">
        <v>24</v>
      </c>
      <c r="I11" s="2" t="s">
        <v>25</v>
      </c>
      <c r="J11" s="2" t="s">
        <v>26</v>
      </c>
    </row>
    <row r="12" spans="1:24" x14ac:dyDescent="0.3">
      <c r="A12" t="str">
        <f>A8</f>
        <v>C2_E6</v>
      </c>
      <c r="B12" t="str">
        <f>B8</f>
        <v>CN</v>
      </c>
      <c r="C12">
        <f>D8</f>
        <v>0.86</v>
      </c>
      <c r="D12" s="3">
        <f>C8</f>
        <v>0.96099999999999997</v>
      </c>
      <c r="E12">
        <f>G8</f>
        <v>2.7097136685491686E-3</v>
      </c>
      <c r="F12">
        <f>H8</f>
        <v>3.8921175789276362E-2</v>
      </c>
      <c r="G12">
        <f>LOG10(E12)</f>
        <v>-2.5670765979591423</v>
      </c>
      <c r="H12">
        <f>LOG10(F12)</f>
        <v>-1.4098140483861765</v>
      </c>
      <c r="I12">
        <f t="shared" ref="I12:I19" si="3">G12-$G$18</f>
        <v>1.5563649586837358</v>
      </c>
      <c r="J12">
        <f t="shared" ref="J12:J19" si="4">H12-$H$18</f>
        <v>3.197225336817028</v>
      </c>
    </row>
    <row r="13" spans="1:24" x14ac:dyDescent="0.3">
      <c r="A13" t="str">
        <f>A6</f>
        <v>C2_E5</v>
      </c>
      <c r="B13" t="str">
        <f>B6</f>
        <v>COPh</v>
      </c>
      <c r="C13">
        <f>D6</f>
        <v>0.43</v>
      </c>
      <c r="D13" s="3">
        <f>C6</f>
        <v>0.83</v>
      </c>
      <c r="E13">
        <f>G6</f>
        <v>2.5816459803542895E-3</v>
      </c>
      <c r="F13">
        <f>H6</f>
        <v>1.7916098650750407E-2</v>
      </c>
      <c r="G13">
        <f t="shared" ref="G13:H19" si="5">LOG10(E13)</f>
        <v>-2.5881033125420529</v>
      </c>
      <c r="H13">
        <f t="shared" si="5"/>
        <v>-1.7467565548811461</v>
      </c>
      <c r="I13">
        <f t="shared" si="3"/>
        <v>1.5353382441008252</v>
      </c>
      <c r="J13">
        <f t="shared" si="4"/>
        <v>2.8602828303220589</v>
      </c>
    </row>
    <row r="14" spans="1:24" x14ac:dyDescent="0.3">
      <c r="A14" t="str">
        <f>A5</f>
        <v>C2_E4</v>
      </c>
      <c r="B14" t="str">
        <f>B5</f>
        <v>COOEt</v>
      </c>
      <c r="C14">
        <f>D5</f>
        <v>0.45</v>
      </c>
      <c r="D14" s="3">
        <f>C5</f>
        <v>0.78388625592417094</v>
      </c>
      <c r="E14">
        <f>G5</f>
        <v>7.7315374739577271E-4</v>
      </c>
      <c r="F14">
        <f>H5</f>
        <v>3.5456280728540573E-3</v>
      </c>
      <c r="G14">
        <f t="shared" si="5"/>
        <v>-3.1117341347930196</v>
      </c>
      <c r="H14">
        <f t="shared" si="5"/>
        <v>-2.4503068227054001</v>
      </c>
      <c r="I14">
        <f t="shared" si="3"/>
        <v>1.0117074218498585</v>
      </c>
      <c r="J14">
        <f t="shared" si="4"/>
        <v>2.1567325624978047</v>
      </c>
    </row>
    <row r="15" spans="1:24" x14ac:dyDescent="0.3">
      <c r="A15" t="str">
        <f>A9</f>
        <v>C2_E7a-b</v>
      </c>
      <c r="B15" t="str">
        <f>B9</f>
        <v>NO2</v>
      </c>
      <c r="C15">
        <v>0.78</v>
      </c>
      <c r="D15" s="3">
        <f>C9</f>
        <v>1.3450236966824651</v>
      </c>
      <c r="E15">
        <f>G9</f>
        <v>1.8718070410280001E-2</v>
      </c>
      <c r="F15">
        <f>H9</f>
        <v>1.2038995184399999</v>
      </c>
      <c r="G15">
        <f t="shared" si="5"/>
        <v>-1.727738923405618</v>
      </c>
      <c r="H15">
        <f t="shared" si="5"/>
        <v>8.0590240735673627E-2</v>
      </c>
      <c r="I15">
        <f t="shared" si="3"/>
        <v>2.39570263323726</v>
      </c>
      <c r="J15">
        <f t="shared" si="4"/>
        <v>4.6876296259388788</v>
      </c>
    </row>
    <row r="16" spans="1:24" x14ac:dyDescent="0.3">
      <c r="A16" t="str">
        <f>A7</f>
        <v>C1_E4a-b</v>
      </c>
      <c r="B16" t="str">
        <f>B7</f>
        <v>SO2Me</v>
      </c>
      <c r="C16">
        <f>D7</f>
        <v>0.72</v>
      </c>
      <c r="D16" s="3">
        <f>C7</f>
        <v>0.8597156398104272</v>
      </c>
      <c r="E16">
        <f>G7</f>
        <v>3.6438400000000002E-3</v>
      </c>
      <c r="F16">
        <f>H7</f>
        <v>2.5722953999999999E-2</v>
      </c>
      <c r="G16">
        <f t="shared" si="5"/>
        <v>-2.4384407010301761</v>
      </c>
      <c r="H16">
        <f t="shared" si="5"/>
        <v>-1.5896791589113901</v>
      </c>
      <c r="I16">
        <f t="shared" si="3"/>
        <v>1.6850008556127021</v>
      </c>
      <c r="J16">
        <f t="shared" si="4"/>
        <v>3.0173602262918147</v>
      </c>
    </row>
    <row r="17" spans="1:10" x14ac:dyDescent="0.3">
      <c r="A17" t="str">
        <f>A4</f>
        <v>C2_E3</v>
      </c>
      <c r="B17" t="str">
        <f>B4</f>
        <v>CF3</v>
      </c>
      <c r="C17">
        <f>D4</f>
        <v>0.54</v>
      </c>
      <c r="D17" s="3">
        <f>C4</f>
        <v>0.62511848341232246</v>
      </c>
      <c r="E17">
        <f>G4</f>
        <v>1.003355E-3</v>
      </c>
      <c r="F17">
        <f>H4</f>
        <v>3.7836520000000002E-3</v>
      </c>
      <c r="G17">
        <f t="shared" si="5"/>
        <v>-2.998545380774813</v>
      </c>
      <c r="H17">
        <f t="shared" si="5"/>
        <v>-2.4220888145085531</v>
      </c>
      <c r="I17">
        <f t="shared" si="3"/>
        <v>1.1248961758680651</v>
      </c>
      <c r="J17">
        <f t="shared" si="4"/>
        <v>2.1849505706946517</v>
      </c>
    </row>
    <row r="18" spans="1:10" x14ac:dyDescent="0.3">
      <c r="A18" t="str">
        <f>A2</f>
        <v>C2_E1</v>
      </c>
      <c r="B18" t="str">
        <f>B2</f>
        <v>Cl</v>
      </c>
      <c r="C18">
        <f>D2</f>
        <v>0.23</v>
      </c>
      <c r="D18" s="3">
        <f>C2</f>
        <v>0.27867298578199057</v>
      </c>
      <c r="E18">
        <f>G2</f>
        <v>7.5259000000000006E-5</v>
      </c>
      <c r="F18">
        <f>H2</f>
        <v>2.4715E-5</v>
      </c>
      <c r="G18">
        <f t="shared" si="5"/>
        <v>-4.1234415566428781</v>
      </c>
      <c r="H18">
        <f t="shared" si="5"/>
        <v>-4.6070393852032048</v>
      </c>
      <c r="I18">
        <f t="shared" si="3"/>
        <v>0</v>
      </c>
      <c r="J18">
        <f t="shared" si="4"/>
        <v>0</v>
      </c>
    </row>
    <row r="19" spans="1:10" x14ac:dyDescent="0.3">
      <c r="A19" t="str">
        <f>A3</f>
        <v>C2_E2</v>
      </c>
      <c r="B19" t="str">
        <f>B3</f>
        <v>CONH2</v>
      </c>
      <c r="C19">
        <f>D3</f>
        <v>0.36</v>
      </c>
      <c r="D19" s="3">
        <f>C3</f>
        <v>0.61</v>
      </c>
      <c r="E19">
        <f>G3</f>
        <v>1.2944165571422946E-4</v>
      </c>
      <c r="F19">
        <f>H3</f>
        <v>8.894886240921597E-4</v>
      </c>
      <c r="G19">
        <f t="shared" si="5"/>
        <v>-3.8879259405482847</v>
      </c>
      <c r="H19">
        <f t="shared" si="5"/>
        <v>-3.0508596018527872</v>
      </c>
      <c r="I19">
        <f t="shared" si="3"/>
        <v>0.23551561609459348</v>
      </c>
      <c r="J19">
        <f t="shared" si="4"/>
        <v>1.5561797833504176</v>
      </c>
    </row>
    <row r="22" spans="1:10" x14ac:dyDescent="0.3">
      <c r="A22" s="7"/>
    </row>
    <row r="23" spans="1:10" x14ac:dyDescent="0.3">
      <c r="D23" s="7"/>
      <c r="E23" s="7"/>
      <c r="F23" s="7"/>
      <c r="G23" s="5"/>
    </row>
    <row r="24" spans="1:10" x14ac:dyDescent="0.3">
      <c r="F24" s="7"/>
      <c r="G24" s="5"/>
      <c r="H24" s="7"/>
    </row>
    <row r="25" spans="1:10" x14ac:dyDescent="0.3">
      <c r="H25" s="6"/>
    </row>
    <row r="26" spans="1:10" x14ac:dyDescent="0.3">
      <c r="E26" s="7"/>
      <c r="F26" s="7"/>
      <c r="H26" s="7"/>
    </row>
    <row r="27" spans="1:10" x14ac:dyDescent="0.3">
      <c r="A27" s="2"/>
      <c r="B27" s="2"/>
      <c r="C27" s="2"/>
      <c r="D27" s="2"/>
      <c r="E27" s="7"/>
      <c r="F27" s="1"/>
      <c r="G27" s="1"/>
      <c r="H27" s="7"/>
    </row>
    <row r="28" spans="1:10" x14ac:dyDescent="0.3">
      <c r="D28" s="3"/>
    </row>
    <row r="29" spans="1:10" x14ac:dyDescent="0.3">
      <c r="D29" s="3"/>
      <c r="G29" s="7"/>
    </row>
    <row r="30" spans="1:10" x14ac:dyDescent="0.3">
      <c r="D30" s="7"/>
      <c r="G30" s="6"/>
    </row>
    <row r="31" spans="1:10" x14ac:dyDescent="0.3">
      <c r="D31" s="6"/>
      <c r="G31" s="7"/>
    </row>
    <row r="32" spans="1:10" x14ac:dyDescent="0.3">
      <c r="D32" s="7"/>
      <c r="G32" s="7"/>
    </row>
    <row r="33" spans="4:14" x14ac:dyDescent="0.3">
      <c r="D33" s="7"/>
    </row>
    <row r="34" spans="4:14" x14ac:dyDescent="0.3">
      <c r="D34" s="7"/>
      <c r="G34" s="7"/>
    </row>
    <row r="35" spans="4:14" x14ac:dyDescent="0.3">
      <c r="D35" s="7"/>
      <c r="G35" s="6"/>
    </row>
    <row r="36" spans="4:14" x14ac:dyDescent="0.3">
      <c r="D36" s="7"/>
      <c r="G36" s="7"/>
    </row>
    <row r="37" spans="4:14" x14ac:dyDescent="0.3">
      <c r="G37" s="7"/>
      <c r="H37" s="3"/>
      <c r="I37" s="3"/>
      <c r="J37" s="3"/>
    </row>
    <row r="40" spans="4:14" x14ac:dyDescent="0.3">
      <c r="G40" s="11"/>
      <c r="H40" s="9"/>
      <c r="I40" s="10"/>
      <c r="J40" s="8"/>
      <c r="L40" s="3"/>
      <c r="M40" s="9"/>
      <c r="N40" s="9"/>
    </row>
    <row r="41" spans="4:14" x14ac:dyDescent="0.3">
      <c r="G41" s="6"/>
    </row>
    <row r="42" spans="4:14" x14ac:dyDescent="0.3">
      <c r="G42" s="7"/>
    </row>
    <row r="43" spans="4:14" x14ac:dyDescent="0.3">
      <c r="G43" s="7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Hammett analysis 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2025-02-11T07:40:28Z</dcterms:created>
  <dcterms:modified xsi:type="dcterms:W3CDTF">2026-01-12T19:17:24Z</dcterms:modified>
</cp:coreProperties>
</file>
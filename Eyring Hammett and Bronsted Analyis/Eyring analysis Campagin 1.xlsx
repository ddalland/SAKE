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yring Hammett and Bronsted Analyis/"/>
    </mc:Choice>
  </mc:AlternateContent>
  <xr:revisionPtr revIDLastSave="318" documentId="8_{B5F78F6A-5B01-42E9-966A-38658A444B12}" xr6:coauthVersionLast="47" xr6:coauthVersionMax="47" xr10:uidLastSave="{12D96B7E-5C12-45FF-9C25-0C74ACF6AD1A}"/>
  <bookViews>
    <workbookView xWindow="28680" yWindow="-120" windowWidth="29040" windowHeight="15720" xr2:uid="{00000000-000D-0000-FFFF-FFFF00000000}"/>
  </bookViews>
  <sheets>
    <sheet name="Campaign 1 Eyring analysis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30" l="1"/>
  <c r="Q20" i="30"/>
  <c r="D6" i="30"/>
  <c r="D5" i="30"/>
  <c r="C6" i="30"/>
  <c r="C5" i="30"/>
  <c r="L3" i="30"/>
  <c r="L4" i="30"/>
  <c r="L5" i="30"/>
  <c r="L6" i="30"/>
  <c r="L7" i="30"/>
  <c r="L8" i="30"/>
  <c r="L9" i="30"/>
  <c r="L10" i="30"/>
  <c r="L12" i="30" s="1"/>
  <c r="L2" i="30"/>
  <c r="E16" i="30" l="1"/>
  <c r="A16" i="30"/>
  <c r="B16" i="30"/>
  <c r="C16" i="30" s="1"/>
  <c r="D16" i="30" s="1"/>
  <c r="B26" i="30"/>
  <c r="E26" i="30"/>
  <c r="M5" i="30"/>
  <c r="E3" i="30"/>
  <c r="M6" i="30" l="1"/>
  <c r="F26" i="30"/>
  <c r="G26" i="30" s="1"/>
  <c r="F16" i="30"/>
  <c r="G16" i="30" s="1"/>
  <c r="C26" i="30"/>
  <c r="D26" i="30" s="1"/>
  <c r="E22" i="30"/>
  <c r="B28" i="30" l="1"/>
  <c r="C28" i="30" s="1"/>
  <c r="D28" i="30" s="1"/>
  <c r="B27" i="30"/>
  <c r="C27" i="30" s="1"/>
  <c r="D27" i="30" s="1"/>
  <c r="B25" i="30"/>
  <c r="C25" i="30" s="1"/>
  <c r="D25" i="30" s="1"/>
  <c r="B24" i="30"/>
  <c r="C24" i="30" s="1"/>
  <c r="D24" i="30" s="1"/>
  <c r="B23" i="30"/>
  <c r="C23" i="30" s="1"/>
  <c r="D23" i="30" s="1"/>
  <c r="F22" i="30"/>
  <c r="G22" i="30" s="1"/>
  <c r="B22" i="30"/>
  <c r="C22" i="30" s="1"/>
  <c r="D22" i="30" s="1"/>
  <c r="P19" i="30"/>
  <c r="P20" i="30" s="1"/>
  <c r="O19" i="30"/>
  <c r="O20" i="30" s="1"/>
  <c r="A18" i="30"/>
  <c r="B18" i="30" s="1"/>
  <c r="C18" i="30" s="1"/>
  <c r="D18" i="30" s="1"/>
  <c r="A17" i="30"/>
  <c r="B17" i="30" s="1"/>
  <c r="C17" i="30" s="1"/>
  <c r="D17" i="30" s="1"/>
  <c r="E15" i="30"/>
  <c r="A15" i="30"/>
  <c r="B15" i="30" s="1"/>
  <c r="C15" i="30" s="1"/>
  <c r="D15" i="30" s="1"/>
  <c r="A14" i="30"/>
  <c r="B14" i="30" s="1"/>
  <c r="C14" i="30" s="1"/>
  <c r="D14" i="30" s="1"/>
  <c r="B13" i="30"/>
  <c r="C13" i="30" s="1"/>
  <c r="D13" i="30" s="1"/>
  <c r="A13" i="30"/>
  <c r="A12" i="30"/>
  <c r="B12" i="30" s="1"/>
  <c r="C12" i="30" s="1"/>
  <c r="D12" i="30" s="1"/>
  <c r="F8" i="30"/>
  <c r="E8" i="30"/>
  <c r="E18" i="30" s="1"/>
  <c r="F7" i="30"/>
  <c r="M7" i="30" s="1"/>
  <c r="E7" i="30"/>
  <c r="E17" i="30" s="1"/>
  <c r="F4" i="30"/>
  <c r="M4" i="30" s="1"/>
  <c r="E4" i="30"/>
  <c r="E14" i="30" s="1"/>
  <c r="F3" i="30"/>
  <c r="E23" i="30" s="1"/>
  <c r="F23" i="30" s="1"/>
  <c r="G23" i="30" s="1"/>
  <c r="E13" i="30"/>
  <c r="F2" i="30"/>
  <c r="E2" i="30"/>
  <c r="M2" i="30" s="1"/>
  <c r="F13" i="30" l="1"/>
  <c r="G13" i="30" s="1"/>
  <c r="F18" i="30"/>
  <c r="G18" i="30" s="1"/>
  <c r="F17" i="30"/>
  <c r="G17" i="30" s="1"/>
  <c r="E12" i="30"/>
  <c r="M8" i="30"/>
  <c r="E24" i="30"/>
  <c r="F24" i="30" s="1"/>
  <c r="G24" i="30" s="1"/>
  <c r="M9" i="30"/>
  <c r="E27" i="30"/>
  <c r="F27" i="30" s="1"/>
  <c r="G27" i="30" s="1"/>
  <c r="M3" i="30"/>
  <c r="F14" i="30"/>
  <c r="G14" i="30" s="1"/>
  <c r="F12" i="30"/>
  <c r="G12" i="30" s="1"/>
  <c r="F15" i="30"/>
  <c r="G15" i="30" s="1"/>
  <c r="P22" i="30"/>
  <c r="P23" i="30" s="1"/>
  <c r="O22" i="30"/>
  <c r="O23" i="30" s="1"/>
  <c r="E28" i="30"/>
  <c r="F28" i="30" s="1"/>
  <c r="G28" i="30" s="1"/>
  <c r="E25" i="30"/>
  <c r="F25" i="30" s="1"/>
  <c r="G25" i="30" s="1"/>
</calcChain>
</file>

<file path=xl/sharedStrings.xml><?xml version="1.0" encoding="utf-8"?>
<sst xmlns="http://schemas.openxmlformats.org/spreadsheetml/2006/main" count="53" uniqueCount="45">
  <si>
    <t>Dataset</t>
  </si>
  <si>
    <t>R2_A</t>
  </si>
  <si>
    <t>R2_P</t>
  </si>
  <si>
    <t>RMSE_A</t>
  </si>
  <si>
    <t>RMSE_P</t>
  </si>
  <si>
    <t>Temperature</t>
  </si>
  <si>
    <t>T / oC</t>
  </si>
  <si>
    <t>T / K</t>
  </si>
  <si>
    <t xml:space="preserve">1/T </t>
  </si>
  <si>
    <t>1/(T*R)</t>
  </si>
  <si>
    <t>k/T</t>
  </si>
  <si>
    <t>Ln(k/T)</t>
  </si>
  <si>
    <t>Slope</t>
  </si>
  <si>
    <t>Intercept</t>
  </si>
  <si>
    <t>k3/k2</t>
  </si>
  <si>
    <t>Kk2 / M-1s-1</t>
  </si>
  <si>
    <t>Kk3 / M-2s-1</t>
  </si>
  <si>
    <t>Kk2 / mM-1min-1</t>
  </si>
  <si>
    <t>Plank constant (h)</t>
  </si>
  <si>
    <t>Boltzmann constant (kb)</t>
  </si>
  <si>
    <t>Ln(kb/h)</t>
  </si>
  <si>
    <t xml:space="preserve">Ideal gas constant (R) </t>
  </si>
  <si>
    <t>Eyring Analysis for non-Catalytic Pathway (Kk2)</t>
  </si>
  <si>
    <t>Eyring Analysis for non-Catalytic Pathway (Kk3)</t>
  </si>
  <si>
    <t>ΔH / kcal/mol</t>
  </si>
  <si>
    <t>ΔH / kJ/mol</t>
  </si>
  <si>
    <t>ΔS / cal/K/mol</t>
  </si>
  <si>
    <t>ΔS / J/K/mol</t>
  </si>
  <si>
    <t>Parameter</t>
  </si>
  <si>
    <t>Pathway</t>
  </si>
  <si>
    <t>non-catalytic</t>
  </si>
  <si>
    <r>
      <t>Kk</t>
    </r>
    <r>
      <rPr>
        <vertAlign val="subscript"/>
        <sz val="11"/>
        <color theme="1"/>
        <rFont val="Aptos Narrow"/>
        <family val="2"/>
        <scheme val="minor"/>
      </rPr>
      <t>2</t>
    </r>
  </si>
  <si>
    <t>Catalytic</t>
  </si>
  <si>
    <r>
      <t>Kk</t>
    </r>
    <r>
      <rPr>
        <vertAlign val="subscript"/>
        <sz val="11"/>
        <color theme="1"/>
        <rFont val="Aptos Narrow"/>
        <family val="2"/>
        <scheme val="minor"/>
      </rPr>
      <t>3</t>
    </r>
  </si>
  <si>
    <t>Kk3 /  mM-2min-1</t>
  </si>
  <si>
    <t>KI</t>
  </si>
  <si>
    <t>C1_E1</t>
  </si>
  <si>
    <t>C1_E2</t>
  </si>
  <si>
    <t>C1_E3</t>
  </si>
  <si>
    <t>C1_E5</t>
  </si>
  <si>
    <t>C1_E6</t>
  </si>
  <si>
    <t>C1_E7</t>
  </si>
  <si>
    <t>C1_E4a</t>
  </si>
  <si>
    <t>C1_E4b</t>
  </si>
  <si>
    <t>Total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</si>
</sst>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595959"/>
      <name val="Aptos Narrow"/>
      <family val="2"/>
      <scheme val="minor"/>
    </font>
    <font>
      <sz val="14"/>
      <color rgb="FF59595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Eyring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'Campaign 1 Eyring analysis'!$G$11</c:f>
              <c:strCache>
                <c:ptCount val="1"/>
                <c:pt idx="0">
                  <c:v>Ln(k/T)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81807606887527"/>
                  <c:y val="-0.18544065594741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'Campaign 1 Eyring analysis'!$C$12:$C$18</c:f>
              <c:numCache>
                <c:formatCode>General</c:formatCode>
                <c:ptCount val="7"/>
                <c:pt idx="0">
                  <c:v>3.3540164346805303E-3</c:v>
                </c:pt>
                <c:pt idx="1">
                  <c:v>3.1431714600031434E-3</c:v>
                </c:pt>
                <c:pt idx="2">
                  <c:v>2.9141774734081308E-3</c:v>
                </c:pt>
                <c:pt idx="3">
                  <c:v>2.738600575106121E-3</c:v>
                </c:pt>
                <c:pt idx="4">
                  <c:v>2.738600575106121E-3</c:v>
                </c:pt>
                <c:pt idx="5">
                  <c:v>2.5763235862424324E-3</c:v>
                </c:pt>
                <c:pt idx="6">
                  <c:v>2.4804663276696021E-3</c:v>
                </c:pt>
              </c:numCache>
            </c:numRef>
          </c:xVal>
          <c:yVal>
            <c:numRef>
              <c:f>'Campaign 1 Eyring analysis'!$G$12:$G$18</c:f>
              <c:numCache>
                <c:formatCode>General</c:formatCode>
                <c:ptCount val="7"/>
                <c:pt idx="0">
                  <c:v>-14.30399119415309</c:v>
                </c:pt>
                <c:pt idx="1">
                  <c:v>-13.234957579692868</c:v>
                </c:pt>
                <c:pt idx="2">
                  <c:v>-12.267659520174361</c:v>
                </c:pt>
                <c:pt idx="3">
                  <c:v>-11.518698360662706</c:v>
                </c:pt>
                <c:pt idx="4">
                  <c:v>-11.503889593943539</c:v>
                </c:pt>
                <c:pt idx="5">
                  <c:v>-10.719738473426949</c:v>
                </c:pt>
                <c:pt idx="6">
                  <c:v>-10.175742210938727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0-4783-9A4E-CCBD6E7EA17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2344256810178"/>
                  <c:y val="-0.15786483709377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'Campaign 1 Eyring analysis'!$C$22:$C$28</c:f>
              <c:numCache>
                <c:formatCode>General</c:formatCode>
                <c:ptCount val="7"/>
                <c:pt idx="0">
                  <c:v>3.3540164346805303E-3</c:v>
                </c:pt>
                <c:pt idx="1">
                  <c:v>3.1431714600031434E-3</c:v>
                </c:pt>
                <c:pt idx="2">
                  <c:v>2.9141774734081308E-3</c:v>
                </c:pt>
                <c:pt idx="3">
                  <c:v>2.738600575106121E-3</c:v>
                </c:pt>
                <c:pt idx="4">
                  <c:v>2.738600575106121E-3</c:v>
                </c:pt>
                <c:pt idx="5">
                  <c:v>2.5763235862424324E-3</c:v>
                </c:pt>
                <c:pt idx="6">
                  <c:v>2.4804663276696021E-3</c:v>
                </c:pt>
              </c:numCache>
            </c:numRef>
          </c:xVal>
          <c:yVal>
            <c:numRef>
              <c:f>'Campaign 1 Eyring analysis'!$G$22:$G$28</c:f>
              <c:numCache>
                <c:formatCode>General</c:formatCode>
                <c:ptCount val="7"/>
                <c:pt idx="0">
                  <c:v>-11.323057884704214</c:v>
                </c:pt>
                <c:pt idx="1">
                  <c:v>-10.760067221409702</c:v>
                </c:pt>
                <c:pt idx="2">
                  <c:v>-10.114533065087207</c:v>
                </c:pt>
                <c:pt idx="3">
                  <c:v>-9.5985213456116671</c:v>
                </c:pt>
                <c:pt idx="4">
                  <c:v>-9.4407940567200672</c:v>
                </c:pt>
                <c:pt idx="5">
                  <c:v>-9.0349517185456865</c:v>
                </c:pt>
                <c:pt idx="6">
                  <c:v>-8.8905586767621809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D0-4783-9A4E-CCBD6E7E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618864"/>
        <c:axId val="1421628944"/>
      </c:scatterChart>
      <c:valAx>
        <c:axId val="1421618864"/>
        <c:scaling>
          <c:orientation val="minMax"/>
          <c:min val="2.3000000000000004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28944"/>
        <c:crosses val="autoZero"/>
        <c:crossBetween val="midCat"/>
      </c:valAx>
      <c:valAx>
        <c:axId val="1421628944"/>
        <c:scaling>
          <c:orientation val="minMax"/>
          <c:max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Ln(k/T)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1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306246</xdr:colOff>
      <xdr:row>13</xdr:row>
      <xdr:rowOff>112457</xdr:rowOff>
    </xdr:from>
    <xdr:to>
      <xdr:col>12</xdr:col>
      <xdr:colOff>539136</xdr:colOff>
      <xdr:row>28</xdr:row>
      <xdr:rowOff>138424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D0740-A530-4ED6-882C-5316EB7BE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BE7B-06AA-409E-BC36-5A14131DB675}">
  <sheetPr codeName="Sheet26"/>
  <dimension ref="A1:Q36"/>
  <sheetViews>
    <sheetView tabSelected="1" zoomScale="132" zoomScaleNormal="190" workbookViewId="0">
      <selection activeCell="G2" sqref="F2:G7"/>
    </sheetView>
  </sheetViews>
  <sheetFormatPr defaultRowHeight="14.4" x14ac:dyDescent="0.3"/>
  <cols>
    <col min="1" max="1" width="14.109375" customWidth="1"/>
    <col min="2" max="2" width="12.33203125" customWidth="1"/>
    <col min="3" max="3" width="16.21875" customWidth="1"/>
    <col min="4" max="4" width="16.6640625" customWidth="1"/>
    <col min="5" max="5" width="12.21875" customWidth="1"/>
    <col min="6" max="6" width="13.88671875" customWidth="1"/>
    <col min="7" max="7" width="21.33203125" customWidth="1"/>
    <col min="8" max="9" width="12.33203125" customWidth="1"/>
    <col min="10" max="10" width="11.33203125" customWidth="1"/>
    <col min="11" max="11" width="23.77734375" customWidth="1"/>
    <col min="12" max="12" width="13.33203125" customWidth="1"/>
    <col min="13" max="13" width="12.44140625" customWidth="1"/>
    <col min="14" max="14" width="12.33203125" customWidth="1"/>
    <col min="15" max="15" width="12.88671875" customWidth="1"/>
    <col min="17" max="18" width="12.33203125" customWidth="1"/>
  </cols>
  <sheetData>
    <row r="1" spans="1:16" x14ac:dyDescent="0.3">
      <c r="A1" s="1" t="s">
        <v>0</v>
      </c>
      <c r="B1" s="2" t="s">
        <v>5</v>
      </c>
      <c r="C1" s="1" t="s">
        <v>17</v>
      </c>
      <c r="D1" s="1" t="s">
        <v>34</v>
      </c>
      <c r="E1" s="1" t="s">
        <v>15</v>
      </c>
      <c r="F1" s="1" t="s">
        <v>16</v>
      </c>
      <c r="G1" s="1" t="s">
        <v>35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44</v>
      </c>
      <c r="M1" s="1" t="s">
        <v>14</v>
      </c>
    </row>
    <row r="2" spans="1:16" x14ac:dyDescent="0.3">
      <c r="A2" t="s">
        <v>36</v>
      </c>
      <c r="B2">
        <v>25</v>
      </c>
      <c r="C2" s="3">
        <v>1.0975981249108599E-5</v>
      </c>
      <c r="D2" s="3">
        <v>2.1629358444509881E-7</v>
      </c>
      <c r="E2">
        <f>C2*16.6666</f>
        <v>1.8293228908639338E-4</v>
      </c>
      <c r="F2">
        <f>D2*16.6667*1000</f>
        <v>3.6049002838711279E-3</v>
      </c>
      <c r="G2">
        <v>5.2860105851116365E-4</v>
      </c>
      <c r="H2" s="4">
        <v>0.99993683143832746</v>
      </c>
      <c r="I2" s="4">
        <v>0.99997868691855629</v>
      </c>
      <c r="J2" s="6">
        <v>0.36257134259242418</v>
      </c>
      <c r="K2" s="6">
        <v>0.2026292969910739</v>
      </c>
      <c r="L2" s="6">
        <f>SUM(J2:K2)/2</f>
        <v>0.28260031979174904</v>
      </c>
      <c r="M2" s="6">
        <f t="shared" ref="M2:M4" si="0">F2/E2</f>
        <v>19.706200047431992</v>
      </c>
    </row>
    <row r="3" spans="1:16" x14ac:dyDescent="0.3">
      <c r="A3" t="s">
        <v>37</v>
      </c>
      <c r="B3">
        <v>45</v>
      </c>
      <c r="C3" s="3">
        <v>3.4112682337384499E-5</v>
      </c>
      <c r="D3" s="3">
        <v>4.05270031540397E-7</v>
      </c>
      <c r="E3">
        <f>C3*16.6666</f>
        <v>5.685424314442524E-4</v>
      </c>
      <c r="F3">
        <f t="shared" ref="F3" si="1">D3*16.6667*1000</f>
        <v>6.7545140346743342E-3</v>
      </c>
      <c r="G3">
        <v>8.0440361525590002E-4</v>
      </c>
      <c r="H3" s="4">
        <v>0.99985592769834519</v>
      </c>
      <c r="I3" s="4">
        <v>0.99985528002627866</v>
      </c>
      <c r="J3" s="6">
        <v>0.42080420450771699</v>
      </c>
      <c r="K3" s="6">
        <v>0.40312357448783898</v>
      </c>
      <c r="L3" s="6">
        <f t="shared" ref="L3:L9" si="2">SUM(J3:K3)/2</f>
        <v>0.41196388949777796</v>
      </c>
      <c r="M3" s="6">
        <f t="shared" si="0"/>
        <v>11.880404453746806</v>
      </c>
    </row>
    <row r="4" spans="1:16" x14ac:dyDescent="0.3">
      <c r="A4" t="s">
        <v>38</v>
      </c>
      <c r="B4">
        <v>70</v>
      </c>
      <c r="C4" s="3">
        <v>9.67966116827494E-5</v>
      </c>
      <c r="D4" s="3">
        <v>8.3358230658977965E-7</v>
      </c>
      <c r="E4">
        <f>C4*16.6666</f>
        <v>1.6132704082717111E-3</v>
      </c>
      <c r="F4">
        <f>D4*16.6667*1000</f>
        <v>1.389306622923988E-2</v>
      </c>
      <c r="G4">
        <v>5.9087092209839846E-4</v>
      </c>
      <c r="H4" s="4">
        <v>0.99983689826740474</v>
      </c>
      <c r="I4" s="4">
        <v>0.99976497013887977</v>
      </c>
      <c r="J4" s="6">
        <v>0.61545085069545447</v>
      </c>
      <c r="K4" s="6">
        <v>0.71620964486602612</v>
      </c>
      <c r="L4" s="6">
        <f t="shared" si="2"/>
        <v>0.66583024778074029</v>
      </c>
      <c r="M4" s="6">
        <f t="shared" si="0"/>
        <v>8.611740572445914</v>
      </c>
    </row>
    <row r="5" spans="1:16" x14ac:dyDescent="0.3">
      <c r="A5" t="s">
        <v>42</v>
      </c>
      <c r="B5">
        <v>92</v>
      </c>
      <c r="C5" s="3">
        <f>E5/16.66666</f>
        <v>2.1782894713157886E-4</v>
      </c>
      <c r="D5" s="3">
        <f>F5/16.66666/1000</f>
        <v>1.4860652344260937E-6</v>
      </c>
      <c r="E5">
        <v>3.6304810000000001E-3</v>
      </c>
      <c r="F5">
        <v>2.4767744000000001E-2</v>
      </c>
      <c r="G5">
        <v>1.071624E-3</v>
      </c>
      <c r="H5" s="4">
        <v>0.99980513699999995</v>
      </c>
      <c r="I5" s="4">
        <v>0.999847084</v>
      </c>
      <c r="J5" s="6">
        <v>0.44015964099999999</v>
      </c>
      <c r="K5" s="6">
        <v>0.36466584200000002</v>
      </c>
      <c r="L5" s="6">
        <f t="shared" si="2"/>
        <v>0.4024127415</v>
      </c>
      <c r="M5" s="6">
        <f>F5/E5</f>
        <v>6.8221659884737038</v>
      </c>
    </row>
    <row r="6" spans="1:16" x14ac:dyDescent="0.3">
      <c r="A6" t="s">
        <v>43</v>
      </c>
      <c r="B6">
        <v>92</v>
      </c>
      <c r="C6" s="3">
        <f>E6/16.66666</f>
        <v>2.2107872843149135E-4</v>
      </c>
      <c r="D6" s="3">
        <f>F6/16.66666/1000</f>
        <v>1.7399547959819186E-6</v>
      </c>
      <c r="E6">
        <v>3.6846439999999999E-3</v>
      </c>
      <c r="F6">
        <v>2.8999235000000002E-2</v>
      </c>
      <c r="G6">
        <v>1.1612899999999999E-3</v>
      </c>
      <c r="H6" s="4">
        <v>0.999952116</v>
      </c>
      <c r="I6" s="4">
        <v>0.99992502900000002</v>
      </c>
      <c r="J6" s="6">
        <v>0.30062058800000002</v>
      </c>
      <c r="K6" s="6">
        <v>0.36755410799999999</v>
      </c>
      <c r="L6" s="6">
        <f t="shared" si="2"/>
        <v>0.33408734800000001</v>
      </c>
      <c r="M6" s="6">
        <f>F6/E6</f>
        <v>7.870294932156269</v>
      </c>
    </row>
    <row r="7" spans="1:16" x14ac:dyDescent="0.3">
      <c r="A7" t="s">
        <v>39</v>
      </c>
      <c r="B7">
        <v>115</v>
      </c>
      <c r="C7" s="3">
        <v>5.1478906314642307E-4</v>
      </c>
      <c r="D7" s="3">
        <v>2.7753662113074489E-6</v>
      </c>
      <c r="E7">
        <f>C7*16.6666</f>
        <v>8.5797833998361751E-3</v>
      </c>
      <c r="F7">
        <f>D7*16.6667*1000</f>
        <v>4.625619603399786E-2</v>
      </c>
      <c r="G7">
        <v>1.343331382772726E-3</v>
      </c>
      <c r="H7" s="4">
        <v>0.99983586296818494</v>
      </c>
      <c r="I7" s="4">
        <v>0.99973192545903977</v>
      </c>
      <c r="J7" s="6">
        <v>0.57135687606664853</v>
      </c>
      <c r="K7" s="6">
        <v>0.69968446025940889</v>
      </c>
      <c r="L7" s="6">
        <f t="shared" si="2"/>
        <v>0.63552066816302877</v>
      </c>
      <c r="M7" s="6">
        <f>F7/E7</f>
        <v>5.3913011411081877</v>
      </c>
    </row>
    <row r="8" spans="1:16" x14ac:dyDescent="0.3">
      <c r="A8" t="s">
        <v>40</v>
      </c>
      <c r="B8">
        <v>130</v>
      </c>
      <c r="C8" s="3">
        <v>9.2119370219904669E-4</v>
      </c>
      <c r="D8" s="3">
        <v>3.3304005651500199E-6</v>
      </c>
      <c r="E8">
        <f>C8*16.6666</f>
        <v>1.5353166957070631E-2</v>
      </c>
      <c r="F8">
        <f>D8*16.6667*1000</f>
        <v>5.5506787099185828E-2</v>
      </c>
      <c r="G8">
        <v>1.646115759768256E-3</v>
      </c>
      <c r="H8" s="4">
        <v>0.99984606936078624</v>
      </c>
      <c r="I8" s="4">
        <v>0.99957994975182196</v>
      </c>
      <c r="J8" s="6">
        <v>0.39616963641332631</v>
      </c>
      <c r="K8" s="6">
        <v>0.63334172135599132</v>
      </c>
      <c r="L8" s="6">
        <f t="shared" si="2"/>
        <v>0.51475567888465878</v>
      </c>
      <c r="M8" s="6">
        <f>F8/E8</f>
        <v>3.6153314332078668</v>
      </c>
    </row>
    <row r="9" spans="1:16" x14ac:dyDescent="0.3">
      <c r="A9" t="s">
        <v>41</v>
      </c>
      <c r="B9">
        <v>145</v>
      </c>
      <c r="C9" s="3"/>
      <c r="D9" s="3"/>
      <c r="E9" s="3">
        <v>2.0236000000000001E-2</v>
      </c>
      <c r="F9" s="5">
        <v>6.8240000000000002E-3</v>
      </c>
      <c r="G9">
        <v>1.0000000000025639E-6</v>
      </c>
      <c r="H9" s="4">
        <v>0.99793324687234819</v>
      </c>
      <c r="I9" s="4">
        <v>0.99718686644808174</v>
      </c>
      <c r="J9" s="6">
        <v>1.8651354089137211</v>
      </c>
      <c r="K9" s="6">
        <v>2.0728074926829678</v>
      </c>
      <c r="L9" s="6">
        <f t="shared" si="2"/>
        <v>1.9689714507983445</v>
      </c>
      <c r="M9" s="6">
        <f>F9/E9</f>
        <v>0.33722079462344334</v>
      </c>
    </row>
    <row r="10" spans="1:16" x14ac:dyDescent="0.3">
      <c r="A10" s="2" t="s">
        <v>22</v>
      </c>
      <c r="K10" s="2" t="s">
        <v>18</v>
      </c>
      <c r="L10">
        <f>6.62607015*10^(-34)</f>
        <v>6.6260701500000015E-34</v>
      </c>
    </row>
    <row r="11" spans="1:16" x14ac:dyDescent="0.3">
      <c r="A11" s="2" t="s">
        <v>6</v>
      </c>
      <c r="B11" s="2" t="s">
        <v>7</v>
      </c>
      <c r="C11" s="2" t="s">
        <v>8</v>
      </c>
      <c r="D11" s="2" t="s">
        <v>9</v>
      </c>
      <c r="E11" s="1" t="s">
        <v>15</v>
      </c>
      <c r="F11" s="2" t="s">
        <v>10</v>
      </c>
      <c r="G11" s="2" t="s">
        <v>11</v>
      </c>
      <c r="K11" s="2" t="s">
        <v>19</v>
      </c>
      <c r="L11">
        <v>1.3806490000000001E-23</v>
      </c>
    </row>
    <row r="12" spans="1:16" x14ac:dyDescent="0.3">
      <c r="A12">
        <f>B2</f>
        <v>25</v>
      </c>
      <c r="B12">
        <f t="shared" ref="B12:B15" si="3">A12+273.15</f>
        <v>298.14999999999998</v>
      </c>
      <c r="C12">
        <f t="shared" ref="C12:C15" si="4">1/B12</f>
        <v>3.3540164346805303E-3</v>
      </c>
      <c r="D12">
        <f t="shared" ref="D12:D15" si="5">C12/$L$13</f>
        <v>4.0339849353898427E-4</v>
      </c>
      <c r="E12">
        <f t="shared" ref="E12:E16" si="6">E2</f>
        <v>1.8293228908639338E-4</v>
      </c>
      <c r="F12">
        <f t="shared" ref="F12:F15" si="7">E12/B12</f>
        <v>6.1355790402949317E-7</v>
      </c>
      <c r="G12">
        <f t="shared" ref="G12:G15" si="8">LN(F12)</f>
        <v>-14.30399119415309</v>
      </c>
      <c r="K12" s="2" t="s">
        <v>20</v>
      </c>
      <c r="L12">
        <f>LN(L11/L10)</f>
        <v>23.759977810504218</v>
      </c>
    </row>
    <row r="13" spans="1:16" x14ac:dyDescent="0.3">
      <c r="A13">
        <f t="shared" ref="A13:A15" si="9">B3</f>
        <v>45</v>
      </c>
      <c r="B13">
        <f t="shared" si="3"/>
        <v>318.14999999999998</v>
      </c>
      <c r="C13">
        <f t="shared" si="4"/>
        <v>3.1431714600031434E-3</v>
      </c>
      <c r="D13">
        <f t="shared" si="5"/>
        <v>3.7803948090098428E-4</v>
      </c>
      <c r="E13">
        <f t="shared" si="6"/>
        <v>5.685424314442524E-4</v>
      </c>
      <c r="F13">
        <f t="shared" si="7"/>
        <v>1.7870263443163679E-6</v>
      </c>
      <c r="G13">
        <f t="shared" si="8"/>
        <v>-13.234957579692868</v>
      </c>
      <c r="K13" s="2" t="s">
        <v>21</v>
      </c>
      <c r="L13">
        <v>8.3143999999999991</v>
      </c>
    </row>
    <row r="14" spans="1:16" x14ac:dyDescent="0.3">
      <c r="A14">
        <f t="shared" si="9"/>
        <v>70</v>
      </c>
      <c r="B14">
        <f t="shared" si="3"/>
        <v>343.15</v>
      </c>
      <c r="C14">
        <f t="shared" si="4"/>
        <v>2.9141774734081308E-3</v>
      </c>
      <c r="D14">
        <f t="shared" si="5"/>
        <v>3.5049762741847049E-4</v>
      </c>
      <c r="E14">
        <f t="shared" si="6"/>
        <v>1.6132704082717111E-3</v>
      </c>
      <c r="F14">
        <f t="shared" si="7"/>
        <v>4.7013562823013591E-6</v>
      </c>
      <c r="G14">
        <f t="shared" si="8"/>
        <v>-12.267659520174361</v>
      </c>
    </row>
    <row r="15" spans="1:16" x14ac:dyDescent="0.3">
      <c r="A15">
        <f t="shared" si="9"/>
        <v>92</v>
      </c>
      <c r="B15">
        <f t="shared" si="3"/>
        <v>365.15</v>
      </c>
      <c r="C15">
        <f t="shared" si="4"/>
        <v>2.738600575106121E-3</v>
      </c>
      <c r="D15">
        <f t="shared" si="5"/>
        <v>3.2938042132999633E-4</v>
      </c>
      <c r="E15">
        <f t="shared" si="6"/>
        <v>3.6304810000000001E-3</v>
      </c>
      <c r="F15">
        <f t="shared" si="7"/>
        <v>9.9424373545118447E-6</v>
      </c>
      <c r="G15">
        <f t="shared" si="8"/>
        <v>-11.518698360662706</v>
      </c>
    </row>
    <row r="16" spans="1:16" x14ac:dyDescent="0.3">
      <c r="A16">
        <f t="shared" ref="A16" si="10">B6</f>
        <v>92</v>
      </c>
      <c r="B16">
        <f t="shared" ref="B16" si="11">A16+273.15</f>
        <v>365.15</v>
      </c>
      <c r="C16">
        <f t="shared" ref="C16" si="12">1/B16</f>
        <v>2.738600575106121E-3</v>
      </c>
      <c r="D16">
        <f t="shared" ref="D16" si="13">C16/$L$13</f>
        <v>3.2938042132999633E-4</v>
      </c>
      <c r="E16">
        <f t="shared" si="6"/>
        <v>3.6846439999999999E-3</v>
      </c>
      <c r="F16">
        <f t="shared" ref="F16" si="14">E16/B16</f>
        <v>1.0090768177461318E-5</v>
      </c>
      <c r="G16">
        <f t="shared" ref="G16" si="15">LN(F16)</f>
        <v>-11.503889593943539</v>
      </c>
      <c r="N16" s="2" t="s">
        <v>29</v>
      </c>
      <c r="O16" s="2" t="s">
        <v>30</v>
      </c>
      <c r="P16" s="2" t="s">
        <v>32</v>
      </c>
    </row>
    <row r="17" spans="1:17" ht="15.6" x14ac:dyDescent="0.35">
      <c r="A17">
        <f>B7</f>
        <v>115</v>
      </c>
      <c r="B17">
        <f>A17+273.15</f>
        <v>388.15</v>
      </c>
      <c r="C17">
        <f>1/B17</f>
        <v>2.5763235862424324E-3</v>
      </c>
      <c r="D17">
        <f>C17/$L$13</f>
        <v>3.0986283871866071E-4</v>
      </c>
      <c r="E17">
        <f>E7</f>
        <v>8.5797833998361751E-3</v>
      </c>
      <c r="F17">
        <f>E17/B17</f>
        <v>2.2104298337849224E-5</v>
      </c>
      <c r="G17">
        <f>LN(F17)</f>
        <v>-10.719738473426949</v>
      </c>
      <c r="N17" s="2" t="s">
        <v>28</v>
      </c>
      <c r="O17" t="s">
        <v>31</v>
      </c>
      <c r="P17" t="s">
        <v>33</v>
      </c>
    </row>
    <row r="18" spans="1:17" x14ac:dyDescent="0.3">
      <c r="A18">
        <f>B8</f>
        <v>130</v>
      </c>
      <c r="B18">
        <f>A18+273.15</f>
        <v>403.15</v>
      </c>
      <c r="C18">
        <f>1/B18</f>
        <v>2.4804663276696021E-3</v>
      </c>
      <c r="D18">
        <f>C18/$L$13</f>
        <v>2.9833377365409437E-4</v>
      </c>
      <c r="E18">
        <f>E8</f>
        <v>1.5353166957070631E-2</v>
      </c>
      <c r="F18">
        <f>E18/B18</f>
        <v>3.8083013660103269E-5</v>
      </c>
      <c r="G18">
        <f>LN(F18)</f>
        <v>-10.175742210938727</v>
      </c>
      <c r="N18" s="2" t="s">
        <v>12</v>
      </c>
      <c r="O18">
        <v>-4606.8999999999996</v>
      </c>
      <c r="P18">
        <v>-2890.5</v>
      </c>
    </row>
    <row r="19" spans="1:17" x14ac:dyDescent="0.3">
      <c r="N19" s="2" t="s">
        <v>24</v>
      </c>
      <c r="O19">
        <f>-O18*$L$13/1000*0.239006</f>
        <v>9.1547924586961589</v>
      </c>
      <c r="P19">
        <f>-P18*$L$13/1000*0.239006</f>
        <v>5.7439769914391992</v>
      </c>
    </row>
    <row r="20" spans="1:17" x14ac:dyDescent="0.3">
      <c r="A20" s="9" t="s">
        <v>23</v>
      </c>
      <c r="B20" s="10"/>
      <c r="C20" s="10"/>
      <c r="D20" s="10"/>
      <c r="E20" s="10"/>
      <c r="F20" s="10"/>
      <c r="G20" s="10"/>
      <c r="N20" s="2" t="s">
        <v>25</v>
      </c>
      <c r="O20">
        <f>O19/0.239006</f>
        <v>38.303609359999996</v>
      </c>
      <c r="P20">
        <f>P19/0.239006</f>
        <v>24.032773199999998</v>
      </c>
      <c r="Q20">
        <f>O20-P20</f>
        <v>14.270836159999998</v>
      </c>
    </row>
    <row r="21" spans="1:17" x14ac:dyDescent="0.3">
      <c r="A21" s="9" t="s">
        <v>6</v>
      </c>
      <c r="B21" s="9" t="s">
        <v>7</v>
      </c>
      <c r="C21" s="9" t="s">
        <v>8</v>
      </c>
      <c r="D21" s="9" t="s">
        <v>9</v>
      </c>
      <c r="E21" s="11" t="s">
        <v>16</v>
      </c>
      <c r="F21" s="9" t="s">
        <v>10</v>
      </c>
      <c r="G21" s="9" t="s">
        <v>11</v>
      </c>
      <c r="N21" s="2" t="s">
        <v>13</v>
      </c>
      <c r="O21">
        <v>1.1657999999999999</v>
      </c>
      <c r="P21">
        <v>-1.6443000000000001</v>
      </c>
    </row>
    <row r="22" spans="1:17" x14ac:dyDescent="0.3">
      <c r="A22" s="10">
        <v>25</v>
      </c>
      <c r="B22" s="10">
        <f>A22+273.15</f>
        <v>298.14999999999998</v>
      </c>
      <c r="C22" s="10">
        <f t="shared" ref="C22:C25" si="16">1/B22</f>
        <v>3.3540164346805303E-3</v>
      </c>
      <c r="D22" s="10">
        <f t="shared" ref="D22:D25" si="17">C22/$L$13</f>
        <v>4.0339849353898427E-4</v>
      </c>
      <c r="E22" s="10">
        <f t="shared" ref="E22:E25" si="18">F2</f>
        <v>3.6049002838711279E-3</v>
      </c>
      <c r="F22" s="10">
        <f t="shared" ref="F22:F25" si="19">E22/B22</f>
        <v>1.2090894797488271E-5</v>
      </c>
      <c r="G22" s="10">
        <f t="shared" ref="G22:G25" si="20">LN(F22)</f>
        <v>-11.323057884704214</v>
      </c>
      <c r="N22" s="2" t="s">
        <v>26</v>
      </c>
      <c r="O22">
        <f>(O21-$L$12)*$L$13*0.239006</f>
        <v>-44.898957787241763</v>
      </c>
      <c r="P22">
        <f>(P21-$L$12)*$L$13*0.239006</f>
        <v>-50.483164583174414</v>
      </c>
    </row>
    <row r="23" spans="1:17" x14ac:dyDescent="0.3">
      <c r="A23" s="10">
        <v>45</v>
      </c>
      <c r="B23" s="10">
        <f t="shared" ref="B23:B25" si="21">A23+273.15</f>
        <v>318.14999999999998</v>
      </c>
      <c r="C23" s="10">
        <f t="shared" si="16"/>
        <v>3.1431714600031434E-3</v>
      </c>
      <c r="D23" s="10">
        <f t="shared" si="17"/>
        <v>3.7803948090098428E-4</v>
      </c>
      <c r="E23" s="10">
        <f t="shared" si="18"/>
        <v>6.7545140346743342E-3</v>
      </c>
      <c r="F23" s="10">
        <f t="shared" si="19"/>
        <v>2.1230595739979051E-5</v>
      </c>
      <c r="G23" s="10">
        <f t="shared" si="20"/>
        <v>-10.760067221409702</v>
      </c>
      <c r="N23" s="2" t="s">
        <v>27</v>
      </c>
      <c r="O23">
        <f>O22/0.239006</f>
        <v>-187.85703198765623</v>
      </c>
      <c r="P23">
        <f>P22/0.239006</f>
        <v>-211.22132742765626</v>
      </c>
      <c r="Q23">
        <f>P23-O23</f>
        <v>-23.364295440000035</v>
      </c>
    </row>
    <row r="24" spans="1:17" x14ac:dyDescent="0.3">
      <c r="A24" s="10">
        <v>70</v>
      </c>
      <c r="B24" s="10">
        <f t="shared" si="21"/>
        <v>343.15</v>
      </c>
      <c r="C24" s="10">
        <f t="shared" si="16"/>
        <v>2.9141774734081308E-3</v>
      </c>
      <c r="D24" s="10">
        <f t="shared" si="17"/>
        <v>3.5049762741847049E-4</v>
      </c>
      <c r="E24" s="10">
        <f t="shared" si="18"/>
        <v>1.389306622923988E-2</v>
      </c>
      <c r="F24" s="10">
        <f t="shared" si="19"/>
        <v>4.0486860641818098E-5</v>
      </c>
      <c r="G24" s="10">
        <f t="shared" si="20"/>
        <v>-10.114533065087207</v>
      </c>
    </row>
    <row r="25" spans="1:17" x14ac:dyDescent="0.3">
      <c r="A25" s="10">
        <v>92</v>
      </c>
      <c r="B25" s="10">
        <f t="shared" si="21"/>
        <v>365.15</v>
      </c>
      <c r="C25" s="10">
        <f t="shared" si="16"/>
        <v>2.738600575106121E-3</v>
      </c>
      <c r="D25" s="10">
        <f t="shared" si="17"/>
        <v>3.2938042132999633E-4</v>
      </c>
      <c r="E25" s="10">
        <f t="shared" si="18"/>
        <v>2.4767744000000001E-2</v>
      </c>
      <c r="F25" s="10">
        <f t="shared" si="19"/>
        <v>6.7828957962481179E-5</v>
      </c>
      <c r="G25" s="10">
        <f t="shared" si="20"/>
        <v>-9.5985213456116671</v>
      </c>
    </row>
    <row r="26" spans="1:17" x14ac:dyDescent="0.3">
      <c r="A26" s="10">
        <v>92</v>
      </c>
      <c r="B26" s="10">
        <f t="shared" ref="B26" si="22">A26+273.15</f>
        <v>365.15</v>
      </c>
      <c r="C26" s="10">
        <f t="shared" ref="C26" si="23">1/B26</f>
        <v>2.738600575106121E-3</v>
      </c>
      <c r="D26" s="10">
        <f t="shared" ref="D26" si="24">C26/$L$13</f>
        <v>3.2938042132999633E-4</v>
      </c>
      <c r="E26" s="10">
        <f t="shared" ref="E26" si="25">F6</f>
        <v>2.8999235000000002E-2</v>
      </c>
      <c r="F26" s="10">
        <f t="shared" ref="F26" si="26">E26/B26</f>
        <v>7.941732164863755E-5</v>
      </c>
      <c r="G26" s="10">
        <f t="shared" ref="G26" si="27">LN(F26)</f>
        <v>-9.4407940567200672</v>
      </c>
    </row>
    <row r="27" spans="1:17" x14ac:dyDescent="0.3">
      <c r="A27" s="10">
        <v>115</v>
      </c>
      <c r="B27" s="10">
        <f>A27+273.15</f>
        <v>388.15</v>
      </c>
      <c r="C27" s="10">
        <f>1/B27</f>
        <v>2.5763235862424324E-3</v>
      </c>
      <c r="D27" s="10">
        <f>C27/$L$13</f>
        <v>3.0986283871866071E-4</v>
      </c>
      <c r="E27" s="10">
        <f>F7</f>
        <v>4.625619603399786E-2</v>
      </c>
      <c r="F27" s="10">
        <f>E27/B27</f>
        <v>1.1917092885224234E-4</v>
      </c>
      <c r="G27" s="10">
        <f>LN(F27)</f>
        <v>-9.0349517185456865</v>
      </c>
    </row>
    <row r="28" spans="1:17" x14ac:dyDescent="0.3">
      <c r="A28" s="10">
        <v>130</v>
      </c>
      <c r="B28" s="10">
        <f>A28+273.15</f>
        <v>403.15</v>
      </c>
      <c r="C28" s="10">
        <f>1/B28</f>
        <v>2.4804663276696021E-3</v>
      </c>
      <c r="D28" s="10">
        <f>C28/$L$13</f>
        <v>2.9833377365409437E-4</v>
      </c>
      <c r="E28" s="10">
        <f>F8</f>
        <v>5.5506787099185828E-2</v>
      </c>
      <c r="F28" s="10">
        <f>E28/B28</f>
        <v>1.3768271635665591E-4</v>
      </c>
      <c r="G28" s="10">
        <f>LN(F28)</f>
        <v>-8.8905586767621809</v>
      </c>
    </row>
    <row r="30" spans="1:17" x14ac:dyDescent="0.3">
      <c r="A30" s="1"/>
    </row>
    <row r="33" spans="8:12" x14ac:dyDescent="0.3">
      <c r="H33" s="7"/>
    </row>
    <row r="34" spans="8:12" ht="18" x14ac:dyDescent="0.3">
      <c r="H34" s="8"/>
    </row>
    <row r="35" spans="8:12" x14ac:dyDescent="0.3">
      <c r="H35" s="7"/>
      <c r="L35" s="5"/>
    </row>
    <row r="36" spans="8:12" x14ac:dyDescent="0.3">
      <c r="L36" s="5"/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1 Eyring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2025-01-03T14:19:14Z</dcterms:created>
  <dcterms:modified xsi:type="dcterms:W3CDTF">2026-01-12T11:37:20Z</dcterms:modified>
</cp:coreProperties>
</file>
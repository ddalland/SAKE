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yring Hammett and Bronsted Analyis/"/>
    </mc:Choice>
  </mc:AlternateContent>
  <xr:revisionPtr revIDLastSave="123" documentId="8_{695D6ABA-143C-4882-ACAF-3E953F202151}" xr6:coauthVersionLast="47" xr6:coauthVersionMax="47" xr10:uidLastSave="{69250BC3-F510-475E-82CA-4CFD572B149D}"/>
  <bookViews>
    <workbookView xWindow="4248" yWindow="984" windowWidth="14928" windowHeight="10128" xr2:uid="{6DE8C248-C499-4CB5-B4C6-73F084675903}"/>
  </bookViews>
  <sheets>
    <sheet name="Bronsted analysis" sheetId="8" r:id="rId1"/>
    <sheet name="pKa amines in DMS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8" l="1"/>
  <c r="A13" i="8"/>
  <c r="M5" i="8"/>
  <c r="N3" i="8"/>
  <c r="N4" i="8"/>
  <c r="N5" i="8"/>
  <c r="N6" i="8"/>
  <c r="N7" i="8"/>
  <c r="N2" i="8"/>
  <c r="C17" i="8" l="1"/>
  <c r="A17" i="8"/>
  <c r="C2" i="8"/>
  <c r="B2" i="8"/>
  <c r="E3" i="2" l="1"/>
  <c r="E4" i="2"/>
  <c r="E5" i="2"/>
  <c r="E6" i="2"/>
  <c r="E7" i="2"/>
  <c r="E2" i="2"/>
  <c r="M3" i="8"/>
  <c r="M4" i="8"/>
  <c r="M6" i="8"/>
  <c r="M7" i="8"/>
  <c r="M2" i="8"/>
  <c r="B18" i="8" l="1"/>
  <c r="B14" i="8"/>
  <c r="E3" i="8"/>
  <c r="D3" i="8"/>
  <c r="A22" i="8" s="1"/>
  <c r="C22" i="8" s="1"/>
  <c r="E5" i="8"/>
  <c r="A14" i="8" s="1"/>
  <c r="C14" i="8" s="1"/>
  <c r="D5" i="8"/>
  <c r="E7" i="8"/>
  <c r="D7" i="8"/>
  <c r="A20" i="8" s="1"/>
  <c r="C20" i="8" s="1"/>
  <c r="E6" i="8"/>
  <c r="A12" i="8" s="1"/>
  <c r="C12" i="8" s="1"/>
  <c r="D6" i="8"/>
  <c r="C19" i="8" s="1"/>
  <c r="E4" i="8"/>
  <c r="A11" i="8" s="1"/>
  <c r="C11" i="8" s="1"/>
  <c r="D4" i="8"/>
  <c r="A18" i="8" s="1"/>
  <c r="C18" i="8" s="1"/>
  <c r="A10" i="8"/>
  <c r="A21" i="8" l="1"/>
  <c r="C21" i="8" s="1"/>
  <c r="B22" i="8"/>
  <c r="B15" i="8"/>
  <c r="B21" i="8"/>
  <c r="A15" i="8"/>
  <c r="C15" i="8" s="1"/>
  <c r="C10" i="8"/>
  <c r="B13" i="8"/>
  <c r="B20" i="8"/>
  <c r="B19" i="8"/>
  <c r="B12" i="8"/>
  <c r="C13" i="8"/>
  <c r="B11" i="8"/>
  <c r="B17" i="8" l="1"/>
  <c r="B10" i="8"/>
</calcChain>
</file>

<file path=xl/sharedStrings.xml><?xml version="1.0" encoding="utf-8"?>
<sst xmlns="http://schemas.openxmlformats.org/spreadsheetml/2006/main" count="48" uniqueCount="38">
  <si>
    <t>Morpholine</t>
  </si>
  <si>
    <t>Amine</t>
  </si>
  <si>
    <t>Ref1</t>
  </si>
  <si>
    <t>Ref2</t>
  </si>
  <si>
    <t>Ref3</t>
  </si>
  <si>
    <t>1-formyl-piperazine</t>
  </si>
  <si>
    <t>1-(2-hydroxylethyl)-piperazine</t>
  </si>
  <si>
    <t>Piperazine</t>
  </si>
  <si>
    <t>Piperidine</t>
  </si>
  <si>
    <t>Pyrrolidine</t>
  </si>
  <si>
    <t>R2_A</t>
  </si>
  <si>
    <t>R2_P</t>
  </si>
  <si>
    <t>RMSE_A</t>
  </si>
  <si>
    <t>RMSE_P</t>
  </si>
  <si>
    <t>Pka DMSO</t>
  </si>
  <si>
    <t>pka</t>
  </si>
  <si>
    <t>k3/k2</t>
  </si>
  <si>
    <t>https://pubs.rsc.org/en/content/articlepdf/1997/jc/a606020j</t>
  </si>
  <si>
    <t>https://onlinelibrary.wiley.com/doi/pdf/10.1002/poc.483</t>
  </si>
  <si>
    <t>C3_E1</t>
  </si>
  <si>
    <t>C3_E2</t>
  </si>
  <si>
    <t>C3_E3</t>
  </si>
  <si>
    <t>C3_E4</t>
  </si>
  <si>
    <t>C3_E5</t>
  </si>
  <si>
    <t>Kk2 / mM-1min-1</t>
  </si>
  <si>
    <t>Kk3 /  mM-2min-1</t>
  </si>
  <si>
    <t>Kk2 / M-1s-1</t>
  </si>
  <si>
    <t>Kk3 / M-2s-1</t>
  </si>
  <si>
    <t>Dataset</t>
  </si>
  <si>
    <t>KI / mM</t>
  </si>
  <si>
    <t>Kk3 / mM-2min-1</t>
  </si>
  <si>
    <t>log10(Kk3 / mM-2min-1)</t>
  </si>
  <si>
    <t>pKa</t>
  </si>
  <si>
    <t>log(Kk2 / M-1s-1)</t>
  </si>
  <si>
    <t>https://pubs.acs.org/doi/pdf/10.1021/acs.analchem.2c00200?ref=article_openPDF</t>
  </si>
  <si>
    <t>Average value</t>
  </si>
  <si>
    <t>4-methylpiperidine</t>
  </si>
  <si>
    <t>C1_E4a-b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</si>
</sst>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000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1"/>
    <xf numFmtId="0" fontId="1" fillId="0" borderId="0" xfId="0" applyFont="1" applyAlignment="1">
      <alignment horizontal="center" vertical="top"/>
    </xf>
    <xf numFmtId="0" fontId="1" fillId="0" borderId="0" xfId="0" applyFont="1"/>
    <xf numFmtId="165" fontId="0" fillId="0" borderId="0" xfId="0" applyNumberFormat="1"/>
    <xf numFmtId="164" fontId="0" fillId="0" borderId="0" xfId="0" applyNumberFormat="1"/>
    <xf numFmtId="2" fontId="0" fillId="0" borderId="0" xfId="0" applyNumberFormat="1"/>
    <xf numFmtId="166" fontId="0" fillId="0" borderId="0" xfId="0" applyNumberFormat="1"/>
    <xf numFmtId="11" fontId="0" fillId="0" borderId="0" xfId="0" applyNumberForma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167" fontId="6" fillId="0" borderId="0" xfId="0" applyNumberFormat="1" applyFont="1" applyAlignment="1">
      <alignment horizontal="left" vertical="center"/>
    </xf>
    <xf numFmtId="167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Bronsted plot for Kk</a:t>
            </a:r>
            <a:r>
              <a:rPr lang="en-GB" baseline="-25000"/>
              <a:t>3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511924042087758"/>
                  <c:y val="-3.99036957696281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'Bronsted analysis'!$B$10:$B$14</c:f>
              <c:numCache>
                <c:formatCode>General</c:formatCode>
                <c:ptCount val="5"/>
                <c:pt idx="0">
                  <c:v>10.816666666666665</c:v>
                </c:pt>
                <c:pt idx="1">
                  <c:v>10.816666666666665</c:v>
                </c:pt>
                <c:pt idx="2">
                  <c:v>9.6</c:v>
                </c:pt>
                <c:pt idx="3">
                  <c:v>9.0749999999999993</c:v>
                </c:pt>
                <c:pt idx="4">
                  <c:v>10.5</c:v>
                </c:pt>
              </c:numCache>
            </c:numRef>
          </c:xVal>
          <c:yVal>
            <c:numRef>
              <c:f>'Bronsted analysis'!$C$10:$C$14</c:f>
              <c:numCache>
                <c:formatCode>General</c:formatCode>
                <c:ptCount val="5"/>
                <c:pt idx="0">
                  <c:v>-1.5896791589113901</c:v>
                </c:pt>
                <c:pt idx="1">
                  <c:v>-1.6659511853280062</c:v>
                </c:pt>
                <c:pt idx="2">
                  <c:v>-2.3918778382300108</c:v>
                </c:pt>
                <c:pt idx="3">
                  <c:v>-3.0663204003455848</c:v>
                </c:pt>
                <c:pt idx="4">
                  <c:v>-2.0049433431591406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57-497A-BFAA-A9E0677ECDB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'Bronsted analysis'!$B$15</c:f>
              <c:numCache>
                <c:formatCode>General</c:formatCode>
                <c:ptCount val="1"/>
                <c:pt idx="0">
                  <c:v>11.08</c:v>
                </c:pt>
              </c:numCache>
            </c:numRef>
          </c:xVal>
          <c:yVal>
            <c:numRef>
              <c:f>'Bronsted analysis'!$C$15</c:f>
              <c:numCache>
                <c:formatCode>General</c:formatCode>
                <c:ptCount val="1"/>
                <c:pt idx="0">
                  <c:v>-0.39785012527469837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57-497A-BFAA-A9E0677EC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61583"/>
        <c:axId val="301654863"/>
      </c:scatterChart>
      <c:valAx>
        <c:axId val="301661583"/>
        <c:scaling>
          <c:orientation val="minMax"/>
          <c:max val="11.2"/>
          <c:min val="8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pKa</a:t>
                </a:r>
              </a:p>
            </c:rich>
          </c:tx>
          <c:layout>
            <c:manualLayout>
              <c:xMode val="edge"/>
              <c:yMode val="edge"/>
              <c:x val="0.45928541666666672"/>
              <c:y val="0.85768333333333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54863"/>
        <c:crossesAt val="0"/>
        <c:crossBetween val="midCat"/>
      </c:valAx>
      <c:valAx>
        <c:axId val="301654863"/>
        <c:scaling>
          <c:orientation val="minMax"/>
          <c:max val="0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log10(Kk</a:t>
                </a:r>
                <a:r>
                  <a:rPr lang="en-GB" baseline="-25000"/>
                  <a:t>3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6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Bronsted plot for Kk</a:t>
            </a:r>
            <a:r>
              <a:rPr lang="en-GB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085947022499942"/>
                  <c:y val="-0.140547777704054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'Bronsted analysis'!$B$17:$B$21</c:f>
              <c:numCache>
                <c:formatCode>General</c:formatCode>
                <c:ptCount val="5"/>
                <c:pt idx="0">
                  <c:v>10.816666666666665</c:v>
                </c:pt>
                <c:pt idx="1">
                  <c:v>10.816666666666665</c:v>
                </c:pt>
                <c:pt idx="2">
                  <c:v>9.6</c:v>
                </c:pt>
                <c:pt idx="3">
                  <c:v>9.0749999999999993</c:v>
                </c:pt>
                <c:pt idx="4">
                  <c:v>10.5</c:v>
                </c:pt>
              </c:numCache>
            </c:numRef>
          </c:xVal>
          <c:yVal>
            <c:numRef>
              <c:f>'Bronsted analysis'!$C$17:$C$21</c:f>
              <c:numCache>
                <c:formatCode>General</c:formatCode>
                <c:ptCount val="5"/>
                <c:pt idx="0">
                  <c:v>-2.4384407010301761</c:v>
                </c:pt>
                <c:pt idx="1">
                  <c:v>-2.298592591888462</c:v>
                </c:pt>
                <c:pt idx="2">
                  <c:v>-2.9847232112225885</c:v>
                </c:pt>
                <c:pt idx="3">
                  <c:v>-3.8056154618608251</c:v>
                </c:pt>
                <c:pt idx="4">
                  <c:v>-2.4106019809708394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BA-4902-B764-0CBCB90C9C3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'Bronsted analysis'!$B$22</c:f>
              <c:numCache>
                <c:formatCode>General</c:formatCode>
                <c:ptCount val="1"/>
                <c:pt idx="0">
                  <c:v>11.08</c:v>
                </c:pt>
              </c:numCache>
            </c:numRef>
          </c:xVal>
          <c:yVal>
            <c:numRef>
              <c:f>'Bronsted analysis'!$C$22</c:f>
              <c:numCache>
                <c:formatCode>General</c:formatCode>
                <c:ptCount val="1"/>
                <c:pt idx="0">
                  <c:v>-1.241760399915979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BA-4902-B764-0CBCB90C9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61583"/>
        <c:axId val="301654863"/>
      </c:scatterChart>
      <c:valAx>
        <c:axId val="301661583"/>
        <c:scaling>
          <c:orientation val="minMax"/>
          <c:max val="11.2"/>
          <c:min val="8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pKa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54863"/>
        <c:crosses val="autoZero"/>
        <c:crossBetween val="midCat"/>
      </c:valAx>
      <c:valAx>
        <c:axId val="301654863"/>
        <c:scaling>
          <c:orientation val="minMax"/>
          <c:max val="0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log10(Kk</a:t>
                </a:r>
                <a:r>
                  <a:rPr lang="en-GB" sz="10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8485243930754603E-2"/>
              <c:y val="0.416777956331861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6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Bronsted plot for Kk</a:t>
            </a:r>
            <a:r>
              <a:rPr lang="en-GB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437843883732562"/>
          <c:y val="0.15546973167708159"/>
          <c:w val="0.41191952680556082"/>
          <c:h val="0.70625195309017574"/>
        </c:manualLayout>
      </c:layout>
      <c:scatterChart>
        <c:scatterStyle val="lineMarker"/>
        <c:varyColors val="0"/>
        <c:ser>
          <c:idx val="0"/>
          <c:order val="0"/>
          <c:tx>
            <c:v>6-membered amines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085947022499942"/>
                  <c:y val="-0.140547777704054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'Bronsted analysis'!$B$17:$B$21</c:f>
              <c:numCache>
                <c:formatCode>General</c:formatCode>
                <c:ptCount val="5"/>
                <c:pt idx="0">
                  <c:v>10.816666666666665</c:v>
                </c:pt>
                <c:pt idx="1">
                  <c:v>10.816666666666665</c:v>
                </c:pt>
                <c:pt idx="2">
                  <c:v>9.6</c:v>
                </c:pt>
                <c:pt idx="3">
                  <c:v>9.0749999999999993</c:v>
                </c:pt>
                <c:pt idx="4">
                  <c:v>10.5</c:v>
                </c:pt>
              </c:numCache>
            </c:numRef>
          </c:xVal>
          <c:yVal>
            <c:numRef>
              <c:f>'Bronsted analysis'!$C$17:$C$21</c:f>
              <c:numCache>
                <c:formatCode>General</c:formatCode>
                <c:ptCount val="5"/>
                <c:pt idx="0">
                  <c:v>-2.4384407010301761</c:v>
                </c:pt>
                <c:pt idx="1">
                  <c:v>-2.298592591888462</c:v>
                </c:pt>
                <c:pt idx="2">
                  <c:v>-2.9847232112225885</c:v>
                </c:pt>
                <c:pt idx="3">
                  <c:v>-3.8056154618608251</c:v>
                </c:pt>
                <c:pt idx="4">
                  <c:v>-2.4106019809708394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94-4A02-B53B-14CE9B50C511}"/>
            </c:ext>
          </c:extLst>
        </c:ser>
        <c:ser>
          <c:idx val="1"/>
          <c:order val="1"/>
          <c:tx>
            <c:v>Pyrrolidine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'Bronsted analysis'!$B$22</c:f>
              <c:numCache>
                <c:formatCode>General</c:formatCode>
                <c:ptCount val="1"/>
                <c:pt idx="0">
                  <c:v>11.08</c:v>
                </c:pt>
              </c:numCache>
            </c:numRef>
          </c:xVal>
          <c:yVal>
            <c:numRef>
              <c:f>'Bronsted analysis'!$C$22</c:f>
              <c:numCache>
                <c:formatCode>General</c:formatCode>
                <c:ptCount val="1"/>
                <c:pt idx="0">
                  <c:v>-1.241760399915979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94-4A02-B53B-14CE9B50C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61583"/>
        <c:axId val="301654863"/>
      </c:scatterChart>
      <c:valAx>
        <c:axId val="301661583"/>
        <c:scaling>
          <c:orientation val="minMax"/>
          <c:max val="11.3"/>
          <c:min val="8.8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pKa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54863"/>
        <c:crosses val="autoZero"/>
        <c:crossBetween val="midCat"/>
        <c:majorUnit val="0.5"/>
      </c:valAx>
      <c:valAx>
        <c:axId val="301654863"/>
        <c:scaling>
          <c:orientation val="minMax"/>
          <c:max val="0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log10(Kk</a:t>
                </a:r>
                <a:r>
                  <a:rPr lang="en-GB" sz="10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6427985883399098E-2"/>
              <c:y val="0.40485999217356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61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440080</xdr:colOff>
      <xdr:row>9</xdr:row>
      <xdr:rowOff>86151</xdr:rowOff>
    </xdr:from>
    <xdr:to>
      <xdr:col>7</xdr:col>
      <xdr:colOff>375090</xdr:colOff>
      <xdr:row>21</xdr:row>
      <xdr:rowOff>9631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86CE73-31B6-4BE4-A5D3-0D35D9578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397776</xdr:colOff>
      <xdr:row>9</xdr:row>
      <xdr:rowOff>79209</xdr:rowOff>
    </xdr:from>
    <xdr:to>
      <xdr:col>10</xdr:col>
      <xdr:colOff>789412</xdr:colOff>
      <xdr:row>21</xdr:row>
      <xdr:rowOff>12214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79F5A6-A3FB-4BDD-8E66-9E7888BE3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66964</xdr:colOff>
      <xdr:row>52</xdr:row>
      <xdr:rowOff>63500</xdr:rowOff>
    </xdr:from>
    <xdr:to>
      <xdr:col>11</xdr:col>
      <xdr:colOff>467014</xdr:colOff>
      <xdr:row>63</xdr:row>
      <xdr:rowOff>169088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857BCF-C575-478D-B874-9AA137811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cs.org/doi/pdf/10.1021/acs.analchem.2c00200?ref=article_openPDF" TargetMode="External"/><Relationship Id="rId2" Type="http://schemas.openxmlformats.org/officeDocument/2006/relationships/hyperlink" Target="https://onlinelibrary.wiley.com/doi/pdf/10.1002/poc.483" TargetMode="External"/><Relationship Id="rId1" Type="http://schemas.openxmlformats.org/officeDocument/2006/relationships/hyperlink" Target="https://pubs.rsc.org/en/content/articlepdf/1997/jc/a606020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5757-8A8E-47E2-A938-B4BF9072B4F3}">
  <dimension ref="A1:N37"/>
  <sheetViews>
    <sheetView tabSelected="1" topLeftCell="B1" zoomScaleNormal="100" workbookViewId="0">
      <selection activeCell="I4" sqref="A1:N7"/>
    </sheetView>
  </sheetViews>
  <sheetFormatPr defaultRowHeight="14.4" x14ac:dyDescent="0.3"/>
  <cols>
    <col min="1" max="1" width="26.109375" bestFit="1" customWidth="1"/>
    <col min="2" max="3" width="12.109375" bestFit="1" customWidth="1"/>
    <col min="4" max="4" width="13.109375" bestFit="1" customWidth="1"/>
    <col min="5" max="5" width="13.33203125" customWidth="1"/>
    <col min="6" max="6" width="14" customWidth="1"/>
    <col min="7" max="7" width="14.5546875" bestFit="1" customWidth="1"/>
    <col min="8" max="8" width="12.109375" customWidth="1"/>
    <col min="9" max="9" width="14.88671875" customWidth="1"/>
    <col min="10" max="10" width="10.5546875" bestFit="1" customWidth="1"/>
    <col min="11" max="11" width="27.44140625" bestFit="1" customWidth="1"/>
    <col min="12" max="12" width="9" bestFit="1" customWidth="1"/>
    <col min="15" max="15" width="27.44140625" bestFit="1" customWidth="1"/>
    <col min="16" max="18" width="9" bestFit="1" customWidth="1"/>
    <col min="20" max="22" width="9" bestFit="1" customWidth="1"/>
  </cols>
  <sheetData>
    <row r="1" spans="1:14" x14ac:dyDescent="0.3">
      <c r="A1" s="5" t="s">
        <v>28</v>
      </c>
      <c r="B1" s="5" t="s">
        <v>24</v>
      </c>
      <c r="C1" s="5" t="s">
        <v>25</v>
      </c>
      <c r="D1" s="5" t="s">
        <v>26</v>
      </c>
      <c r="E1" s="5" t="s">
        <v>27</v>
      </c>
      <c r="F1" s="2" t="s">
        <v>29</v>
      </c>
      <c r="G1" s="2" t="s">
        <v>10</v>
      </c>
      <c r="H1" s="2" t="s">
        <v>11</v>
      </c>
      <c r="I1" s="2" t="s">
        <v>12</v>
      </c>
      <c r="J1" s="2" t="s">
        <v>13</v>
      </c>
      <c r="K1" s="3" t="s">
        <v>1</v>
      </c>
      <c r="L1" s="3" t="s">
        <v>14</v>
      </c>
      <c r="M1" s="3" t="s">
        <v>16</v>
      </c>
    </row>
    <row r="2" spans="1:14" x14ac:dyDescent="0.3">
      <c r="A2" t="s">
        <v>37</v>
      </c>
      <c r="B2">
        <f>D2/16.666666</f>
        <v>2.1863040874521637E-4</v>
      </c>
      <c r="C2">
        <f>E2/16.666666/1000</f>
        <v>1.5433773017350921E-6</v>
      </c>
      <c r="D2" s="17">
        <v>3.6438400000000002E-3</v>
      </c>
      <c r="E2" s="17">
        <v>2.5722953999999999E-2</v>
      </c>
      <c r="F2" s="17">
        <v>9.7276999999999997E-4</v>
      </c>
      <c r="G2" s="8">
        <v>0.99990504400000002</v>
      </c>
      <c r="H2" s="8">
        <v>0.99988304400000005</v>
      </c>
      <c r="I2" s="7">
        <v>0.38698546299999997</v>
      </c>
      <c r="J2" s="7">
        <v>0.42562034999999998</v>
      </c>
      <c r="K2" t="s">
        <v>36</v>
      </c>
      <c r="L2" s="9">
        <v>10.816666666666665</v>
      </c>
      <c r="M2" s="10">
        <f>E2/D2</f>
        <v>7.0592984324229375</v>
      </c>
      <c r="N2">
        <f>AVERAGE(I2:J2)</f>
        <v>0.40630290650000001</v>
      </c>
    </row>
    <row r="3" spans="1:14" x14ac:dyDescent="0.3">
      <c r="A3" t="s">
        <v>19</v>
      </c>
      <c r="B3">
        <v>3.4386865317715858E-3</v>
      </c>
      <c r="C3">
        <v>2.4005063674399881E-5</v>
      </c>
      <c r="D3" s="17">
        <f>B3*16.6666</f>
        <v>5.7311212950424309E-2</v>
      </c>
      <c r="E3" s="17">
        <f>C3*16.6666*1000</f>
        <v>0.40008279423575305</v>
      </c>
      <c r="F3" s="17">
        <v>1.539593245163182E-4</v>
      </c>
      <c r="G3" s="8">
        <v>0.99920445842365313</v>
      </c>
      <c r="H3" s="8">
        <v>0.99913022766896198</v>
      </c>
      <c r="I3" s="7">
        <v>0.85791659827534195</v>
      </c>
      <c r="J3" s="7">
        <v>0.8805792512136229</v>
      </c>
      <c r="K3" t="s">
        <v>9</v>
      </c>
      <c r="L3" s="9">
        <v>11.08</v>
      </c>
      <c r="M3" s="10">
        <f t="shared" ref="M3:M7" si="0">E3/D3</f>
        <v>6.9808816397209226</v>
      </c>
      <c r="N3">
        <f t="shared" ref="N3:N7" si="1">AVERAGE(I3:J3)</f>
        <v>0.86924792474448243</v>
      </c>
    </row>
    <row r="4" spans="1:14" x14ac:dyDescent="0.3">
      <c r="A4" t="s">
        <v>20</v>
      </c>
      <c r="B4">
        <v>3.016896392261636E-4</v>
      </c>
      <c r="C4">
        <v>1.294797351059592E-6</v>
      </c>
      <c r="D4" s="17">
        <f t="shared" ref="D4" si="2">B4*16.6666</f>
        <v>5.0281405411267775E-3</v>
      </c>
      <c r="E4" s="17">
        <f t="shared" ref="E4" si="3">C4*16.6666*1000</f>
        <v>2.1579869531169797E-2</v>
      </c>
      <c r="F4" s="17">
        <v>8.7081751838843252E-4</v>
      </c>
      <c r="G4" s="8">
        <v>0.99984778799999996</v>
      </c>
      <c r="H4" s="8">
        <v>0.999913049</v>
      </c>
      <c r="I4" s="7">
        <v>0.46896772399999997</v>
      </c>
      <c r="J4" s="7">
        <v>0.34620856500000002</v>
      </c>
      <c r="K4" t="s">
        <v>8</v>
      </c>
      <c r="L4" s="9">
        <v>10.816666666666665</v>
      </c>
      <c r="M4" s="10">
        <f t="shared" si="0"/>
        <v>4.2918190839458656</v>
      </c>
      <c r="N4">
        <f t="shared" si="1"/>
        <v>0.40758814450000003</v>
      </c>
    </row>
    <row r="5" spans="1:14" x14ac:dyDescent="0.3">
      <c r="A5" t="s">
        <v>21</v>
      </c>
      <c r="B5">
        <v>2.33104687372314E-4</v>
      </c>
      <c r="C5" s="11">
        <v>5.9321161300770904E-7</v>
      </c>
      <c r="D5" s="17">
        <f>B5*16.6666</f>
        <v>3.8850625825594082E-3</v>
      </c>
      <c r="E5" s="17">
        <f>C5*16.6666*1000</f>
        <v>9.8868206693542831E-3</v>
      </c>
      <c r="F5" s="17">
        <v>1.0150103163142209E-3</v>
      </c>
      <c r="G5" s="8">
        <v>0.99674251899999999</v>
      </c>
      <c r="H5" s="8">
        <v>0.999174691</v>
      </c>
      <c r="I5" s="7">
        <v>0.60185104499999997</v>
      </c>
      <c r="J5" s="7">
        <v>0.76578576600000003</v>
      </c>
      <c r="K5" t="s">
        <v>7</v>
      </c>
      <c r="L5" s="9">
        <v>10.5</v>
      </c>
      <c r="M5" s="10">
        <f>E5/D5</f>
        <v>2.5448291911017367</v>
      </c>
      <c r="N5">
        <f t="shared" si="1"/>
        <v>0.68381840550000006</v>
      </c>
    </row>
    <row r="6" spans="1:14" x14ac:dyDescent="0.3">
      <c r="A6" t="s">
        <v>22</v>
      </c>
      <c r="B6">
        <v>6.2148374822432303E-5</v>
      </c>
      <c r="C6">
        <v>2.4337454317305101E-7</v>
      </c>
      <c r="D6" s="17">
        <f>B6*16.6666</f>
        <v>1.0358021038155501E-3</v>
      </c>
      <c r="E6" s="17">
        <f>C6*16.6666*1000</f>
        <v>4.056226161247972E-3</v>
      </c>
      <c r="F6" s="17">
        <v>5.1568739127632538E-4</v>
      </c>
      <c r="G6" s="8">
        <v>0.9999380886421454</v>
      </c>
      <c r="H6" s="8">
        <v>0.9998288051374179</v>
      </c>
      <c r="I6" s="7">
        <v>0.34348198032609212</v>
      </c>
      <c r="J6" s="7">
        <v>0.54748508457623435</v>
      </c>
      <c r="K6" t="s">
        <v>6</v>
      </c>
      <c r="L6" s="9">
        <v>9.6</v>
      </c>
      <c r="M6" s="10">
        <f t="shared" si="0"/>
        <v>3.9160242543495376</v>
      </c>
      <c r="N6">
        <f t="shared" si="1"/>
        <v>0.44548353245116323</v>
      </c>
    </row>
    <row r="7" spans="1:14" x14ac:dyDescent="0.3">
      <c r="A7" t="s">
        <v>23</v>
      </c>
      <c r="B7">
        <v>9.387231445993574E-6</v>
      </c>
      <c r="C7">
        <v>5.1503007140000021E-8</v>
      </c>
      <c r="D7" s="17">
        <f t="shared" ref="D7" si="4">B7*16.6666</f>
        <v>1.564532316177965E-4</v>
      </c>
      <c r="E7" s="17">
        <f t="shared" ref="E7" si="5">C7*16.6666*1000</f>
        <v>8.5838001879952428E-4</v>
      </c>
      <c r="F7" s="17">
        <v>6.974620410979892E-4</v>
      </c>
      <c r="G7" s="8">
        <v>0.99946055098462216</v>
      </c>
      <c r="H7" s="8">
        <v>0.99989038595994295</v>
      </c>
      <c r="I7" s="7">
        <v>0.96092329852948832</v>
      </c>
      <c r="J7" s="7">
        <v>0.41070521107392172</v>
      </c>
      <c r="K7" t="s">
        <v>0</v>
      </c>
      <c r="L7" s="9">
        <v>9.0749999999999993</v>
      </c>
      <c r="M7" s="10">
        <f t="shared" si="0"/>
        <v>5.4864959318736366</v>
      </c>
      <c r="N7">
        <f t="shared" si="1"/>
        <v>0.68581425480170499</v>
      </c>
    </row>
    <row r="9" spans="1:14" x14ac:dyDescent="0.3">
      <c r="A9" s="5" t="s">
        <v>30</v>
      </c>
      <c r="B9" s="6" t="s">
        <v>32</v>
      </c>
      <c r="C9" s="6" t="s">
        <v>31</v>
      </c>
    </row>
    <row r="10" spans="1:14" x14ac:dyDescent="0.3">
      <c r="A10">
        <f>E2</f>
        <v>2.5722953999999999E-2</v>
      </c>
      <c r="B10">
        <f>L2</f>
        <v>10.816666666666665</v>
      </c>
      <c r="C10">
        <f>LOG10(A10)</f>
        <v>-1.5896791589113901</v>
      </c>
    </row>
    <row r="11" spans="1:14" x14ac:dyDescent="0.3">
      <c r="A11">
        <f>E4</f>
        <v>2.1579869531169797E-2</v>
      </c>
      <c r="B11">
        <f>L4</f>
        <v>10.816666666666665</v>
      </c>
      <c r="C11">
        <f t="shared" ref="C11:C15" si="6">LOG10(A11)</f>
        <v>-1.6659511853280062</v>
      </c>
    </row>
    <row r="12" spans="1:14" x14ac:dyDescent="0.3">
      <c r="A12">
        <f>E6</f>
        <v>4.056226161247972E-3</v>
      </c>
      <c r="B12">
        <f>L6</f>
        <v>9.6</v>
      </c>
      <c r="C12">
        <f t="shared" si="6"/>
        <v>-2.3918778382300108</v>
      </c>
    </row>
    <row r="13" spans="1:14" x14ac:dyDescent="0.3">
      <c r="A13">
        <f>E7</f>
        <v>8.5838001879952428E-4</v>
      </c>
      <c r="B13">
        <f>L7</f>
        <v>9.0749999999999993</v>
      </c>
      <c r="C13">
        <f t="shared" si="6"/>
        <v>-3.0663204003455848</v>
      </c>
    </row>
    <row r="14" spans="1:14" x14ac:dyDescent="0.3">
      <c r="A14">
        <f>E5</f>
        <v>9.8868206693542831E-3</v>
      </c>
      <c r="B14">
        <f>L5</f>
        <v>10.5</v>
      </c>
      <c r="C14">
        <f t="shared" si="6"/>
        <v>-2.0049433431591406</v>
      </c>
      <c r="H14" s="1"/>
    </row>
    <row r="15" spans="1:14" x14ac:dyDescent="0.3">
      <c r="A15">
        <f>E3</f>
        <v>0.40008279423575305</v>
      </c>
      <c r="B15">
        <f>L3</f>
        <v>11.08</v>
      </c>
      <c r="C15">
        <f t="shared" si="6"/>
        <v>-0.39785012527469837</v>
      </c>
    </row>
    <row r="16" spans="1:14" x14ac:dyDescent="0.3">
      <c r="A16" s="6" t="s">
        <v>26</v>
      </c>
      <c r="B16" s="6" t="s">
        <v>15</v>
      </c>
      <c r="C16" s="6" t="s">
        <v>33</v>
      </c>
    </row>
    <row r="17" spans="1:10" x14ac:dyDescent="0.3">
      <c r="A17">
        <f>D2</f>
        <v>3.6438400000000002E-3</v>
      </c>
      <c r="B17">
        <f>L2</f>
        <v>10.816666666666665</v>
      </c>
      <c r="C17">
        <f>LOG10(A17)</f>
        <v>-2.4384407010301761</v>
      </c>
    </row>
    <row r="18" spans="1:10" x14ac:dyDescent="0.3">
      <c r="A18">
        <f>D4</f>
        <v>5.0281405411267775E-3</v>
      </c>
      <c r="B18">
        <f>L4</f>
        <v>10.816666666666665</v>
      </c>
      <c r="C18">
        <f t="shared" ref="C18:C22" si="7">LOG10(A18)</f>
        <v>-2.298592591888462</v>
      </c>
    </row>
    <row r="19" spans="1:10" x14ac:dyDescent="0.3">
      <c r="A19">
        <f>D6</f>
        <v>1.0358021038155501E-3</v>
      </c>
      <c r="B19">
        <f>L6</f>
        <v>9.6</v>
      </c>
      <c r="C19">
        <f t="shared" si="7"/>
        <v>-2.9847232112225885</v>
      </c>
    </row>
    <row r="20" spans="1:10" x14ac:dyDescent="0.3">
      <c r="A20">
        <f>D7</f>
        <v>1.564532316177965E-4</v>
      </c>
      <c r="B20">
        <f>L7</f>
        <v>9.0749999999999993</v>
      </c>
      <c r="C20">
        <f t="shared" si="7"/>
        <v>-3.8056154618608251</v>
      </c>
    </row>
    <row r="21" spans="1:10" x14ac:dyDescent="0.3">
      <c r="A21">
        <f>D5</f>
        <v>3.8850625825594082E-3</v>
      </c>
      <c r="B21">
        <f>L5</f>
        <v>10.5</v>
      </c>
      <c r="C21">
        <f t="shared" si="7"/>
        <v>-2.4106019809708394</v>
      </c>
    </row>
    <row r="22" spans="1:10" x14ac:dyDescent="0.3">
      <c r="A22">
        <f>D3</f>
        <v>5.7311212950424309E-2</v>
      </c>
      <c r="B22">
        <f>L3</f>
        <v>11.08</v>
      </c>
      <c r="C22">
        <f t="shared" si="7"/>
        <v>-1.241760399915979</v>
      </c>
    </row>
    <row r="24" spans="1:10" x14ac:dyDescent="0.3">
      <c r="F24" s="14"/>
    </row>
    <row r="25" spans="1:10" x14ac:dyDescent="0.3">
      <c r="F25" s="13"/>
    </row>
    <row r="26" spans="1:10" x14ac:dyDescent="0.3">
      <c r="F26" s="14"/>
    </row>
    <row r="27" spans="1:10" x14ac:dyDescent="0.3">
      <c r="F27" s="14"/>
    </row>
    <row r="28" spans="1:10" x14ac:dyDescent="0.3">
      <c r="B28" s="18"/>
      <c r="C28" s="18"/>
      <c r="D28" s="18"/>
      <c r="E28" s="18"/>
      <c r="G28" s="18"/>
      <c r="H28" s="18"/>
      <c r="I28" s="18"/>
    </row>
    <row r="30" spans="1:10" x14ac:dyDescent="0.3">
      <c r="B30" s="7"/>
      <c r="C30" s="7"/>
      <c r="E30" s="8"/>
      <c r="F30" s="15"/>
      <c r="G30" s="16"/>
      <c r="H30" s="16"/>
      <c r="I30" s="16"/>
      <c r="J30" s="16"/>
    </row>
    <row r="31" spans="1:10" x14ac:dyDescent="0.3">
      <c r="B31" s="7"/>
      <c r="C31" s="12"/>
      <c r="D31" s="12"/>
      <c r="E31" s="12"/>
      <c r="F31" s="13"/>
      <c r="G31" s="9"/>
      <c r="H31" s="9"/>
      <c r="I31" s="7"/>
    </row>
    <row r="32" spans="1:10" x14ac:dyDescent="0.3">
      <c r="B32" s="7"/>
      <c r="C32" s="12"/>
      <c r="D32" s="12"/>
      <c r="E32" s="12"/>
      <c r="F32" s="14"/>
      <c r="G32" s="9"/>
      <c r="H32" s="9"/>
      <c r="I32" s="7"/>
    </row>
    <row r="33" spans="2:9" x14ac:dyDescent="0.3">
      <c r="B33" s="7"/>
      <c r="C33" s="12"/>
      <c r="D33" s="12"/>
      <c r="E33" s="12"/>
      <c r="F33" s="14"/>
    </row>
    <row r="34" spans="2:9" x14ac:dyDescent="0.3">
      <c r="B34" s="7"/>
      <c r="C34" s="12"/>
      <c r="D34" s="12"/>
      <c r="E34" s="12"/>
      <c r="G34" s="9"/>
      <c r="H34" s="9"/>
      <c r="I34" s="7"/>
    </row>
    <row r="35" spans="2:9" x14ac:dyDescent="0.3">
      <c r="B35" s="7"/>
      <c r="C35" s="12"/>
      <c r="D35" s="12"/>
      <c r="E35" s="12"/>
      <c r="G35" s="9"/>
      <c r="H35" s="9"/>
      <c r="I35" s="7"/>
    </row>
    <row r="36" spans="2:9" x14ac:dyDescent="0.3">
      <c r="C36" s="12"/>
      <c r="D36" s="12"/>
      <c r="E36" s="12"/>
      <c r="G36" s="7"/>
      <c r="H36" s="10"/>
    </row>
    <row r="37" spans="2:9" x14ac:dyDescent="0.3">
      <c r="G37" s="7"/>
    </row>
  </sheetData>
  <mergeCells count="2">
    <mergeCell ref="B28:E28"/>
    <mergeCell ref="G28:I28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904F-1E8C-4DF3-AC00-7220084FE742}">
  <sheetPr codeName="Sheet3"/>
  <dimension ref="A1:E12"/>
  <sheetViews>
    <sheetView workbookViewId="0">
      <selection activeCell="C4" sqref="C4"/>
    </sheetView>
  </sheetViews>
  <sheetFormatPr defaultRowHeight="14.4" x14ac:dyDescent="0.3"/>
  <cols>
    <col min="1" max="1" width="2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35</v>
      </c>
    </row>
    <row r="2" spans="1:5" x14ac:dyDescent="0.3">
      <c r="A2" t="s">
        <v>5</v>
      </c>
      <c r="C2">
        <v>8.2799999999999994</v>
      </c>
      <c r="E2">
        <f>SUM(B2:D2)/COUNTA(B2:D2)</f>
        <v>8.2799999999999994</v>
      </c>
    </row>
    <row r="3" spans="1:5" x14ac:dyDescent="0.3">
      <c r="A3" t="s">
        <v>0</v>
      </c>
      <c r="B3">
        <v>9.01</v>
      </c>
      <c r="C3">
        <v>8.94</v>
      </c>
      <c r="D3">
        <v>9.15</v>
      </c>
      <c r="E3">
        <f t="shared" ref="E3:E7" si="0">SUM(B3:D3)/COUNTA(B3:D3)</f>
        <v>9.0333333333333332</v>
      </c>
    </row>
    <row r="4" spans="1:5" x14ac:dyDescent="0.3">
      <c r="A4" t="s">
        <v>6</v>
      </c>
      <c r="C4">
        <v>9.6</v>
      </c>
      <c r="E4">
        <f t="shared" si="0"/>
        <v>9.6</v>
      </c>
    </row>
    <row r="5" spans="1:5" x14ac:dyDescent="0.3">
      <c r="A5" t="s">
        <v>7</v>
      </c>
      <c r="C5">
        <v>10.5</v>
      </c>
      <c r="E5">
        <f t="shared" si="0"/>
        <v>10.5</v>
      </c>
    </row>
    <row r="6" spans="1:5" x14ac:dyDescent="0.3">
      <c r="A6" t="s">
        <v>8</v>
      </c>
      <c r="C6">
        <v>10.7</v>
      </c>
      <c r="D6">
        <v>10.85</v>
      </c>
      <c r="E6">
        <f t="shared" si="0"/>
        <v>10.774999999999999</v>
      </c>
    </row>
    <row r="7" spans="1:5" x14ac:dyDescent="0.3">
      <c r="A7" t="s">
        <v>9</v>
      </c>
      <c r="D7">
        <v>11.06</v>
      </c>
      <c r="E7">
        <f t="shared" si="0"/>
        <v>11.06</v>
      </c>
    </row>
    <row r="10" spans="1:5" x14ac:dyDescent="0.3">
      <c r="A10" t="s">
        <v>2</v>
      </c>
      <c r="B10" s="4" t="s">
        <v>34</v>
      </c>
    </row>
    <row r="11" spans="1:5" x14ac:dyDescent="0.3">
      <c r="A11" t="s">
        <v>3</v>
      </c>
      <c r="B11" s="4" t="s">
        <v>18</v>
      </c>
    </row>
    <row r="12" spans="1:5" x14ac:dyDescent="0.3">
      <c r="A12" t="s">
        <v>4</v>
      </c>
      <c r="B12" s="4" t="s">
        <v>17</v>
      </c>
    </row>
  </sheetData>
  <hyperlinks>
    <hyperlink ref="B12" r:id="rId1" xr:uid="{A9B9C7B2-065A-4B13-9B9D-E223565838A6}"/>
    <hyperlink ref="B11" r:id="rId2" xr:uid="{4D1CF3DA-D080-4219-8FA6-03FA34432312}"/>
    <hyperlink ref="B10" r:id="rId3" xr:uid="{0F839996-949E-48B0-9FA5-0F9FB63182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Bronsted analysis</vt:lpstr>
      <vt:lpstr>pKa amines in DMSO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2025-03-04T09:52:13Z</dcterms:created>
  <dcterms:modified xsi:type="dcterms:W3CDTF">2026-01-13T11:48:47Z</dcterms:modified>
</cp:coreProperties>
</file>
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HPLC Calibration/"/>
    </mc:Choice>
  </mc:AlternateContent>
  <xr:revisionPtr revIDLastSave="176" documentId="13_ncr:1_{90EA904D-B6D7-4ACF-8FCC-1099BE5D99AF}" xr6:coauthVersionLast="47" xr6:coauthVersionMax="47" xr10:uidLastSave="{EAA67763-3F2E-4A59-BA03-AC377CB745A1}"/>
  <bookViews>
    <workbookView xWindow="28680" yWindow="-120" windowWidth="29040" windowHeight="15720" firstSheet="10" activeTab="15" xr2:uid="{B0537B6B-858E-4B4C-98CE-9BED55FA249F}"/>
  </bookViews>
  <sheets>
    <sheet name="4SO2Me-ArOPh (1a)" sheetId="17" r:id="rId1"/>
    <sheet name="4SO2Me-Ar4MePip (3aa)" sheetId="15" r:id="rId2"/>
    <sheet name="4Cl-ArOPh (1b)" sheetId="18" r:id="rId3"/>
    <sheet name="4Cl-Ar4MePip (3ba)" sheetId="19" r:id="rId4"/>
    <sheet name="4CONH2-ArOPh (1c)" sheetId="20" r:id="rId5"/>
    <sheet name="4CONH2-Ar4MePip (3ca)" sheetId="21" r:id="rId6"/>
    <sheet name="4CF3-ArOPh (1d)" sheetId="14" r:id="rId7"/>
    <sheet name="4CF3-Ar4MePip (3da)" sheetId="16" r:id="rId8"/>
    <sheet name="4CO2Et-ArOPh (1e)" sheetId="23" r:id="rId9"/>
    <sheet name="4CO2Et-Ar4MePip (3ea)" sheetId="22" r:id="rId10"/>
    <sheet name="4COPh-ArOPh (1f)" sheetId="24" r:id="rId11"/>
    <sheet name="4COPh-Ar4MePip (3fa)" sheetId="25" r:id="rId12"/>
    <sheet name="4CN-ArOPh (1g)" sheetId="27" r:id="rId13"/>
    <sheet name="4CN-Ar4MePip (3ga)" sheetId="26" r:id="rId14"/>
    <sheet name="4NO2-ArOPh (1h)" sheetId="28" r:id="rId15"/>
    <sheet name="4NO2-Ar4MePip (3ha)" sheetId="29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0" l="1"/>
  <c r="G20" i="20" s="1"/>
  <c r="E19" i="20"/>
  <c r="G19" i="20" s="1"/>
  <c r="F18" i="20"/>
  <c r="H28" i="20" s="1"/>
  <c r="J28" i="20" s="1"/>
  <c r="C10" i="20" s="1"/>
  <c r="E18" i="20"/>
  <c r="G28" i="20" s="1"/>
  <c r="I28" i="20" s="1"/>
  <c r="B10" i="20" s="1"/>
  <c r="G17" i="20"/>
  <c r="B4" i="20" s="1"/>
  <c r="F17" i="20"/>
  <c r="H17" i="20" s="1"/>
  <c r="C4" i="20" s="1"/>
  <c r="H4" i="20" s="1"/>
  <c r="E17" i="20"/>
  <c r="I10" i="20"/>
  <c r="I9" i="20"/>
  <c r="I8" i="20"/>
  <c r="I7" i="20"/>
  <c r="I6" i="20"/>
  <c r="I5" i="20"/>
  <c r="I4" i="20"/>
  <c r="I3" i="20"/>
  <c r="E20" i="21"/>
  <c r="G20" i="21" s="1"/>
  <c r="E19" i="21"/>
  <c r="G19" i="21" s="1"/>
  <c r="G18" i="21"/>
  <c r="F18" i="21"/>
  <c r="H27" i="21" s="1"/>
  <c r="J27" i="21" s="1"/>
  <c r="C9" i="21" s="1"/>
  <c r="H9" i="21" s="1"/>
  <c r="E18" i="21"/>
  <c r="G27" i="21" s="1"/>
  <c r="I27" i="21" s="1"/>
  <c r="B9" i="21" s="1"/>
  <c r="F17" i="21"/>
  <c r="H28" i="21" s="1"/>
  <c r="J28" i="21" s="1"/>
  <c r="C10" i="21" s="1"/>
  <c r="E17" i="21"/>
  <c r="G17" i="21" s="1"/>
  <c r="B4" i="21" s="1"/>
  <c r="I10" i="21"/>
  <c r="I9" i="21"/>
  <c r="I8" i="21"/>
  <c r="I7" i="21"/>
  <c r="I6" i="21"/>
  <c r="I5" i="21"/>
  <c r="I4" i="21"/>
  <c r="I3" i="21"/>
  <c r="B3" i="21"/>
  <c r="E20" i="19"/>
  <c r="G20" i="19" s="1"/>
  <c r="E19" i="19"/>
  <c r="G19" i="19" s="1"/>
  <c r="F18" i="19"/>
  <c r="H25" i="19" s="1"/>
  <c r="J25" i="19" s="1"/>
  <c r="C7" i="19" s="1"/>
  <c r="E18" i="19"/>
  <c r="G26" i="19" s="1"/>
  <c r="I26" i="19" s="1"/>
  <c r="B8" i="19" s="1"/>
  <c r="F17" i="19"/>
  <c r="H17" i="19" s="1"/>
  <c r="C4" i="19" s="1"/>
  <c r="H4" i="19" s="1"/>
  <c r="E17" i="19"/>
  <c r="G17" i="19" s="1"/>
  <c r="B4" i="19" s="1"/>
  <c r="I10" i="19"/>
  <c r="I9" i="19"/>
  <c r="I8" i="19"/>
  <c r="I7" i="19"/>
  <c r="I6" i="19"/>
  <c r="I5" i="19"/>
  <c r="I4" i="19"/>
  <c r="I3" i="19"/>
  <c r="E20" i="18"/>
  <c r="G20" i="18" s="1"/>
  <c r="E19" i="18"/>
  <c r="G19" i="18" s="1"/>
  <c r="F18" i="18"/>
  <c r="H28" i="18" s="1"/>
  <c r="J28" i="18" s="1"/>
  <c r="C10" i="18" s="1"/>
  <c r="H10" i="18" s="1"/>
  <c r="E18" i="18"/>
  <c r="G28" i="18" s="1"/>
  <c r="I28" i="18" s="1"/>
  <c r="B10" i="18" s="1"/>
  <c r="H17" i="18"/>
  <c r="C4" i="18" s="1"/>
  <c r="G17" i="18"/>
  <c r="B4" i="18" s="1"/>
  <c r="F17" i="18"/>
  <c r="E17" i="18"/>
  <c r="I10" i="18"/>
  <c r="I9" i="18"/>
  <c r="I8" i="18"/>
  <c r="I7" i="18"/>
  <c r="I6" i="18"/>
  <c r="I5" i="18"/>
  <c r="I4" i="18"/>
  <c r="I3" i="18"/>
  <c r="H10" i="20" l="1"/>
  <c r="G25" i="20"/>
  <c r="I25" i="20" s="1"/>
  <c r="B7" i="20" s="1"/>
  <c r="H25" i="20"/>
  <c r="J25" i="20" s="1"/>
  <c r="C7" i="20" s="1"/>
  <c r="H7" i="20" s="1"/>
  <c r="G18" i="20"/>
  <c r="B3" i="20" s="1"/>
  <c r="H18" i="20"/>
  <c r="C3" i="20" s="1"/>
  <c r="H3" i="20" s="1"/>
  <c r="G26" i="20"/>
  <c r="I26" i="20" s="1"/>
  <c r="B8" i="20" s="1"/>
  <c r="H26" i="20"/>
  <c r="J26" i="20" s="1"/>
  <c r="C8" i="20" s="1"/>
  <c r="H8" i="20" s="1"/>
  <c r="G23" i="20"/>
  <c r="I23" i="20" s="1"/>
  <c r="B5" i="20" s="1"/>
  <c r="G27" i="20"/>
  <c r="I27" i="20" s="1"/>
  <c r="B9" i="20" s="1"/>
  <c r="H23" i="20"/>
  <c r="J23" i="20" s="1"/>
  <c r="C5" i="20" s="1"/>
  <c r="H5" i="20" s="1"/>
  <c r="H27" i="20"/>
  <c r="J27" i="20" s="1"/>
  <c r="C9" i="20" s="1"/>
  <c r="H9" i="20" s="1"/>
  <c r="G24" i="20"/>
  <c r="I24" i="20" s="1"/>
  <c r="B6" i="20" s="1"/>
  <c r="H24" i="20"/>
  <c r="J24" i="20" s="1"/>
  <c r="C6" i="20" s="1"/>
  <c r="H6" i="20" s="1"/>
  <c r="H17" i="21"/>
  <c r="C4" i="21" s="1"/>
  <c r="H4" i="21" s="1"/>
  <c r="G25" i="21"/>
  <c r="I25" i="21" s="1"/>
  <c r="B7" i="21" s="1"/>
  <c r="H25" i="21"/>
  <c r="J25" i="21" s="1"/>
  <c r="C7" i="21" s="1"/>
  <c r="H7" i="21" s="1"/>
  <c r="G24" i="21"/>
  <c r="I24" i="21" s="1"/>
  <c r="B6" i="21" s="1"/>
  <c r="G28" i="21"/>
  <c r="I28" i="21" s="1"/>
  <c r="B10" i="21" s="1"/>
  <c r="H10" i="21" s="1"/>
  <c r="H24" i="21"/>
  <c r="J24" i="21" s="1"/>
  <c r="C6" i="21" s="1"/>
  <c r="H6" i="21" s="1"/>
  <c r="G26" i="21"/>
  <c r="I26" i="21" s="1"/>
  <c r="B8" i="21" s="1"/>
  <c r="H18" i="21"/>
  <c r="C3" i="21" s="1"/>
  <c r="H3" i="21" s="1"/>
  <c r="H26" i="21"/>
  <c r="J26" i="21" s="1"/>
  <c r="C8" i="21" s="1"/>
  <c r="H8" i="21" s="1"/>
  <c r="G23" i="21"/>
  <c r="I23" i="21" s="1"/>
  <c r="B5" i="21" s="1"/>
  <c r="H23" i="21"/>
  <c r="J23" i="21" s="1"/>
  <c r="C5" i="21" s="1"/>
  <c r="H5" i="21" s="1"/>
  <c r="G25" i="19"/>
  <c r="I25" i="19" s="1"/>
  <c r="B7" i="19" s="1"/>
  <c r="H7" i="19" s="1"/>
  <c r="G23" i="19"/>
  <c r="I23" i="19" s="1"/>
  <c r="B5" i="19" s="1"/>
  <c r="H23" i="19"/>
  <c r="J23" i="19" s="1"/>
  <c r="C5" i="19" s="1"/>
  <c r="H5" i="19" s="1"/>
  <c r="G24" i="19"/>
  <c r="I24" i="19" s="1"/>
  <c r="B6" i="19" s="1"/>
  <c r="G28" i="19"/>
  <c r="I28" i="19" s="1"/>
  <c r="B10" i="19" s="1"/>
  <c r="H28" i="19"/>
  <c r="J28" i="19" s="1"/>
  <c r="C10" i="19" s="1"/>
  <c r="H10" i="19" s="1"/>
  <c r="H18" i="19"/>
  <c r="C3" i="19" s="1"/>
  <c r="H26" i="19"/>
  <c r="J26" i="19" s="1"/>
  <c r="C8" i="19" s="1"/>
  <c r="H8" i="19" s="1"/>
  <c r="G27" i="19"/>
  <c r="I27" i="19" s="1"/>
  <c r="B9" i="19" s="1"/>
  <c r="H27" i="19"/>
  <c r="J27" i="19" s="1"/>
  <c r="C9" i="19" s="1"/>
  <c r="H9" i="19" s="1"/>
  <c r="H24" i="19"/>
  <c r="J24" i="19" s="1"/>
  <c r="C6" i="19" s="1"/>
  <c r="H6" i="19" s="1"/>
  <c r="G18" i="19"/>
  <c r="B3" i="19" s="1"/>
  <c r="H4" i="18"/>
  <c r="G25" i="18"/>
  <c r="I25" i="18" s="1"/>
  <c r="B7" i="18" s="1"/>
  <c r="H25" i="18"/>
  <c r="J25" i="18" s="1"/>
  <c r="C7" i="18" s="1"/>
  <c r="H7" i="18" s="1"/>
  <c r="G18" i="18"/>
  <c r="B3" i="18" s="1"/>
  <c r="G26" i="18"/>
  <c r="I26" i="18" s="1"/>
  <c r="B8" i="18" s="1"/>
  <c r="H26" i="18"/>
  <c r="J26" i="18" s="1"/>
  <c r="C8" i="18" s="1"/>
  <c r="H8" i="18" s="1"/>
  <c r="G23" i="18"/>
  <c r="I23" i="18" s="1"/>
  <c r="B5" i="18" s="1"/>
  <c r="G27" i="18"/>
  <c r="I27" i="18" s="1"/>
  <c r="B9" i="18" s="1"/>
  <c r="H23" i="18"/>
  <c r="J23" i="18" s="1"/>
  <c r="C5" i="18" s="1"/>
  <c r="H5" i="18" s="1"/>
  <c r="H27" i="18"/>
  <c r="J27" i="18" s="1"/>
  <c r="C9" i="18" s="1"/>
  <c r="H18" i="18"/>
  <c r="C3" i="18" s="1"/>
  <c r="H3" i="18" s="1"/>
  <c r="G24" i="18"/>
  <c r="I24" i="18" s="1"/>
  <c r="B6" i="18" s="1"/>
  <c r="H24" i="18"/>
  <c r="J24" i="18" s="1"/>
  <c r="C6" i="18" s="1"/>
  <c r="H6" i="18" s="1"/>
  <c r="H3" i="19" l="1"/>
  <c r="H9" i="18"/>
  <c r="E20" i="16" l="1"/>
  <c r="G20" i="16" s="1"/>
  <c r="E19" i="16"/>
  <c r="G19" i="16" s="1"/>
  <c r="F18" i="16"/>
  <c r="H24" i="16" s="1"/>
  <c r="J24" i="16" s="1"/>
  <c r="C6" i="16" s="1"/>
  <c r="E18" i="16"/>
  <c r="G24" i="16" s="1"/>
  <c r="I24" i="16" s="1"/>
  <c r="B6" i="16" s="1"/>
  <c r="F17" i="16"/>
  <c r="H17" i="16" s="1"/>
  <c r="C4" i="16" s="1"/>
  <c r="E17" i="16"/>
  <c r="G17" i="16" s="1"/>
  <c r="B4" i="16" s="1"/>
  <c r="I10" i="16"/>
  <c r="I9" i="16"/>
  <c r="I8" i="16"/>
  <c r="I7" i="16"/>
  <c r="I6" i="16"/>
  <c r="I5" i="16"/>
  <c r="I4" i="16"/>
  <c r="I3" i="16"/>
  <c r="H4" i="16" l="1"/>
  <c r="H6" i="16"/>
  <c r="G23" i="16"/>
  <c r="I23" i="16" s="1"/>
  <c r="B5" i="16" s="1"/>
  <c r="G27" i="16"/>
  <c r="I27" i="16" s="1"/>
  <c r="B9" i="16" s="1"/>
  <c r="H23" i="16"/>
  <c r="J23" i="16" s="1"/>
  <c r="C5" i="16" s="1"/>
  <c r="H5" i="16" s="1"/>
  <c r="H27" i="16"/>
  <c r="J27" i="16" s="1"/>
  <c r="C9" i="16" s="1"/>
  <c r="H9" i="16" s="1"/>
  <c r="G18" i="16"/>
  <c r="B3" i="16" s="1"/>
  <c r="G28" i="16"/>
  <c r="I28" i="16" s="1"/>
  <c r="B10" i="16" s="1"/>
  <c r="H18" i="16"/>
  <c r="C3" i="16" s="1"/>
  <c r="H3" i="16" s="1"/>
  <c r="H28" i="16"/>
  <c r="J28" i="16" s="1"/>
  <c r="C10" i="16" s="1"/>
  <c r="H10" i="16" s="1"/>
  <c r="G25" i="16"/>
  <c r="I25" i="16" s="1"/>
  <c r="B7" i="16" s="1"/>
  <c r="H25" i="16"/>
  <c r="J25" i="16" s="1"/>
  <c r="C7" i="16" s="1"/>
  <c r="G26" i="16"/>
  <c r="I26" i="16" s="1"/>
  <c r="B8" i="16" s="1"/>
  <c r="H26" i="16"/>
  <c r="J26" i="16" s="1"/>
  <c r="C8" i="16" s="1"/>
  <c r="H8" i="16" s="1"/>
  <c r="H7" i="16" l="1"/>
  <c r="E20" i="24" l="1"/>
  <c r="G20" i="24" s="1"/>
  <c r="E19" i="24"/>
  <c r="G19" i="24" s="1"/>
  <c r="F18" i="24"/>
  <c r="H27" i="24" s="1"/>
  <c r="J27" i="24" s="1"/>
  <c r="C9" i="24" s="1"/>
  <c r="E18" i="24"/>
  <c r="G24" i="24" s="1"/>
  <c r="I24" i="24" s="1"/>
  <c r="B6" i="24" s="1"/>
  <c r="F17" i="24"/>
  <c r="H17" i="24" s="1"/>
  <c r="C4" i="24" s="1"/>
  <c r="E17" i="24"/>
  <c r="G17" i="24" s="1"/>
  <c r="B4" i="24" s="1"/>
  <c r="I10" i="24"/>
  <c r="I9" i="24"/>
  <c r="I8" i="24"/>
  <c r="I7" i="24"/>
  <c r="I6" i="24"/>
  <c r="I5" i="24"/>
  <c r="I4" i="24"/>
  <c r="I3" i="24"/>
  <c r="E20" i="25"/>
  <c r="G20" i="25" s="1"/>
  <c r="E19" i="25"/>
  <c r="G19" i="25" s="1"/>
  <c r="F18" i="25"/>
  <c r="H24" i="25" s="1"/>
  <c r="J24" i="25" s="1"/>
  <c r="C6" i="25" s="1"/>
  <c r="E18" i="25"/>
  <c r="G23" i="25" s="1"/>
  <c r="I23" i="25" s="1"/>
  <c r="B5" i="25" s="1"/>
  <c r="F17" i="25"/>
  <c r="H17" i="25" s="1"/>
  <c r="C4" i="25" s="1"/>
  <c r="E17" i="25"/>
  <c r="G17" i="25" s="1"/>
  <c r="B4" i="25" s="1"/>
  <c r="I10" i="25"/>
  <c r="I9" i="25"/>
  <c r="I8" i="25"/>
  <c r="I7" i="25"/>
  <c r="I6" i="25"/>
  <c r="I5" i="25"/>
  <c r="I4" i="25"/>
  <c r="I3" i="25"/>
  <c r="E20" i="26"/>
  <c r="G20" i="26" s="1"/>
  <c r="E19" i="26"/>
  <c r="G19" i="26" s="1"/>
  <c r="F18" i="26"/>
  <c r="H27" i="26" s="1"/>
  <c r="J27" i="26" s="1"/>
  <c r="C9" i="26" s="1"/>
  <c r="E18" i="26"/>
  <c r="G27" i="26" s="1"/>
  <c r="I27" i="26" s="1"/>
  <c r="B9" i="26" s="1"/>
  <c r="G17" i="26"/>
  <c r="F17" i="26"/>
  <c r="H17" i="26" s="1"/>
  <c r="C4" i="26" s="1"/>
  <c r="H4" i="26" s="1"/>
  <c r="E17" i="26"/>
  <c r="I10" i="26"/>
  <c r="I9" i="26"/>
  <c r="I8" i="26"/>
  <c r="I7" i="26"/>
  <c r="I6" i="26"/>
  <c r="I5" i="26"/>
  <c r="I4" i="26"/>
  <c r="B4" i="26"/>
  <c r="I3" i="26"/>
  <c r="H27" i="27"/>
  <c r="J27" i="27" s="1"/>
  <c r="C9" i="27" s="1"/>
  <c r="H26" i="27"/>
  <c r="J26" i="27" s="1"/>
  <c r="C8" i="27" s="1"/>
  <c r="H23" i="27"/>
  <c r="J23" i="27" s="1"/>
  <c r="C5" i="27" s="1"/>
  <c r="E20" i="27"/>
  <c r="G20" i="27" s="1"/>
  <c r="E19" i="27"/>
  <c r="G27" i="27" s="1"/>
  <c r="I27" i="27" s="1"/>
  <c r="B9" i="27" s="1"/>
  <c r="H18" i="27"/>
  <c r="F18" i="27"/>
  <c r="H25" i="27" s="1"/>
  <c r="J25" i="27" s="1"/>
  <c r="C7" i="27" s="1"/>
  <c r="E18" i="27"/>
  <c r="G18" i="27" s="1"/>
  <c r="B3" i="27" s="1"/>
  <c r="F17" i="27"/>
  <c r="H28" i="27" s="1"/>
  <c r="J28" i="27" s="1"/>
  <c r="C10" i="27" s="1"/>
  <c r="E17" i="27"/>
  <c r="G17" i="27" s="1"/>
  <c r="B4" i="27" s="1"/>
  <c r="I10" i="27"/>
  <c r="I9" i="27"/>
  <c r="I8" i="27"/>
  <c r="I7" i="27"/>
  <c r="I6" i="27"/>
  <c r="I5" i="27"/>
  <c r="I4" i="27"/>
  <c r="I3" i="27"/>
  <c r="C3" i="27"/>
  <c r="H4" i="24" l="1"/>
  <c r="G18" i="24"/>
  <c r="B3" i="24" s="1"/>
  <c r="G26" i="24"/>
  <c r="I26" i="24" s="1"/>
  <c r="B8" i="24" s="1"/>
  <c r="H26" i="24"/>
  <c r="J26" i="24" s="1"/>
  <c r="C8" i="24" s="1"/>
  <c r="H8" i="24" s="1"/>
  <c r="H24" i="24"/>
  <c r="J24" i="24" s="1"/>
  <c r="C6" i="24" s="1"/>
  <c r="H6" i="24" s="1"/>
  <c r="H28" i="24"/>
  <c r="J28" i="24" s="1"/>
  <c r="C10" i="24" s="1"/>
  <c r="H18" i="24"/>
  <c r="C3" i="24" s="1"/>
  <c r="H3" i="24" s="1"/>
  <c r="G27" i="24"/>
  <c r="I27" i="24" s="1"/>
  <c r="B9" i="24" s="1"/>
  <c r="H9" i="24" s="1"/>
  <c r="H23" i="24"/>
  <c r="J23" i="24" s="1"/>
  <c r="C5" i="24" s="1"/>
  <c r="G28" i="24"/>
  <c r="I28" i="24" s="1"/>
  <c r="B10" i="24" s="1"/>
  <c r="G25" i="24"/>
  <c r="I25" i="24" s="1"/>
  <c r="B7" i="24" s="1"/>
  <c r="H25" i="24"/>
  <c r="J25" i="24" s="1"/>
  <c r="C7" i="24" s="1"/>
  <c r="H7" i="24" s="1"/>
  <c r="G23" i="24"/>
  <c r="I23" i="24" s="1"/>
  <c r="B5" i="24" s="1"/>
  <c r="H4" i="25"/>
  <c r="G25" i="25"/>
  <c r="I25" i="25" s="1"/>
  <c r="B7" i="25" s="1"/>
  <c r="H25" i="25"/>
  <c r="J25" i="25" s="1"/>
  <c r="C7" i="25" s="1"/>
  <c r="H7" i="25" s="1"/>
  <c r="G18" i="25"/>
  <c r="B3" i="25" s="1"/>
  <c r="G26" i="25"/>
  <c r="I26" i="25" s="1"/>
  <c r="B8" i="25" s="1"/>
  <c r="H26" i="25"/>
  <c r="J26" i="25" s="1"/>
  <c r="C8" i="25" s="1"/>
  <c r="H8" i="25" s="1"/>
  <c r="G27" i="25"/>
  <c r="I27" i="25" s="1"/>
  <c r="B9" i="25" s="1"/>
  <c r="H23" i="25"/>
  <c r="J23" i="25" s="1"/>
  <c r="C5" i="25" s="1"/>
  <c r="H5" i="25" s="1"/>
  <c r="H27" i="25"/>
  <c r="J27" i="25" s="1"/>
  <c r="C9" i="25" s="1"/>
  <c r="G24" i="25"/>
  <c r="I24" i="25" s="1"/>
  <c r="B6" i="25" s="1"/>
  <c r="H6" i="25" s="1"/>
  <c r="G28" i="25"/>
  <c r="I28" i="25" s="1"/>
  <c r="B10" i="25" s="1"/>
  <c r="H28" i="25"/>
  <c r="J28" i="25" s="1"/>
  <c r="C10" i="25" s="1"/>
  <c r="H18" i="25"/>
  <c r="C3" i="25" s="1"/>
  <c r="H3" i="25" s="1"/>
  <c r="H9" i="26"/>
  <c r="G25" i="26"/>
  <c r="I25" i="26" s="1"/>
  <c r="B7" i="26" s="1"/>
  <c r="H18" i="26"/>
  <c r="C3" i="26" s="1"/>
  <c r="G24" i="26"/>
  <c r="I24" i="26" s="1"/>
  <c r="B6" i="26" s="1"/>
  <c r="G28" i="26"/>
  <c r="I28" i="26" s="1"/>
  <c r="B10" i="26" s="1"/>
  <c r="H24" i="26"/>
  <c r="J24" i="26" s="1"/>
  <c r="C6" i="26" s="1"/>
  <c r="H6" i="26" s="1"/>
  <c r="H28" i="26"/>
  <c r="J28" i="26" s="1"/>
  <c r="C10" i="26" s="1"/>
  <c r="H10" i="26" s="1"/>
  <c r="H25" i="26"/>
  <c r="J25" i="26" s="1"/>
  <c r="C7" i="26" s="1"/>
  <c r="H7" i="26" s="1"/>
  <c r="G18" i="26"/>
  <c r="B3" i="26" s="1"/>
  <c r="G26" i="26"/>
  <c r="I26" i="26" s="1"/>
  <c r="B8" i="26" s="1"/>
  <c r="H26" i="26"/>
  <c r="J26" i="26" s="1"/>
  <c r="C8" i="26" s="1"/>
  <c r="H8" i="26" s="1"/>
  <c r="G23" i="26"/>
  <c r="I23" i="26" s="1"/>
  <c r="B5" i="26" s="1"/>
  <c r="H23" i="26"/>
  <c r="J23" i="26" s="1"/>
  <c r="C5" i="26" s="1"/>
  <c r="H5" i="26" s="1"/>
  <c r="H7" i="27"/>
  <c r="H10" i="27"/>
  <c r="H3" i="27"/>
  <c r="H9" i="27"/>
  <c r="G26" i="27"/>
  <c r="I26" i="27" s="1"/>
  <c r="B8" i="27" s="1"/>
  <c r="H8" i="27" s="1"/>
  <c r="G19" i="27"/>
  <c r="G23" i="27"/>
  <c r="I23" i="27" s="1"/>
  <c r="B5" i="27" s="1"/>
  <c r="H5" i="27" s="1"/>
  <c r="H17" i="27"/>
  <c r="C4" i="27" s="1"/>
  <c r="H4" i="27" s="1"/>
  <c r="G25" i="27"/>
  <c r="I25" i="27" s="1"/>
  <c r="B7" i="27" s="1"/>
  <c r="G24" i="27"/>
  <c r="I24" i="27" s="1"/>
  <c r="B6" i="27" s="1"/>
  <c r="G28" i="27"/>
  <c r="I28" i="27" s="1"/>
  <c r="B10" i="27" s="1"/>
  <c r="H24" i="27"/>
  <c r="J24" i="27" s="1"/>
  <c r="C6" i="27" s="1"/>
  <c r="H5" i="24" l="1"/>
  <c r="H10" i="24"/>
  <c r="H9" i="25"/>
  <c r="H10" i="25"/>
  <c r="H3" i="26"/>
  <c r="H6" i="27"/>
  <c r="H25" i="29" l="1"/>
  <c r="J25" i="29" s="1"/>
  <c r="C7" i="29" s="1"/>
  <c r="G25" i="29"/>
  <c r="I25" i="29" s="1"/>
  <c r="B7" i="29" s="1"/>
  <c r="E20" i="29"/>
  <c r="G20" i="29" s="1"/>
  <c r="E19" i="29"/>
  <c r="G19" i="29" s="1"/>
  <c r="F18" i="29"/>
  <c r="H26" i="29" s="1"/>
  <c r="J26" i="29" s="1"/>
  <c r="C8" i="29" s="1"/>
  <c r="E18" i="29"/>
  <c r="G28" i="29" s="1"/>
  <c r="I28" i="29" s="1"/>
  <c r="B10" i="29" s="1"/>
  <c r="G17" i="29"/>
  <c r="B4" i="29" s="1"/>
  <c r="F17" i="29"/>
  <c r="H17" i="29" s="1"/>
  <c r="C4" i="29" s="1"/>
  <c r="H4" i="29" s="1"/>
  <c r="E17" i="29"/>
  <c r="I10" i="29"/>
  <c r="I9" i="29"/>
  <c r="I8" i="29"/>
  <c r="I7" i="29"/>
  <c r="I6" i="29"/>
  <c r="I5" i="29"/>
  <c r="I4" i="29"/>
  <c r="I3" i="29"/>
  <c r="G27" i="28"/>
  <c r="I27" i="28" s="1"/>
  <c r="B9" i="28" s="1"/>
  <c r="H26" i="28"/>
  <c r="J26" i="28" s="1"/>
  <c r="C8" i="28" s="1"/>
  <c r="G26" i="28"/>
  <c r="I26" i="28" s="1"/>
  <c r="B8" i="28" s="1"/>
  <c r="E20" i="28"/>
  <c r="G20" i="28" s="1"/>
  <c r="E19" i="28"/>
  <c r="G19" i="28" s="1"/>
  <c r="F18" i="28"/>
  <c r="H23" i="28" s="1"/>
  <c r="J23" i="28" s="1"/>
  <c r="C5" i="28" s="1"/>
  <c r="E18" i="28"/>
  <c r="G23" i="28" s="1"/>
  <c r="I23" i="28" s="1"/>
  <c r="B5" i="28" s="1"/>
  <c r="F17" i="28"/>
  <c r="H17" i="28" s="1"/>
  <c r="C4" i="28" s="1"/>
  <c r="E17" i="28"/>
  <c r="G17" i="28" s="1"/>
  <c r="B4" i="28" s="1"/>
  <c r="I10" i="28"/>
  <c r="I9" i="28"/>
  <c r="I8" i="28"/>
  <c r="I7" i="28"/>
  <c r="I6" i="28"/>
  <c r="I5" i="28"/>
  <c r="I4" i="28"/>
  <c r="I3" i="28"/>
  <c r="H7" i="29" l="1"/>
  <c r="H24" i="29"/>
  <c r="J24" i="29" s="1"/>
  <c r="C6" i="29" s="1"/>
  <c r="G18" i="29"/>
  <c r="B3" i="29" s="1"/>
  <c r="H18" i="29"/>
  <c r="C3" i="29" s="1"/>
  <c r="H3" i="29" s="1"/>
  <c r="G23" i="29"/>
  <c r="I23" i="29" s="1"/>
  <c r="B5" i="29" s="1"/>
  <c r="G27" i="29"/>
  <c r="I27" i="29" s="1"/>
  <c r="B9" i="29" s="1"/>
  <c r="H23" i="29"/>
  <c r="J23" i="29" s="1"/>
  <c r="C5" i="29" s="1"/>
  <c r="H5" i="29" s="1"/>
  <c r="H27" i="29"/>
  <c r="J27" i="29" s="1"/>
  <c r="C9" i="29" s="1"/>
  <c r="H9" i="29" s="1"/>
  <c r="H28" i="29"/>
  <c r="J28" i="29" s="1"/>
  <c r="C10" i="29" s="1"/>
  <c r="H10" i="29" s="1"/>
  <c r="G26" i="29"/>
  <c r="I26" i="29" s="1"/>
  <c r="B8" i="29" s="1"/>
  <c r="H8" i="29" s="1"/>
  <c r="G24" i="29"/>
  <c r="I24" i="29" s="1"/>
  <c r="B6" i="29" s="1"/>
  <c r="H5" i="28"/>
  <c r="H4" i="28"/>
  <c r="H8" i="28"/>
  <c r="G25" i="28"/>
  <c r="I25" i="28" s="1"/>
  <c r="B7" i="28" s="1"/>
  <c r="H25" i="28"/>
  <c r="J25" i="28" s="1"/>
  <c r="C7" i="28" s="1"/>
  <c r="H7" i="28" s="1"/>
  <c r="H27" i="28"/>
  <c r="J27" i="28" s="1"/>
  <c r="C9" i="28" s="1"/>
  <c r="H9" i="28" s="1"/>
  <c r="G28" i="28"/>
  <c r="I28" i="28" s="1"/>
  <c r="B10" i="28" s="1"/>
  <c r="H28" i="28"/>
  <c r="J28" i="28" s="1"/>
  <c r="C10" i="28" s="1"/>
  <c r="H10" i="28" s="1"/>
  <c r="G24" i="28"/>
  <c r="I24" i="28" s="1"/>
  <c r="B6" i="28" s="1"/>
  <c r="H24" i="28"/>
  <c r="J24" i="28" s="1"/>
  <c r="C6" i="28" s="1"/>
  <c r="H6" i="28" s="1"/>
  <c r="G18" i="28"/>
  <c r="B3" i="28" s="1"/>
  <c r="H18" i="28"/>
  <c r="C3" i="28" s="1"/>
  <c r="H3" i="28" s="1"/>
  <c r="H6" i="29" l="1"/>
  <c r="H27" i="22" l="1"/>
  <c r="J27" i="22" s="1"/>
  <c r="C9" i="22" s="1"/>
  <c r="G20" i="22"/>
  <c r="E20" i="22"/>
  <c r="E19" i="22"/>
  <c r="G19" i="22" s="1"/>
  <c r="F18" i="22"/>
  <c r="H25" i="22" s="1"/>
  <c r="J25" i="22" s="1"/>
  <c r="C7" i="22" s="1"/>
  <c r="E18" i="22"/>
  <c r="G26" i="22" s="1"/>
  <c r="I26" i="22" s="1"/>
  <c r="B8" i="22" s="1"/>
  <c r="H17" i="22"/>
  <c r="C4" i="22" s="1"/>
  <c r="F17" i="22"/>
  <c r="E17" i="22"/>
  <c r="G17" i="22" s="1"/>
  <c r="B4" i="22" s="1"/>
  <c r="I10" i="22"/>
  <c r="I9" i="22"/>
  <c r="I8" i="22"/>
  <c r="I7" i="22"/>
  <c r="I6" i="22"/>
  <c r="I5" i="22"/>
  <c r="I4" i="22"/>
  <c r="I3" i="22"/>
  <c r="E20" i="23"/>
  <c r="G20" i="23" s="1"/>
  <c r="E19" i="23"/>
  <c r="G19" i="23" s="1"/>
  <c r="F18" i="23"/>
  <c r="H23" i="23" s="1"/>
  <c r="J23" i="23" s="1"/>
  <c r="C5" i="23" s="1"/>
  <c r="H5" i="23" s="1"/>
  <c r="E18" i="23"/>
  <c r="G23" i="23" s="1"/>
  <c r="I23" i="23" s="1"/>
  <c r="B5" i="23" s="1"/>
  <c r="F17" i="23"/>
  <c r="H17" i="23" s="1"/>
  <c r="C4" i="23" s="1"/>
  <c r="E17" i="23"/>
  <c r="G17" i="23" s="1"/>
  <c r="B4" i="23" s="1"/>
  <c r="I10" i="23"/>
  <c r="I9" i="23"/>
  <c r="I8" i="23"/>
  <c r="I7" i="23"/>
  <c r="I6" i="23"/>
  <c r="I5" i="23"/>
  <c r="I4" i="23"/>
  <c r="I3" i="23"/>
  <c r="H4" i="22" l="1"/>
  <c r="G24" i="22"/>
  <c r="I24" i="22" s="1"/>
  <c r="B6" i="22" s="1"/>
  <c r="G28" i="22"/>
  <c r="I28" i="22" s="1"/>
  <c r="B10" i="22" s="1"/>
  <c r="G25" i="22"/>
  <c r="I25" i="22" s="1"/>
  <c r="B7" i="22" s="1"/>
  <c r="H7" i="22" s="1"/>
  <c r="G18" i="22"/>
  <c r="B3" i="22" s="1"/>
  <c r="H18" i="22"/>
  <c r="C3" i="22" s="1"/>
  <c r="H3" i="22" s="1"/>
  <c r="H26" i="22"/>
  <c r="J26" i="22" s="1"/>
  <c r="C8" i="22" s="1"/>
  <c r="H8" i="22" s="1"/>
  <c r="G23" i="22"/>
  <c r="I23" i="22" s="1"/>
  <c r="B5" i="22" s="1"/>
  <c r="G27" i="22"/>
  <c r="I27" i="22" s="1"/>
  <c r="B9" i="22" s="1"/>
  <c r="H9" i="22" s="1"/>
  <c r="H23" i="22"/>
  <c r="J23" i="22" s="1"/>
  <c r="C5" i="22" s="1"/>
  <c r="H24" i="22"/>
  <c r="J24" i="22" s="1"/>
  <c r="C6" i="22" s="1"/>
  <c r="H6" i="22" s="1"/>
  <c r="H28" i="22"/>
  <c r="J28" i="22" s="1"/>
  <c r="C10" i="22" s="1"/>
  <c r="H10" i="22" s="1"/>
  <c r="H4" i="23"/>
  <c r="G18" i="23"/>
  <c r="B3" i="23" s="1"/>
  <c r="G27" i="23"/>
  <c r="I27" i="23" s="1"/>
  <c r="B9" i="23" s="1"/>
  <c r="H27" i="23"/>
  <c r="J27" i="23" s="1"/>
  <c r="C9" i="23" s="1"/>
  <c r="H9" i="23" s="1"/>
  <c r="H24" i="23"/>
  <c r="J24" i="23" s="1"/>
  <c r="C6" i="23" s="1"/>
  <c r="H28" i="23"/>
  <c r="J28" i="23" s="1"/>
  <c r="C10" i="23" s="1"/>
  <c r="G25" i="23"/>
  <c r="I25" i="23" s="1"/>
  <c r="B7" i="23" s="1"/>
  <c r="G26" i="23"/>
  <c r="I26" i="23" s="1"/>
  <c r="B8" i="23" s="1"/>
  <c r="G24" i="23"/>
  <c r="I24" i="23" s="1"/>
  <c r="B6" i="23" s="1"/>
  <c r="G28" i="23"/>
  <c r="I28" i="23" s="1"/>
  <c r="B10" i="23" s="1"/>
  <c r="H25" i="23"/>
  <c r="J25" i="23" s="1"/>
  <c r="C7" i="23" s="1"/>
  <c r="H7" i="23" s="1"/>
  <c r="H18" i="23"/>
  <c r="C3" i="23" s="1"/>
  <c r="H3" i="23" s="1"/>
  <c r="H26" i="23"/>
  <c r="J26" i="23" s="1"/>
  <c r="C8" i="23" s="1"/>
  <c r="H8" i="23" s="1"/>
  <c r="H5" i="22" l="1"/>
  <c r="H10" i="23"/>
  <c r="H6" i="23"/>
  <c r="E20" i="17" l="1"/>
  <c r="G20" i="17" s="1"/>
  <c r="E19" i="17"/>
  <c r="G19" i="17" s="1"/>
  <c r="E18" i="17"/>
  <c r="G25" i="17" s="1"/>
  <c r="I25" i="17" s="1"/>
  <c r="B7" i="17" s="1"/>
  <c r="F18" i="17"/>
  <c r="E17" i="17"/>
  <c r="G17" i="17" s="1"/>
  <c r="B4" i="17" s="1"/>
  <c r="F17" i="17"/>
  <c r="H17" i="17" s="1"/>
  <c r="C4" i="17" s="1"/>
  <c r="H4" i="17" s="1"/>
  <c r="I10" i="17"/>
  <c r="I9" i="17"/>
  <c r="I8" i="17"/>
  <c r="I7" i="17"/>
  <c r="I6" i="17"/>
  <c r="I5" i="17"/>
  <c r="I4" i="17"/>
  <c r="I3" i="17"/>
  <c r="E20" i="15"/>
  <c r="G20" i="15" s="1"/>
  <c r="E19" i="15"/>
  <c r="G19" i="15" s="1"/>
  <c r="F18" i="15"/>
  <c r="H23" i="15" s="1"/>
  <c r="J23" i="15" s="1"/>
  <c r="C5" i="15" s="1"/>
  <c r="E18" i="15"/>
  <c r="G27" i="15" s="1"/>
  <c r="I27" i="15" s="1"/>
  <c r="B9" i="15" s="1"/>
  <c r="F17" i="15"/>
  <c r="H17" i="15" s="1"/>
  <c r="C4" i="15" s="1"/>
  <c r="E17" i="15"/>
  <c r="G17" i="15" s="1"/>
  <c r="B4" i="15" s="1"/>
  <c r="I10" i="15"/>
  <c r="I9" i="15"/>
  <c r="I8" i="15"/>
  <c r="I7" i="15"/>
  <c r="I6" i="15"/>
  <c r="I5" i="15"/>
  <c r="I4" i="15"/>
  <c r="I3" i="15"/>
  <c r="E20" i="14"/>
  <c r="G20" i="14" s="1"/>
  <c r="E19" i="14"/>
  <c r="G19" i="14" s="1"/>
  <c r="F18" i="14"/>
  <c r="H23" i="14" s="1"/>
  <c r="J23" i="14" s="1"/>
  <c r="C5" i="14" s="1"/>
  <c r="E18" i="14"/>
  <c r="G18" i="14" s="1"/>
  <c r="B3" i="14" s="1"/>
  <c r="F17" i="14"/>
  <c r="H17" i="14" s="1"/>
  <c r="C4" i="14" s="1"/>
  <c r="E17" i="14"/>
  <c r="G17" i="14" s="1"/>
  <c r="B4" i="14" s="1"/>
  <c r="I10" i="14"/>
  <c r="I9" i="14"/>
  <c r="I8" i="14"/>
  <c r="I7" i="14"/>
  <c r="I6" i="14"/>
  <c r="I5" i="14"/>
  <c r="I4" i="14"/>
  <c r="I3" i="14"/>
  <c r="H24" i="17" l="1"/>
  <c r="J24" i="17" s="1"/>
  <c r="C6" i="17" s="1"/>
  <c r="H6" i="17" s="1"/>
  <c r="H25" i="17"/>
  <c r="J25" i="17" s="1"/>
  <c r="C7" i="17" s="1"/>
  <c r="H7" i="17" s="1"/>
  <c r="G18" i="17"/>
  <c r="B3" i="17" s="1"/>
  <c r="H18" i="17"/>
  <c r="C3" i="17" s="1"/>
  <c r="H3" i="17" s="1"/>
  <c r="H26" i="17"/>
  <c r="J26" i="17" s="1"/>
  <c r="C8" i="17" s="1"/>
  <c r="G23" i="17"/>
  <c r="I23" i="17" s="1"/>
  <c r="B5" i="17" s="1"/>
  <c r="H27" i="17"/>
  <c r="J27" i="17" s="1"/>
  <c r="C9" i="17" s="1"/>
  <c r="H28" i="17"/>
  <c r="J28" i="17" s="1"/>
  <c r="C10" i="17" s="1"/>
  <c r="G26" i="17"/>
  <c r="I26" i="17" s="1"/>
  <c r="B8" i="17" s="1"/>
  <c r="G27" i="17"/>
  <c r="I27" i="17" s="1"/>
  <c r="B9" i="17" s="1"/>
  <c r="H23" i="17"/>
  <c r="J23" i="17" s="1"/>
  <c r="C5" i="17" s="1"/>
  <c r="H5" i="17" s="1"/>
  <c r="G24" i="17"/>
  <c r="I24" i="17" s="1"/>
  <c r="B6" i="17" s="1"/>
  <c r="G28" i="17"/>
  <c r="I28" i="17" s="1"/>
  <c r="B10" i="17" s="1"/>
  <c r="H4" i="15"/>
  <c r="H27" i="15"/>
  <c r="J27" i="15" s="1"/>
  <c r="C9" i="15" s="1"/>
  <c r="H9" i="15" s="1"/>
  <c r="G28" i="15"/>
  <c r="I28" i="15" s="1"/>
  <c r="B10" i="15" s="1"/>
  <c r="G25" i="15"/>
  <c r="I25" i="15" s="1"/>
  <c r="B7" i="15" s="1"/>
  <c r="H25" i="15"/>
  <c r="J25" i="15" s="1"/>
  <c r="C7" i="15" s="1"/>
  <c r="H7" i="15" s="1"/>
  <c r="G26" i="15"/>
  <c r="I26" i="15" s="1"/>
  <c r="B8" i="15" s="1"/>
  <c r="H26" i="15"/>
  <c r="J26" i="15" s="1"/>
  <c r="C8" i="15" s="1"/>
  <c r="H8" i="15" s="1"/>
  <c r="G23" i="15"/>
  <c r="I23" i="15" s="1"/>
  <c r="B5" i="15" s="1"/>
  <c r="H5" i="15" s="1"/>
  <c r="G24" i="15"/>
  <c r="I24" i="15" s="1"/>
  <c r="B6" i="15" s="1"/>
  <c r="H24" i="15"/>
  <c r="J24" i="15" s="1"/>
  <c r="C6" i="15" s="1"/>
  <c r="H6" i="15" s="1"/>
  <c r="H28" i="15"/>
  <c r="J28" i="15" s="1"/>
  <c r="C10" i="15" s="1"/>
  <c r="H10" i="15" s="1"/>
  <c r="G18" i="15"/>
  <c r="B3" i="15" s="1"/>
  <c r="H18" i="15"/>
  <c r="C3" i="15" s="1"/>
  <c r="H3" i="15" s="1"/>
  <c r="H4" i="14"/>
  <c r="G27" i="14"/>
  <c r="I27" i="14" s="1"/>
  <c r="B9" i="14" s="1"/>
  <c r="H25" i="14"/>
  <c r="J25" i="14" s="1"/>
  <c r="C7" i="14" s="1"/>
  <c r="G24" i="14"/>
  <c r="I24" i="14" s="1"/>
  <c r="B6" i="14" s="1"/>
  <c r="G26" i="14"/>
  <c r="I26" i="14" s="1"/>
  <c r="B8" i="14" s="1"/>
  <c r="G28" i="14"/>
  <c r="I28" i="14" s="1"/>
  <c r="B10" i="14" s="1"/>
  <c r="G25" i="14"/>
  <c r="I25" i="14" s="1"/>
  <c r="B7" i="14" s="1"/>
  <c r="H27" i="14"/>
  <c r="J27" i="14" s="1"/>
  <c r="C9" i="14" s="1"/>
  <c r="H18" i="14"/>
  <c r="C3" i="14" s="1"/>
  <c r="H3" i="14" s="1"/>
  <c r="H24" i="14"/>
  <c r="J24" i="14" s="1"/>
  <c r="C6" i="14" s="1"/>
  <c r="H26" i="14"/>
  <c r="J26" i="14" s="1"/>
  <c r="C8" i="14" s="1"/>
  <c r="H28" i="14"/>
  <c r="J28" i="14" s="1"/>
  <c r="C10" i="14" s="1"/>
  <c r="G23" i="14"/>
  <c r="I23" i="14" s="1"/>
  <c r="B5" i="14" s="1"/>
  <c r="H5" i="14" s="1"/>
  <c r="H10" i="17" l="1"/>
  <c r="H9" i="17"/>
  <c r="H8" i="17"/>
  <c r="H10" i="14"/>
  <c r="H6" i="14"/>
  <c r="H7" i="14"/>
  <c r="H8" i="14"/>
  <c r="H9" i="14"/>
</calcChain>
</file>

<file path=xl/sharedStrings.xml><?xml version="1.0" encoding="utf-8"?>
<sst xmlns="http://schemas.openxmlformats.org/spreadsheetml/2006/main" count="786" uniqueCount="108">
  <si>
    <t>Concentrations in mM</t>
  </si>
  <si>
    <t>Integrated peak areas at 210 nm ([mAU*s]):</t>
  </si>
  <si>
    <t xml:space="preserve">Run: </t>
  </si>
  <si>
    <t>Ratio peak area</t>
  </si>
  <si>
    <t>120 dil</t>
  </si>
  <si>
    <t>100 dil</t>
  </si>
  <si>
    <t>72 dil</t>
  </si>
  <si>
    <t>50 dil</t>
  </si>
  <si>
    <t>25 dil</t>
  </si>
  <si>
    <t>12 dil</t>
  </si>
  <si>
    <t>5 dil</t>
  </si>
  <si>
    <t>MW analyte</t>
  </si>
  <si>
    <t>Solution</t>
  </si>
  <si>
    <t>Volume / mL</t>
  </si>
  <si>
    <t>Conc BP / M</t>
  </si>
  <si>
    <t>Conc analyte / uM</t>
  </si>
  <si>
    <t>A</t>
  </si>
  <si>
    <t>B</t>
  </si>
  <si>
    <t>C</t>
  </si>
  <si>
    <t>D</t>
  </si>
  <si>
    <t>Diluted solutions</t>
  </si>
  <si>
    <t>Volume</t>
  </si>
  <si>
    <t>Mass Analyte /mg</t>
  </si>
  <si>
    <t>Conc Analyte / M</t>
  </si>
  <si>
    <t>Conc. Analyte</t>
  </si>
  <si>
    <t>Conc. IS</t>
  </si>
  <si>
    <t>V from A</t>
  </si>
  <si>
    <t>V from B</t>
  </si>
  <si>
    <t>V from C</t>
  </si>
  <si>
    <t>V from D</t>
  </si>
  <si>
    <t>Conc. IS / uM</t>
  </si>
  <si>
    <t>Conc. Analyte / uM</t>
  </si>
  <si>
    <t>Mass IS / mg</t>
  </si>
  <si>
    <t>Conc IS / uM</t>
  </si>
  <si>
    <t>MW IS</t>
  </si>
  <si>
    <t>[IS]</t>
  </si>
  <si>
    <t>[Analyte]</t>
  </si>
  <si>
    <t>IS</t>
  </si>
  <si>
    <t>Analyte</t>
  </si>
  <si>
    <t>Ratio Conc.</t>
  </si>
  <si>
    <t>24 dil</t>
  </si>
  <si>
    <t>4871.61572265625</t>
  </si>
  <si>
    <t>3428.45141601563</t>
  </si>
  <si>
    <t>6947.63671875</t>
  </si>
  <si>
    <t>3341.97387695313</t>
  </si>
  <si>
    <t>3221.1552734375</t>
  </si>
  <si>
    <t>4726.8525390625</t>
  </si>
  <si>
    <t>3190.25219726563</t>
  </si>
  <si>
    <t>4014.22021484375</t>
  </si>
  <si>
    <t>3143.62426757813</t>
  </si>
  <si>
    <t>3637.33740234375</t>
  </si>
  <si>
    <t>3118.78393554688</t>
  </si>
  <si>
    <t>3110.71362304688</t>
  </si>
  <si>
    <t>3248.17724609375</t>
  </si>
  <si>
    <t>3189.33740234375</t>
  </si>
  <si>
    <t>3302.80712890625</t>
  </si>
  <si>
    <t>2846.23388671875</t>
  </si>
  <si>
    <t>2.4 dil</t>
  </si>
  <si>
    <t>Integrated peak areas at 254 nm ([mAU*s]):</t>
  </si>
  <si>
    <t>4538.0263671875</t>
  </si>
  <si>
    <t>3986.5703125</t>
  </si>
  <si>
    <t>5646.46435546875</t>
  </si>
  <si>
    <t>4136.52685546875</t>
  </si>
  <si>
    <t>4244.71337890625</t>
  </si>
  <si>
    <t>6669.0126953125</t>
  </si>
  <si>
    <t>4262.7529296875</t>
  </si>
  <si>
    <t>6767.58056640625</t>
  </si>
  <si>
    <t>1255.74475097656</t>
  </si>
  <si>
    <t>804.59814453125</t>
  </si>
  <si>
    <t>1296.84362792969</t>
  </si>
  <si>
    <t>859.831237792969</t>
  </si>
  <si>
    <t>983.49609375</t>
  </si>
  <si>
    <t>1334.72424316406</t>
  </si>
  <si>
    <t>919.440124511719</t>
  </si>
  <si>
    <t>1320.58728027344</t>
  </si>
  <si>
    <t>4503.9</t>
  </si>
  <si>
    <t>3146.6</t>
  </si>
  <si>
    <t>4558.3</t>
  </si>
  <si>
    <t>3371.2</t>
  </si>
  <si>
    <t>3511.2</t>
  </si>
  <si>
    <t>4546.8</t>
  </si>
  <si>
    <t>3590.8</t>
  </si>
  <si>
    <t>4516.3</t>
  </si>
  <si>
    <t>6849.7236328125</t>
  </si>
  <si>
    <t>7789.5546875</t>
  </si>
  <si>
    <t>7834.7978515625</t>
  </si>
  <si>
    <t>7785.51953125</t>
  </si>
  <si>
    <t>7851.05517578125</t>
  </si>
  <si>
    <t>8823.3623046875</t>
  </si>
  <si>
    <t>7864.7041015625</t>
  </si>
  <si>
    <t>8429.099609375</t>
  </si>
  <si>
    <t>6687.38623046875</t>
  </si>
  <si>
    <t>8499.9736328125</t>
  </si>
  <si>
    <t>7808.125</t>
  </si>
  <si>
    <t>8454.505859375</t>
  </si>
  <si>
    <t>8601.0390625</t>
  </si>
  <si>
    <t>8775.087890625</t>
  </si>
  <si>
    <t>16895.849609375</t>
  </si>
  <si>
    <t>(Diphenyl ether)</t>
  </si>
  <si>
    <t>4453.45947265625</t>
  </si>
  <si>
    <t>3320.91015625</t>
  </si>
  <si>
    <t>4327.14306640625</t>
  </si>
  <si>
    <t>3337.60986328125</t>
  </si>
  <si>
    <t>3308.0048828125</t>
  </si>
  <si>
    <t>4273.2998046875</t>
  </si>
  <si>
    <t>3329.43383789063</t>
  </si>
  <si>
    <t>4276.263671875</t>
  </si>
  <si>
    <t>4COPh-ArOPh (1f)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</si>
</sst>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202124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color rgb="FF333333"/>
      <name val="Arial"/>
      <family val="2"/>
    </font>
    <font>
      <sz val="9"/>
      <color rgb="FF000000"/>
      <name val="Aptos Narrow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2" fillId="3" borderId="2" xfId="0" applyFont="1" applyFill="1" applyBorder="1"/>
    <xf numFmtId="2" fontId="2" fillId="3" borderId="2" xfId="0" applyNumberFormat="1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4652884251327"/>
          <c:y val="0.17136681457292596"/>
          <c:w val="0.77281172753491978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'4SO2Me-ArOPh (1a)'!$H$3:$H$10</c:f>
              <c:numCache>
                <c:formatCode>General</c:formatCode>
                <c:ptCount val="8"/>
                <c:pt idx="0">
                  <c:v>0.31533102531243479</c:v>
                </c:pt>
                <c:pt idx="1">
                  <c:v>0.60771087280584546</c:v>
                </c:pt>
                <c:pt idx="2">
                  <c:v>0.17493339623280019</c:v>
                </c:pt>
                <c:pt idx="3">
                  <c:v>0.30567085349868339</c:v>
                </c:pt>
                <c:pt idx="4">
                  <c:v>0.15329336061226104</c:v>
                </c:pt>
                <c:pt idx="5">
                  <c:v>3.8346517076891518E-2</c:v>
                </c:pt>
                <c:pt idx="6">
                  <c:v>3.2348806388835166E-2</c:v>
                </c:pt>
                <c:pt idx="7">
                  <c:v>7.8194874879545326E-3</c:v>
                </c:pt>
              </c:numCache>
            </c:numRef>
          </c:xVal>
          <c:yVal>
            <c:numRef>
              <c:f>'4SO2Me-ArOPh (1a)'!$I$3:$I$10</c:f>
              <c:numCache>
                <c:formatCode>General</c:formatCode>
                <c:ptCount val="8"/>
                <c:pt idx="0">
                  <c:v>0.17886507111011488</c:v>
                </c:pt>
                <c:pt idx="1">
                  <c:v>0.35246874389623972</c:v>
                </c:pt>
                <c:pt idx="2">
                  <c:v>0.10076309353658572</c:v>
                </c:pt>
                <c:pt idx="3">
                  <c:v>0.17558357683200901</c:v>
                </c:pt>
                <c:pt idx="4">
                  <c:v>8.739152459725448E-2</c:v>
                </c:pt>
                <c:pt idx="5">
                  <c:v>2.1297927458413801E-2</c:v>
                </c:pt>
                <c:pt idx="6">
                  <c:v>1.6643588654778198E-2</c:v>
                </c:pt>
                <c:pt idx="7">
                  <c:v>3.9053265883853324E-3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0D-4FDF-A06D-346915A82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4652884251327"/>
          <c:y val="0.17136681457292596"/>
          <c:w val="0.77281172753491978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'4SO2Me-Ar4MePip (3aa)'!$H$3:$H$10</c:f>
              <c:numCache>
                <c:formatCode>General</c:formatCode>
                <c:ptCount val="8"/>
                <c:pt idx="0">
                  <c:v>0.55349615586491052</c:v>
                </c:pt>
                <c:pt idx="1">
                  <c:v>0.72214425745174837</c:v>
                </c:pt>
                <c:pt idx="2">
                  <c:v>0.30705815341612036</c:v>
                </c:pt>
                <c:pt idx="3">
                  <c:v>0.36322939312453517</c:v>
                </c:pt>
                <c:pt idx="4">
                  <c:v>0.18215886044709834</c:v>
                </c:pt>
                <c:pt idx="5">
                  <c:v>6.7309107221016046E-2</c:v>
                </c:pt>
                <c:pt idx="6">
                  <c:v>3.8440162607686436E-2</c:v>
                </c:pt>
                <c:pt idx="7">
                  <c:v>1.3725437454586957E-2</c:v>
                </c:pt>
              </c:numCache>
            </c:numRef>
          </c:xVal>
          <c:yVal>
            <c:numRef>
              <c:f>'4SO2Me-Ar4MePip (3aa)'!$I$3:$I$10</c:f>
              <c:numCache>
                <c:formatCode>General</c:formatCode>
                <c:ptCount val="8"/>
                <c:pt idx="0">
                  <c:v>0.3442527559799306</c:v>
                </c:pt>
                <c:pt idx="1">
                  <c:v>0.46295018322443005</c:v>
                </c:pt>
                <c:pt idx="2">
                  <c:v>0.19457176122160744</c:v>
                </c:pt>
                <c:pt idx="3">
                  <c:v>0.23052062778938606</c:v>
                </c:pt>
                <c:pt idx="4">
                  <c:v>0.11522660862946629</c:v>
                </c:pt>
                <c:pt idx="5">
                  <c:v>4.2400456303092075E-2</c:v>
                </c:pt>
                <c:pt idx="6">
                  <c:v>2.2767171072342971E-2</c:v>
                </c:pt>
                <c:pt idx="7">
                  <c:v>8.6174400412380205E-3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FD-406A-BD31-DD9738FF4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93129009418782"/>
          <c:y val="0.1772475441451912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201903567048174"/>
                  <c:y val="5.20967663517214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'4Cl-ArOPh (1b)'!$H$3:$H$10</c:f>
              <c:numCache>
                <c:formatCode>General</c:formatCode>
                <c:ptCount val="8"/>
                <c:pt idx="0">
                  <c:v>0.30957056333190136</c:v>
                </c:pt>
                <c:pt idx="1">
                  <c:v>0.35055831200117415</c:v>
                </c:pt>
                <c:pt idx="2">
                  <c:v>0.15706310110457763</c:v>
                </c:pt>
                <c:pt idx="3">
                  <c:v>0.15047861502845478</c:v>
                </c:pt>
                <c:pt idx="4">
                  <c:v>7.0268129895954559E-2</c:v>
                </c:pt>
                <c:pt idx="5">
                  <c:v>3.1786840207403452E-2</c:v>
                </c:pt>
                <c:pt idx="6">
                  <c:v>1.4059901447477473E-2</c:v>
                </c:pt>
                <c:pt idx="7">
                  <c:v>6.3725513408035631E-3</c:v>
                </c:pt>
              </c:numCache>
            </c:numRef>
          </c:xVal>
          <c:yVal>
            <c:numRef>
              <c:f>'4Cl-ArOPh (1b)'!$I$3:$I$10</c:f>
              <c:numCache>
                <c:formatCode>General</c:formatCode>
                <c:ptCount val="8"/>
                <c:pt idx="0">
                  <c:v>0.41814474897345771</c:v>
                </c:pt>
                <c:pt idx="1">
                  <c:v>0.47034032486095961</c:v>
                </c:pt>
                <c:pt idx="2">
                  <c:v>0.20448844165762031</c:v>
                </c:pt>
                <c:pt idx="3">
                  <c:v>0.20108221541563306</c:v>
                </c:pt>
                <c:pt idx="4">
                  <c:v>9.4272066982126632E-2</c:v>
                </c:pt>
                <c:pt idx="5">
                  <c:v>3.9278456744188867E-2</c:v>
                </c:pt>
                <c:pt idx="6">
                  <c:v>1.7795522311030071E-2</c:v>
                </c:pt>
                <c:pt idx="7">
                  <c:v>8.1623986350776064E-3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7F-490E-B93A-F1BDFB0DA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93129009418782"/>
          <c:y val="0.1772475441451912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201903567048174"/>
                  <c:y val="5.20967663517214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'[1]4ClAr4MePip 210'!$H$3:$H$10</c:f>
              <c:numCache>
                <c:formatCode>General</c:formatCode>
                <c:ptCount val="8"/>
                <c:pt idx="0">
                  <c:v>0.3997907612502386</c:v>
                </c:pt>
                <c:pt idx="1">
                  <c:v>0.41123087191164615</c:v>
                </c:pt>
                <c:pt idx="2">
                  <c:v>0.20283704005668132</c:v>
                </c:pt>
                <c:pt idx="3">
                  <c:v>0.17620075328114992</c:v>
                </c:pt>
                <c:pt idx="4">
                  <c:v>8.2219358222416702E-2</c:v>
                </c:pt>
                <c:pt idx="5">
                  <c:v>4.1050689404963668E-2</c:v>
                </c:pt>
                <c:pt idx="6">
                  <c:v>1.6442799417739889E-2</c:v>
                </c:pt>
                <c:pt idx="7">
                  <c:v>8.2297461497158608E-3</c:v>
                </c:pt>
              </c:numCache>
            </c:numRef>
          </c:xVal>
          <c:yVal>
            <c:numRef>
              <c:f>'[1]4ClAr4MePip 210'!$I$3:$I$10</c:f>
              <c:numCache>
                <c:formatCode>General</c:formatCode>
                <c:ptCount val="8"/>
                <c:pt idx="0">
                  <c:v>0.24045486316353359</c:v>
                </c:pt>
                <c:pt idx="1">
                  <c:v>0.2418127805474502</c:v>
                </c:pt>
                <c:pt idx="2">
                  <c:v>0.1177127387688358</c:v>
                </c:pt>
                <c:pt idx="3">
                  <c:v>0.10417597917333712</c:v>
                </c:pt>
                <c:pt idx="4">
                  <c:v>4.92846795821478E-2</c:v>
                </c:pt>
                <c:pt idx="5">
                  <c:v>2.2479376228503437E-2</c:v>
                </c:pt>
                <c:pt idx="6">
                  <c:v>9.588037514370068E-3</c:v>
                </c:pt>
                <c:pt idx="7">
                  <c:v>4.8320515812349928E-3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FC-4DAD-83C2-46B1D371A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'4CONH2-ArOPh (1c)'!$H$3:$H$10</c:f>
              <c:numCache>
                <c:formatCode>General</c:formatCode>
                <c:ptCount val="8"/>
                <c:pt idx="0">
                  <c:v>0.80192851334082016</c:v>
                </c:pt>
                <c:pt idx="1">
                  <c:v>0.93088348345483996</c:v>
                </c:pt>
                <c:pt idx="2">
                  <c:v>0.4103149720191458</c:v>
                </c:pt>
                <c:pt idx="3">
                  <c:v>0.47145853247920561</c:v>
                </c:pt>
                <c:pt idx="4">
                  <c:v>0.23726282094562257</c:v>
                </c:pt>
                <c:pt idx="5">
                  <c:v>8.3623105243030862E-2</c:v>
                </c:pt>
                <c:pt idx="6">
                  <c:v>5.0207934576427533E-2</c:v>
                </c:pt>
                <c:pt idx="7">
                  <c:v>1.6788454570987169E-2</c:v>
                </c:pt>
              </c:numCache>
            </c:numRef>
          </c:xVal>
          <c:yVal>
            <c:numRef>
              <c:f>'4CONH2-ArOPh (1c)'!$I$3:$I$10</c:f>
              <c:numCache>
                <c:formatCode>General</c:formatCode>
                <c:ptCount val="8"/>
                <c:pt idx="0">
                  <c:v>0.59752803654550068</c:v>
                </c:pt>
                <c:pt idx="1">
                  <c:v>0.69321404500131156</c:v>
                </c:pt>
                <c:pt idx="2">
                  <c:v>0.30990390531967488</c:v>
                </c:pt>
                <c:pt idx="3">
                  <c:v>0.35816774377599125</c:v>
                </c:pt>
                <c:pt idx="4">
                  <c:v>0.18103906554206672</c:v>
                </c:pt>
                <c:pt idx="5">
                  <c:v>6.3542466747671833E-2</c:v>
                </c:pt>
                <c:pt idx="6">
                  <c:v>3.640868227731156E-2</c:v>
                </c:pt>
                <c:pt idx="7">
                  <c:v>1.2758781455431438E-2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9A-471F-86C2-7DA6B7A39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'4CONH2-Ar4MePip (3ca)'!$H$3:$H$10</c:f>
              <c:numCache>
                <c:formatCode>General</c:formatCode>
                <c:ptCount val="8"/>
                <c:pt idx="0">
                  <c:v>0.49962237534588461</c:v>
                </c:pt>
                <c:pt idx="1">
                  <c:v>0.52481781442396669</c:v>
                </c:pt>
                <c:pt idx="2">
                  <c:v>0.25563692716966602</c:v>
                </c:pt>
                <c:pt idx="3">
                  <c:v>0.26580108145110409</c:v>
                </c:pt>
                <c:pt idx="4">
                  <c:v>0.13376513532135026</c:v>
                </c:pt>
                <c:pt idx="5">
                  <c:v>5.2099375169075021E-2</c:v>
                </c:pt>
                <c:pt idx="6">
                  <c:v>2.8306462580416518E-2</c:v>
                </c:pt>
                <c:pt idx="7">
                  <c:v>1.0459644982816846E-2</c:v>
                </c:pt>
              </c:numCache>
            </c:numRef>
          </c:xVal>
          <c:yVal>
            <c:numRef>
              <c:f>'4CONH2-Ar4MePip (3ca)'!$I$3:$I$10</c:f>
              <c:numCache>
                <c:formatCode>General</c:formatCode>
                <c:ptCount val="8"/>
                <c:pt idx="0">
                  <c:v>0.28514546878880259</c:v>
                </c:pt>
                <c:pt idx="1">
                  <c:v>0.29542527933207319</c:v>
                </c:pt>
                <c:pt idx="2">
                  <c:v>0.14702241223725282</c:v>
                </c:pt>
                <c:pt idx="3">
                  <c:v>0.15159590479011917</c:v>
                </c:pt>
                <c:pt idx="4">
                  <c:v>7.7241559854071051E-2</c:v>
                </c:pt>
                <c:pt idx="5">
                  <c:v>3.0994485882657553E-2</c:v>
                </c:pt>
                <c:pt idx="6">
                  <c:v>1.5367041367094405E-2</c:v>
                </c:pt>
                <c:pt idx="7">
                  <c:v>6.0094998624367303E-3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04-438A-8353-A3D7C1690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Calibration curve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'4CF3-ArOPh (1d)'!$H$3:$H$10</c:f>
              <c:numCache>
                <c:formatCode>General</c:formatCode>
                <c:ptCount val="8"/>
                <c:pt idx="0">
                  <c:v>0.81431967563406271</c:v>
                </c:pt>
                <c:pt idx="1">
                  <c:v>0.59217850883224943</c:v>
                </c:pt>
                <c:pt idx="2">
                  <c:v>0.42627532316055394</c:v>
                </c:pt>
                <c:pt idx="3">
                  <c:v>0.30453201954955095</c:v>
                </c:pt>
                <c:pt idx="4">
                  <c:v>0.15446828395827261</c:v>
                </c:pt>
                <c:pt idx="5">
                  <c:v>8.8582091544583422E-2</c:v>
                </c:pt>
                <c:pt idx="6">
                  <c:v>3.2895250571682286E-2</c:v>
                </c:pt>
                <c:pt idx="7">
                  <c:v>1.7855780498170701E-2</c:v>
                </c:pt>
              </c:numCache>
            </c:numRef>
          </c:xVal>
          <c:yVal>
            <c:numRef>
              <c:f>'4CF3-ArOPh (1d)'!$I$3:$I$10</c:f>
              <c:numCache>
                <c:formatCode>General</c:formatCode>
                <c:ptCount val="8"/>
                <c:pt idx="0">
                  <c:v>0.27992790267362089</c:v>
                </c:pt>
                <c:pt idx="1">
                  <c:v>0.20027628479711865</c:v>
                </c:pt>
                <c:pt idx="2">
                  <c:v>0.15199745093739686</c:v>
                </c:pt>
                <c:pt idx="3">
                  <c:v>0.10558003028039484</c:v>
                </c:pt>
                <c:pt idx="4">
                  <c:v>5.4191395355958134E-2</c:v>
                </c:pt>
                <c:pt idx="5">
                  <c:v>2.9892968973133316E-2</c:v>
                </c:pt>
                <c:pt idx="6">
                  <c:v>7.5139379683209495E-3</c:v>
                </c:pt>
                <c:pt idx="7">
                  <c:v>1.0268377151070453E-2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76-4740-A129-518259FB5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122575"/>
        <c:axId val="965046703"/>
      </c:scatterChart>
      <c:valAx>
        <c:axId val="99612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046703"/>
        <c:crosses val="autoZero"/>
        <c:crossBetween val="midCat"/>
      </c:valAx>
      <c:valAx>
        <c:axId val="96504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peak areas.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12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'4CF3-Ar4MePip (3da)'!$H$3:$H$10</c:f>
              <c:numCache>
                <c:formatCode>General</c:formatCode>
                <c:ptCount val="8"/>
                <c:pt idx="0">
                  <c:v>0.90541693872156981</c:v>
                </c:pt>
                <c:pt idx="1">
                  <c:v>0.64200634276058832</c:v>
                </c:pt>
                <c:pt idx="2">
                  <c:v>0.38190057007019079</c:v>
                </c:pt>
                <c:pt idx="3">
                  <c:v>0.31321655715639374</c:v>
                </c:pt>
                <c:pt idx="4">
                  <c:v>0.1547316065760615</c:v>
                </c:pt>
                <c:pt idx="5">
                  <c:v>6.7885735573072481E-2</c:v>
                </c:pt>
                <c:pt idx="6">
                  <c:v>3.2269788682071372E-2</c:v>
                </c:pt>
                <c:pt idx="7">
                  <c:v>1.3281729804067756E-2</c:v>
                </c:pt>
              </c:numCache>
            </c:numRef>
          </c:xVal>
          <c:yVal>
            <c:numRef>
              <c:f>'4CF3-Ar4MePip (3da)'!$I$3:$I$10</c:f>
              <c:numCache>
                <c:formatCode>General</c:formatCode>
                <c:ptCount val="8"/>
                <c:pt idx="0">
                  <c:v>0.59693479592655785</c:v>
                </c:pt>
                <c:pt idx="1">
                  <c:v>0.43787895674596355</c:v>
                </c:pt>
                <c:pt idx="2">
                  <c:v>0.26176233507540292</c:v>
                </c:pt>
                <c:pt idx="3">
                  <c:v>0.21964839949766582</c:v>
                </c:pt>
                <c:pt idx="4">
                  <c:v>0.10652721124206971</c:v>
                </c:pt>
                <c:pt idx="5">
                  <c:v>4.5993704927979384E-2</c:v>
                </c:pt>
                <c:pt idx="6">
                  <c:v>2.1974614399754042E-2</c:v>
                </c:pt>
                <c:pt idx="7">
                  <c:v>9.7247983072303052E-3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54-42E8-968C-69F47401A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'4CO2Et-ArOPh (1e)'!$H$3:$H$10</c:f>
              <c:numCache>
                <c:formatCode>General</c:formatCode>
                <c:ptCount val="8"/>
                <c:pt idx="0">
                  <c:v>0.62323270367332162</c:v>
                </c:pt>
                <c:pt idx="1">
                  <c:v>0.47121058474460514</c:v>
                </c:pt>
                <c:pt idx="2">
                  <c:v>0.24353415750429716</c:v>
                </c:pt>
                <c:pt idx="3">
                  <c:v>0.22673524730271069</c:v>
                </c:pt>
                <c:pt idx="4">
                  <c:v>0.11127302564266411</c:v>
                </c:pt>
                <c:pt idx="5">
                  <c:v>4.1460221188239908E-2</c:v>
                </c:pt>
                <c:pt idx="6">
                  <c:v>2.3089112192466045E-2</c:v>
                </c:pt>
                <c:pt idx="7">
                  <c:v>8.0524356990494157E-3</c:v>
                </c:pt>
              </c:numCache>
            </c:numRef>
          </c:xVal>
          <c:yVal>
            <c:numRef>
              <c:f>'4CO2Et-ArOPh (1e)'!$I$3:$I$10</c:f>
              <c:numCache>
                <c:formatCode>General</c:formatCode>
                <c:ptCount val="8"/>
                <c:pt idx="0">
                  <c:v>0.61809193105396909</c:v>
                </c:pt>
                <c:pt idx="1">
                  <c:v>0.47043072223931581</c:v>
                </c:pt>
                <c:pt idx="2">
                  <c:v>0.24197627732855204</c:v>
                </c:pt>
                <c:pt idx="3">
                  <c:v>0.22446411288908952</c:v>
                </c:pt>
                <c:pt idx="4">
                  <c:v>0.10811658614179211</c:v>
                </c:pt>
                <c:pt idx="5">
                  <c:v>3.9909777599259948E-2</c:v>
                </c:pt>
                <c:pt idx="6">
                  <c:v>2.0362434176147446E-2</c:v>
                </c:pt>
                <c:pt idx="7">
                  <c:v>7.2850014303746623E-3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3E-4E9F-AB9B-8A6E7A2DB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'4CO2Et-Ar4MePip (3ea)'!$H$3:$H$11</c:f>
              <c:numCache>
                <c:formatCode>General</c:formatCode>
                <c:ptCount val="9"/>
                <c:pt idx="0">
                  <c:v>0.73648454276367648</c:v>
                </c:pt>
                <c:pt idx="1">
                  <c:v>0.59906176506829389</c:v>
                </c:pt>
                <c:pt idx="2">
                  <c:v>0.28778840003059875</c:v>
                </c:pt>
                <c:pt idx="3">
                  <c:v>0.28825417308054874</c:v>
                </c:pt>
                <c:pt idx="4">
                  <c:v>0.1414641718672621</c:v>
                </c:pt>
                <c:pt idx="5">
                  <c:v>4.8994239013341497E-2</c:v>
                </c:pt>
                <c:pt idx="6">
                  <c:v>2.9353764010575815E-2</c:v>
                </c:pt>
                <c:pt idx="7">
                  <c:v>9.5156983723641182E-3</c:v>
                </c:pt>
              </c:numCache>
            </c:numRef>
          </c:xVal>
          <c:yVal>
            <c:numRef>
              <c:f>'4CO2Et-Ar4MePip (3ea)'!$I$3:$I$10</c:f>
              <c:numCache>
                <c:formatCode>General</c:formatCode>
                <c:ptCount val="8"/>
                <c:pt idx="0">
                  <c:v>0.30849560323473263</c:v>
                </c:pt>
                <c:pt idx="1">
                  <c:v>0.25340546128015895</c:v>
                </c:pt>
                <c:pt idx="2">
                  <c:v>0.12290523729805679</c:v>
                </c:pt>
                <c:pt idx="3">
                  <c:v>0.12429116164146903</c:v>
                </c:pt>
                <c:pt idx="4">
                  <c:v>6.2832286611574417E-2</c:v>
                </c:pt>
                <c:pt idx="5">
                  <c:v>2.2616266854969511E-2</c:v>
                </c:pt>
                <c:pt idx="6">
                  <c:v>1.5400887193048267E-2</c:v>
                </c:pt>
                <c:pt idx="7">
                  <c:v>6.3775990475833221E-3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C1-4448-AE41-CC76151F5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'4COPh-ArOPh (1f)'!$H$3:$H$10</c:f>
              <c:numCache>
                <c:formatCode>General</c:formatCode>
                <c:ptCount val="8"/>
                <c:pt idx="0">
                  <c:v>0.34870351384910464</c:v>
                </c:pt>
                <c:pt idx="1">
                  <c:v>0.61348270299064545</c:v>
                </c:pt>
                <c:pt idx="2">
                  <c:v>0.17308802262042533</c:v>
                </c:pt>
                <c:pt idx="3">
                  <c:v>0.28881892195865844</c:v>
                </c:pt>
                <c:pt idx="4">
                  <c:v>0.14031039960732217</c:v>
                </c:pt>
                <c:pt idx="5">
                  <c:v>3.4418029844655924E-2</c:v>
                </c:pt>
                <c:pt idx="6">
                  <c:v>2.889159387278753E-2</c:v>
                </c:pt>
                <c:pt idx="7">
                  <c:v>6.8756781456133448E-3</c:v>
                </c:pt>
              </c:numCache>
            </c:numRef>
          </c:xVal>
          <c:yVal>
            <c:numRef>
              <c:f>'4COPh-ArOPh (1f)'!$I$3:$I$10</c:f>
              <c:numCache>
                <c:formatCode>General</c:formatCode>
                <c:ptCount val="8"/>
                <c:pt idx="0">
                  <c:v>0.45165301183418821</c:v>
                </c:pt>
                <c:pt idx="1">
                  <c:v>0.80054662175046087</c:v>
                </c:pt>
                <c:pt idx="2">
                  <c:v>0.22383344667968319</c:v>
                </c:pt>
                <c:pt idx="3">
                  <c:v>0.37852990033222589</c:v>
                </c:pt>
                <c:pt idx="4">
                  <c:v>0.18065048986101617</c:v>
                </c:pt>
                <c:pt idx="5">
                  <c:v>4.3789038444620391E-2</c:v>
                </c:pt>
                <c:pt idx="6">
                  <c:v>3.4811184137239611E-2</c:v>
                </c:pt>
                <c:pt idx="7">
                  <c:v>8.4803932422558275E-3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C4-4C76-AAC1-B199AD147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'4COPh-Ar4MePip (3fa)'!$H$3:$H$10</c:f>
              <c:numCache>
                <c:formatCode>General</c:formatCode>
                <c:ptCount val="8"/>
                <c:pt idx="0">
                  <c:v>0.83040932512539078</c:v>
                </c:pt>
                <c:pt idx="1">
                  <c:v>0.99043780871640674</c:v>
                </c:pt>
                <c:pt idx="2">
                  <c:v>0.41219518112947418</c:v>
                </c:pt>
                <c:pt idx="3">
                  <c:v>0.46628401874425862</c:v>
                </c:pt>
                <c:pt idx="4">
                  <c:v>0.22652427533774913</c:v>
                </c:pt>
                <c:pt idx="5">
                  <c:v>8.1963765205458283E-2</c:v>
                </c:pt>
                <c:pt idx="6">
                  <c:v>4.6644064757151563E-2</c:v>
                </c:pt>
                <c:pt idx="7">
                  <c:v>1.6373873568560935E-2</c:v>
                </c:pt>
              </c:numCache>
            </c:numRef>
          </c:xVal>
          <c:yVal>
            <c:numRef>
              <c:f>'4COPh-Ar4MePip (3fa)'!$I$3:$I$10</c:f>
              <c:numCache>
                <c:formatCode>General</c:formatCode>
                <c:ptCount val="8"/>
                <c:pt idx="0">
                  <c:v>0.77481738049246207</c:v>
                </c:pt>
                <c:pt idx="1">
                  <c:v>0.93062353015953736</c:v>
                </c:pt>
                <c:pt idx="2">
                  <c:v>0.38437575411886005</c:v>
                </c:pt>
                <c:pt idx="3">
                  <c:v>0.43830090175605124</c:v>
                </c:pt>
                <c:pt idx="4">
                  <c:v>0.20964342674868994</c:v>
                </c:pt>
                <c:pt idx="5">
                  <c:v>7.5129761590569194E-2</c:v>
                </c:pt>
                <c:pt idx="6">
                  <c:v>4.0380973599197949E-2</c:v>
                </c:pt>
                <c:pt idx="7">
                  <c:v>1.4724442574673959E-2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CD-4CE3-BF4A-17493B199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'4CN-ArOPh (1g)'!$H$3:$H$10</c:f>
              <c:numCache>
                <c:formatCode>General</c:formatCode>
                <c:ptCount val="8"/>
                <c:pt idx="0">
                  <c:v>0.47160610913644713</c:v>
                </c:pt>
                <c:pt idx="1">
                  <c:v>0.81091236385666943</c:v>
                </c:pt>
                <c:pt idx="2">
                  <c:v>0.2340939097088188</c:v>
                </c:pt>
                <c:pt idx="3">
                  <c:v>0.38176599534152128</c:v>
                </c:pt>
                <c:pt idx="4">
                  <c:v>0.18546478533883368</c:v>
                </c:pt>
                <c:pt idx="5">
                  <c:v>4.6548865997961528E-2</c:v>
                </c:pt>
                <c:pt idx="6">
                  <c:v>3.8189423383508565E-2</c:v>
                </c:pt>
                <c:pt idx="7">
                  <c:v>9.2990511685247749E-3</c:v>
                </c:pt>
              </c:numCache>
            </c:numRef>
          </c:xVal>
          <c:yVal>
            <c:numRef>
              <c:f>'4CN-ArOPh (1g)'!$I$3:$I$10</c:f>
              <c:numCache>
                <c:formatCode>General</c:formatCode>
                <c:ptCount val="8"/>
                <c:pt idx="0">
                  <c:v>0.41077732631719177</c:v>
                </c:pt>
                <c:pt idx="1">
                  <c:v>0.71162524629759105</c:v>
                </c:pt>
                <c:pt idx="2">
                  <c:v>0.20450606585788561</c:v>
                </c:pt>
                <c:pt idx="3">
                  <c:v>0.33670503084954911</c:v>
                </c:pt>
                <c:pt idx="4">
                  <c:v>0.16210982000455687</c:v>
                </c:pt>
                <c:pt idx="5">
                  <c:v>4.0577988915281075E-2</c:v>
                </c:pt>
                <c:pt idx="6">
                  <c:v>3.1497159407374395E-2</c:v>
                </c:pt>
                <c:pt idx="7">
                  <c:v>8.126120939707283E-3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37-46FA-9BC3-0072B4EA0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'4CN-Ar4MePip (3ga)'!$H$3:$H$10</c:f>
              <c:numCache>
                <c:formatCode>General</c:formatCode>
                <c:ptCount val="8"/>
                <c:pt idx="0">
                  <c:v>0.85695775106108063</c:v>
                </c:pt>
                <c:pt idx="1">
                  <c:v>1.0152635830092696</c:v>
                </c:pt>
                <c:pt idx="2">
                  <c:v>0.42537318010679986</c:v>
                </c:pt>
                <c:pt idx="3">
                  <c:v>0.47797163981833302</c:v>
                </c:pt>
                <c:pt idx="4">
                  <c:v>0.23220220936035821</c:v>
                </c:pt>
                <c:pt idx="5">
                  <c:v>8.4584170449147955E-2</c:v>
                </c:pt>
                <c:pt idx="6">
                  <c:v>4.7813219461840625E-2</c:v>
                </c:pt>
                <c:pt idx="7">
                  <c:v>1.6897351035109916E-2</c:v>
                </c:pt>
              </c:numCache>
            </c:numRef>
          </c:xVal>
          <c:yVal>
            <c:numRef>
              <c:f>'4CN-Ar4MePip (3ga)'!$I$3:$I$10</c:f>
              <c:numCache>
                <c:formatCode>General</c:formatCode>
                <c:ptCount val="8"/>
                <c:pt idx="0">
                  <c:v>0.47569883878416486</c:v>
                </c:pt>
                <c:pt idx="1">
                  <c:v>0.56019195321934789</c:v>
                </c:pt>
                <c:pt idx="2">
                  <c:v>0.2370840006142641</c:v>
                </c:pt>
                <c:pt idx="3">
                  <c:v>0.26586971998101566</c:v>
                </c:pt>
                <c:pt idx="4">
                  <c:v>0.12796195033037139</c:v>
                </c:pt>
                <c:pt idx="5">
                  <c:v>4.715404240344858E-2</c:v>
                </c:pt>
                <c:pt idx="6">
                  <c:v>2.5064052578812519E-2</c:v>
                </c:pt>
                <c:pt idx="7">
                  <c:v>9.4325000553550468E-3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D-4C3E-8FE9-592C3BC89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'4NO2-ArOPh (1h)'!$H$3:$H$10</c:f>
              <c:numCache>
                <c:formatCode>General</c:formatCode>
                <c:ptCount val="8"/>
                <c:pt idx="0">
                  <c:v>0.96252174924833434</c:v>
                </c:pt>
                <c:pt idx="1">
                  <c:v>0.96861054739492902</c:v>
                </c:pt>
                <c:pt idx="2">
                  <c:v>0.46649544031163281</c:v>
                </c:pt>
                <c:pt idx="3">
                  <c:v>0.45008241709785779</c:v>
                </c:pt>
                <c:pt idx="4">
                  <c:v>0.21736141549606991</c:v>
                </c:pt>
                <c:pt idx="5">
                  <c:v>9.1063961116420178E-2</c:v>
                </c:pt>
                <c:pt idx="6">
                  <c:v>4.455978138323078E-2</c:v>
                </c:pt>
                <c:pt idx="7">
                  <c:v>1.8125945097233288E-2</c:v>
                </c:pt>
              </c:numCache>
            </c:numRef>
          </c:xVal>
          <c:yVal>
            <c:numRef>
              <c:f>'4NO2-ArOPh (1h)'!$I$3:$I$10</c:f>
              <c:numCache>
                <c:formatCode>General</c:formatCode>
                <c:ptCount val="8"/>
                <c:pt idx="0">
                  <c:v>0.6099455908738185</c:v>
                </c:pt>
                <c:pt idx="1">
                  <c:v>0.62335953415943657</c:v>
                </c:pt>
                <c:pt idx="2">
                  <c:v>0.29691962145545076</c:v>
                </c:pt>
                <c:pt idx="3">
                  <c:v>0.29257576322229556</c:v>
                </c:pt>
                <c:pt idx="4">
                  <c:v>0.14052359497567246</c:v>
                </c:pt>
                <c:pt idx="5">
                  <c:v>5.9977927002602377E-2</c:v>
                </c:pt>
                <c:pt idx="6">
                  <c:v>2.9476315788250839E-2</c:v>
                </c:pt>
                <c:pt idx="7">
                  <c:v>1.2290175475222339E-2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B1-4B98-A027-D84805941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</a:t>
            </a:r>
            <a:r>
              <a:rPr lang="en-US" baseline="0"/>
              <a:t> calibration curve  </a:t>
            </a:r>
            <a:endParaRPr lang="en-US"/>
          </a:p>
        </c:rich>
      </c:tx>
      <c:layout>
        <c:manualLayout>
          <c:xMode val="edge"/>
          <c:yMode val="edge"/>
          <c:x val="0.26427879068718851"/>
          <c:y val="4.7564672140834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11930099337039"/>
          <c:y val="0.1713669207991165"/>
          <c:w val="0.74556389323950312"/>
          <c:h val="0.650494539425828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9520892531096036"/>
                  <c:y val="0.18284606959967695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'4NO2-Ar4MePip (3ha)'!$H$3:$H$10</c:f>
              <c:numCache>
                <c:formatCode>General</c:formatCode>
                <c:ptCount val="8"/>
                <c:pt idx="0">
                  <c:v>0.81248510140108099</c:v>
                </c:pt>
                <c:pt idx="1">
                  <c:v>0.96442212864069154</c:v>
                </c:pt>
                <c:pt idx="2">
                  <c:v>0.393778733229383</c:v>
                </c:pt>
                <c:pt idx="3">
                  <c:v>0.4481361925375375</c:v>
                </c:pt>
                <c:pt idx="4">
                  <c:v>0.21642151180458119</c:v>
                </c:pt>
                <c:pt idx="5">
                  <c:v>7.6869028403190431E-2</c:v>
                </c:pt>
                <c:pt idx="6">
                  <c:v>4.4367098137593819E-2</c:v>
                </c:pt>
                <c:pt idx="7">
                  <c:v>1.5300496172493629E-2</c:v>
                </c:pt>
              </c:numCache>
            </c:numRef>
          </c:xVal>
          <c:yVal>
            <c:numRef>
              <c:f>'4NO2-Ar4MePip (3ha)'!$I$3:$I$10</c:f>
              <c:numCache>
                <c:formatCode>General</c:formatCode>
                <c:ptCount val="8"/>
                <c:pt idx="0">
                  <c:v>0.36878715893684383</c:v>
                </c:pt>
                <c:pt idx="1">
                  <c:v>0.44223531799951116</c:v>
                </c:pt>
                <c:pt idx="2">
                  <c:v>0.17885998371760256</c:v>
                </c:pt>
                <c:pt idx="3">
                  <c:v>0.20822949109048997</c:v>
                </c:pt>
                <c:pt idx="4">
                  <c:v>0.10827951233740424</c:v>
                </c:pt>
                <c:pt idx="5">
                  <c:v>4.4630141307973444E-2</c:v>
                </c:pt>
                <c:pt idx="6">
                  <c:v>2.6825727207062441E-2</c:v>
                </c:pt>
                <c:pt idx="7">
                  <c:v>4.712089089077328E-3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82-4ECB-B938-6B75F2969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55200"/>
        <c:axId val="254160000"/>
      </c:scatterChart>
      <c:valAx>
        <c:axId val="2541552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concentrations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0000"/>
        <c:crosses val="autoZero"/>
        <c:crossBetween val="midCat"/>
        <c:majorUnit val="0.1"/>
      </c:valAx>
      <c:valAx>
        <c:axId val="254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of HPLC peak areas at 254 nm</a:t>
                </a:r>
              </a:p>
            </c:rich>
          </c:tx>
          <c:layout>
            <c:manualLayout>
              <c:xMode val="edge"/>
              <c:yMode val="edge"/>
              <c:x val="1.746769309563629E-2"/>
              <c:y val="0.14494199856515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5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525780</xdr:colOff>
      <xdr:row>0</xdr:row>
      <xdr:rowOff>68580</xdr:rowOff>
    </xdr:from>
    <xdr:to>
      <xdr:col>14</xdr:col>
      <xdr:colOff>386860</xdr:colOff>
      <xdr:row>14</xdr:row>
      <xdr:rowOff>7546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771210-90A9-454A-BF38-4DB32F3B5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441959</xdr:colOff>
      <xdr:row>0</xdr:row>
      <xdr:rowOff>94074</xdr:rowOff>
    </xdr:from>
    <xdr:to>
      <xdr:col>15</xdr:col>
      <xdr:colOff>184196</xdr:colOff>
      <xdr:row>14</xdr:row>
      <xdr:rowOff>62716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8A251463-7EAF-4AD2-9E33-609864DA8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320040</xdr:colOff>
      <xdr:row>1</xdr:row>
      <xdr:rowOff>15240</xdr:rowOff>
    </xdr:from>
    <xdr:to>
      <xdr:col>14</xdr:col>
      <xdr:colOff>510086</xdr:colOff>
      <xdr:row>13</xdr:row>
      <xdr:rowOff>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F0F32A-13D2-4334-8F5E-C602B2CE9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403860</xdr:colOff>
      <xdr:row>0</xdr:row>
      <xdr:rowOff>175260</xdr:rowOff>
    </xdr:from>
    <xdr:to>
      <xdr:col>14</xdr:col>
      <xdr:colOff>597717</xdr:colOff>
      <xdr:row>12</xdr:row>
      <xdr:rowOff>156301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54096-E574-4DF6-95D5-C10812954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15</xdr:col>
      <xdr:colOff>169584</xdr:colOff>
      <xdr:row>13</xdr:row>
      <xdr:rowOff>176240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DC3511-1A52-4923-8397-5D5648137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</xdr:row>
      <xdr:rowOff>137160</xdr:rowOff>
    </xdr:from>
    <xdr:to>
      <xdr:col>15</xdr:col>
      <xdr:colOff>550584</xdr:colOff>
      <xdr:row>13</xdr:row>
      <xdr:rowOff>130520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981259-DE0B-4949-9FBB-CF08CC7C6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60325</xdr:colOff>
      <xdr:row>1</xdr:row>
      <xdr:rowOff>31750</xdr:rowOff>
    </xdr:from>
    <xdr:to>
      <xdr:col>16</xdr:col>
      <xdr:colOff>60325</xdr:colOff>
      <xdr:row>13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0B18A5-5D19-4524-80DE-69A092F55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358140</xdr:colOff>
      <xdr:row>0</xdr:row>
      <xdr:rowOff>0</xdr:rowOff>
    </xdr:from>
    <xdr:to>
      <xdr:col>14</xdr:col>
      <xdr:colOff>527724</xdr:colOff>
      <xdr:row>11</xdr:row>
      <xdr:rowOff>176240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8F5119-CC8F-40A6-915A-9FE40301C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1</xdr:row>
      <xdr:rowOff>68580</xdr:rowOff>
    </xdr:from>
    <xdr:to>
      <xdr:col>15</xdr:col>
      <xdr:colOff>299124</xdr:colOff>
      <xdr:row>13</xdr:row>
      <xdr:rowOff>61940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4411F4-CE6A-4662-AD39-567650FF7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502920</xdr:colOff>
      <xdr:row>1</xdr:row>
      <xdr:rowOff>137160</xdr:rowOff>
    </xdr:from>
    <xdr:to>
      <xdr:col>15</xdr:col>
      <xdr:colOff>75498</xdr:colOff>
      <xdr:row>13</xdr:row>
      <xdr:rowOff>107585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F17700-A48D-4F96-B00A-DFECF72A1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472440</xdr:colOff>
      <xdr:row>0</xdr:row>
      <xdr:rowOff>68580</xdr:rowOff>
    </xdr:from>
    <xdr:to>
      <xdr:col>15</xdr:col>
      <xdr:colOff>44026</xdr:colOff>
      <xdr:row>11</xdr:row>
      <xdr:rowOff>179282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B4DAAE-42D2-45D7-8606-5976349A6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53340</xdr:rowOff>
    </xdr:from>
    <xdr:to>
      <xdr:col>15</xdr:col>
      <xdr:colOff>169584</xdr:colOff>
      <xdr:row>13</xdr:row>
      <xdr:rowOff>46700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1458DB-7AE7-49AB-8301-0A0D03299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0</xdr:row>
      <xdr:rowOff>114300</xdr:rowOff>
    </xdr:from>
    <xdr:to>
      <xdr:col>15</xdr:col>
      <xdr:colOff>154940</xdr:colOff>
      <xdr:row>12</xdr:row>
      <xdr:rowOff>42122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59256A-1D01-4E5B-8A80-A5C49A346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366532</xdr:colOff>
      <xdr:row>1</xdr:row>
      <xdr:rowOff>154329</xdr:rowOff>
    </xdr:from>
    <xdr:to>
      <xdr:col>15</xdr:col>
      <xdr:colOff>523498</xdr:colOff>
      <xdr:row>13</xdr:row>
      <xdr:rowOff>77521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5F4038-9BD1-4D07-8928-319B055AE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404518</xdr:colOff>
      <xdr:row>0</xdr:row>
      <xdr:rowOff>122296</xdr:rowOff>
    </xdr:from>
    <xdr:to>
      <xdr:col>14</xdr:col>
      <xdr:colOff>574102</xdr:colOff>
      <xdr:row>12</xdr:row>
      <xdr:rowOff>119795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C97AE-6FC5-45E8-BF73-1D8ED1945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518160</xdr:colOff>
      <xdr:row>2</xdr:row>
      <xdr:rowOff>45720</xdr:rowOff>
    </xdr:from>
    <xdr:to>
      <xdr:col>15</xdr:col>
      <xdr:colOff>90738</xdr:colOff>
      <xdr:row>14</xdr:row>
      <xdr:rowOff>16145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3F8408-6768-46ED-B689-559E5AE06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772bc88dff60bcc/Dokumenter/Dokumenter/MRes%20main%20project/Calibration%20curves/MRes%20calibration%20data%20organised/SAKE%20calibration%20run16jul25.xlsx" TargetMode="External"/><Relationship Id="rId1" Type="http://schemas.openxmlformats.org/officeDocument/2006/relationships/externalLinkPath" Target="https://d.docs.live.net/d772bc88dff60bcc/Dokumenter/Dokumenter/MRes%20main%20project/Calibration%20curves/MRes%20calibration%20data%20organised/SAKE%20calibration%20run16jul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ClArOPh 210"/>
      <sheetName val="4ClAr4MePip 210"/>
      <sheetName val="ArO-3Cl-Ph 254"/>
      <sheetName val="ArO-4F-Ph 254"/>
      <sheetName val="ArO-4CN-Ph 254"/>
    </sheetNames>
    <sheetDataSet>
      <sheetData sheetId="0">
        <row r="3">
          <cell r="H3">
            <v>0.30957056333190136</v>
          </cell>
        </row>
      </sheetData>
      <sheetData sheetId="1">
        <row r="3">
          <cell r="H3">
            <v>0.3997907612502386</v>
          </cell>
          <cell r="I3">
            <v>0.24045486316353359</v>
          </cell>
        </row>
        <row r="4">
          <cell r="H4">
            <v>0.41123087191164615</v>
          </cell>
          <cell r="I4">
            <v>0.2418127805474502</v>
          </cell>
        </row>
        <row r="5">
          <cell r="H5">
            <v>0.20283704005668132</v>
          </cell>
          <cell r="I5">
            <v>0.1177127387688358</v>
          </cell>
        </row>
        <row r="6">
          <cell r="H6">
            <v>0.17620075328114992</v>
          </cell>
          <cell r="I6">
            <v>0.10417597917333712</v>
          </cell>
        </row>
        <row r="7">
          <cell r="H7">
            <v>8.2219358222416702E-2</v>
          </cell>
          <cell r="I7">
            <v>4.92846795821478E-2</v>
          </cell>
        </row>
        <row r="8">
          <cell r="H8">
            <v>4.1050689404963668E-2</v>
          </cell>
          <cell r="I8">
            <v>2.2479376228503437E-2</v>
          </cell>
        </row>
        <row r="9">
          <cell r="H9">
            <v>1.6442799417739889E-2</v>
          </cell>
          <cell r="I9">
            <v>9.588037514370068E-3</v>
          </cell>
        </row>
        <row r="10">
          <cell r="H10">
            <v>8.2297461497158608E-3</v>
          </cell>
          <cell r="I10">
            <v>4.8320515812349928E-3</v>
          </cell>
        </row>
      </sheetData>
      <sheetData sheetId="2" refreshError="1"/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4F04-5BA7-462A-9911-352E6DD762FB}">
  <dimension ref="A1:J32"/>
  <sheetViews>
    <sheetView workbookViewId="0">
      <selection activeCell="J18" sqref="J18"/>
    </sheetView>
  </sheetViews>
  <sheetFormatPr defaultRowHeight="14.4" x14ac:dyDescent="0.3"/>
  <sheetData>
    <row r="1" spans="1:9" x14ac:dyDescent="0.3">
      <c r="B1" t="s">
        <v>0</v>
      </c>
      <c r="E1" t="s">
        <v>58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4.4277284222813043</v>
      </c>
      <c r="C3">
        <f>H18</f>
        <v>1.3962001432029729</v>
      </c>
      <c r="E3" t="s">
        <v>48</v>
      </c>
      <c r="F3">
        <v>718.00378417968795</v>
      </c>
      <c r="H3">
        <f t="shared" ref="H3:H10" si="0">C3/B3</f>
        <v>0.31533102531243479</v>
      </c>
      <c r="I3">
        <f>F3/E3</f>
        <v>0.17886507111011488</v>
      </c>
    </row>
    <row r="4" spans="1:9" x14ac:dyDescent="0.3">
      <c r="A4" t="s">
        <v>5</v>
      </c>
      <c r="B4">
        <f>G17</f>
        <v>3.4939368393748786</v>
      </c>
      <c r="C4">
        <f>H17</f>
        <v>2.1233034061850047</v>
      </c>
      <c r="E4" t="s">
        <v>49</v>
      </c>
      <c r="F4">
        <v>1108.029296875</v>
      </c>
      <c r="H4">
        <f t="shared" si="0"/>
        <v>0.60771087280584546</v>
      </c>
      <c r="I4">
        <f>F4/E4</f>
        <v>0.35246874389623972</v>
      </c>
    </row>
    <row r="5" spans="1:9" x14ac:dyDescent="0.3">
      <c r="A5" t="s">
        <v>6</v>
      </c>
      <c r="B5">
        <f t="shared" ref="B5:C10" si="1">I23</f>
        <v>3.9906620841709355</v>
      </c>
      <c r="C5">
        <f t="shared" si="1"/>
        <v>0.69810007160148646</v>
      </c>
      <c r="E5" t="s">
        <v>50</v>
      </c>
      <c r="F5">
        <v>366.509368896485</v>
      </c>
      <c r="H5">
        <f t="shared" si="0"/>
        <v>0.17493339623280019</v>
      </c>
      <c r="I5">
        <f t="shared" ref="I5:I10" si="2">F5/E5</f>
        <v>0.10076309353658572</v>
      </c>
    </row>
    <row r="6" spans="1:9" x14ac:dyDescent="0.3">
      <c r="A6" t="s">
        <v>7</v>
      </c>
      <c r="B6">
        <f t="shared" si="1"/>
        <v>3.4731859153102906</v>
      </c>
      <c r="C6">
        <f t="shared" si="1"/>
        <v>1.0616517030925023</v>
      </c>
      <c r="E6" t="s">
        <v>51</v>
      </c>
      <c r="F6">
        <v>547.60723876953102</v>
      </c>
      <c r="H6">
        <f t="shared" si="0"/>
        <v>0.30567085349868339</v>
      </c>
      <c r="I6">
        <f t="shared" si="2"/>
        <v>0.17558357683200901</v>
      </c>
    </row>
    <row r="7" spans="1:9" x14ac:dyDescent="0.3">
      <c r="A7" t="s">
        <v>8</v>
      </c>
      <c r="B7">
        <f t="shared" si="1"/>
        <v>3.4628104532779975</v>
      </c>
      <c r="C7">
        <f t="shared" si="1"/>
        <v>0.53082585154625117</v>
      </c>
      <c r="E7" t="s">
        <v>52</v>
      </c>
      <c r="F7">
        <v>271.85000610351602</v>
      </c>
      <c r="H7">
        <f t="shared" si="0"/>
        <v>0.15329336061226104</v>
      </c>
      <c r="I7">
        <f t="shared" si="2"/>
        <v>8.739152459725448E-2</v>
      </c>
    </row>
    <row r="8" spans="1:9" x14ac:dyDescent="0.3">
      <c r="A8" t="s">
        <v>9</v>
      </c>
      <c r="B8">
        <f t="shared" si="1"/>
        <v>3.6410090136826403</v>
      </c>
      <c r="C8">
        <f t="shared" si="1"/>
        <v>0.1396200143202973</v>
      </c>
      <c r="E8" t="s">
        <v>53</v>
      </c>
      <c r="F8">
        <v>69.179443359375</v>
      </c>
      <c r="H8">
        <f t="shared" si="0"/>
        <v>3.8346517076891518E-2</v>
      </c>
      <c r="I8">
        <f t="shared" si="2"/>
        <v>2.1297927458413801E-2</v>
      </c>
    </row>
    <row r="9" spans="1:9" x14ac:dyDescent="0.3">
      <c r="A9" t="s">
        <v>10</v>
      </c>
      <c r="B9">
        <f t="shared" si="1"/>
        <v>3.2818883340898775</v>
      </c>
      <c r="C9">
        <f t="shared" si="1"/>
        <v>0.10616517030925023</v>
      </c>
      <c r="E9" t="s">
        <v>54</v>
      </c>
      <c r="F9">
        <v>53.082019805908203</v>
      </c>
      <c r="H9">
        <f t="shared" si="0"/>
        <v>3.2348806388835166E-2</v>
      </c>
      <c r="I9">
        <f t="shared" si="2"/>
        <v>1.6643588654778198E-2</v>
      </c>
    </row>
    <row r="10" spans="1:9" x14ac:dyDescent="0.3">
      <c r="A10" t="s">
        <v>57</v>
      </c>
      <c r="B10">
        <f t="shared" si="1"/>
        <v>3.5710783995849815</v>
      </c>
      <c r="C10">
        <f t="shared" si="1"/>
        <v>2.7924002864059459E-2</v>
      </c>
      <c r="E10" t="s">
        <v>55</v>
      </c>
      <c r="F10">
        <v>12.8985404968262</v>
      </c>
      <c r="H10">
        <f t="shared" si="0"/>
        <v>7.8194874879545326E-3</v>
      </c>
      <c r="I10">
        <f t="shared" si="2"/>
        <v>3.9053265883853324E-3</v>
      </c>
    </row>
    <row r="12" spans="1:9" x14ac:dyDescent="0.3">
      <c r="A12" t="s">
        <v>34</v>
      </c>
      <c r="B12" s="1">
        <v>154.21</v>
      </c>
    </row>
    <row r="13" spans="1:9" x14ac:dyDescent="0.3">
      <c r="A13" t="s">
        <v>11</v>
      </c>
      <c r="B13">
        <v>293.29000000000002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2">
        <v>13.47</v>
      </c>
      <c r="C17" s="7">
        <v>15.568591400000001</v>
      </c>
      <c r="D17">
        <v>25</v>
      </c>
      <c r="E17">
        <f>B17/D17/$B$12</f>
        <v>3.4939368393748786E-3</v>
      </c>
      <c r="F17">
        <f>C17/D17/$B$13</f>
        <v>2.1233034061850045E-3</v>
      </c>
      <c r="G17">
        <f>E17*1000</f>
        <v>3.4939368393748786</v>
      </c>
      <c r="H17">
        <f>1000*F17</f>
        <v>2.1233034061850047</v>
      </c>
    </row>
    <row r="18" spans="1:10" x14ac:dyDescent="0.3">
      <c r="A18" t="s">
        <v>17</v>
      </c>
      <c r="B18" s="2">
        <v>17.07</v>
      </c>
      <c r="C18" s="7">
        <v>10.2372885</v>
      </c>
      <c r="D18">
        <v>25</v>
      </c>
      <c r="E18">
        <f>B18/D18/$B$12</f>
        <v>4.4277284222813042E-3</v>
      </c>
      <c r="F18">
        <f>C18/D18/$B$13</f>
        <v>1.3962001432029729E-3</v>
      </c>
      <c r="G18">
        <f>E18*1000</f>
        <v>4.4277284222813043</v>
      </c>
      <c r="H18">
        <f>1000*F18</f>
        <v>1.3962001432029729</v>
      </c>
    </row>
    <row r="19" spans="1:10" x14ac:dyDescent="0.3">
      <c r="A19" t="s">
        <v>18</v>
      </c>
      <c r="B19" s="3">
        <v>13.31</v>
      </c>
      <c r="D19">
        <v>25</v>
      </c>
      <c r="E19">
        <f>B19/D19/$B$12</f>
        <v>3.4524349912457035E-3</v>
      </c>
      <c r="G19">
        <f>E19*1000</f>
        <v>3.4524349912457035</v>
      </c>
    </row>
    <row r="20" spans="1:10" x14ac:dyDescent="0.3">
      <c r="A20" t="s">
        <v>19</v>
      </c>
      <c r="B20" s="3">
        <v>13.7</v>
      </c>
      <c r="D20">
        <v>25</v>
      </c>
      <c r="E20">
        <f>B20/D20/$B$12</f>
        <v>3.5535957460605663E-3</v>
      </c>
      <c r="G20">
        <f>E20*1000</f>
        <v>3.5535957460605663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3.9906620841709357E-3</v>
      </c>
      <c r="H23">
        <f t="shared" ref="H23:H28" si="4">(D23*$F$18+C23*$F$17)/B23</f>
        <v>6.9810007160148646E-4</v>
      </c>
      <c r="I23">
        <f>G23*1000</f>
        <v>3.9906620841709355</v>
      </c>
      <c r="J23">
        <f>H23*1000</f>
        <v>0.69810007160148646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3.4731859153102908E-3</v>
      </c>
      <c r="H24">
        <f t="shared" si="4"/>
        <v>1.0616517030925022E-3</v>
      </c>
      <c r="I24">
        <f t="shared" ref="I24:J28" si="5">G24*1000</f>
        <v>3.4731859153102906</v>
      </c>
      <c r="J24">
        <f t="shared" si="5"/>
        <v>1.0616517030925023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3.4628104532779974E-3</v>
      </c>
      <c r="H25">
        <f t="shared" si="4"/>
        <v>5.3082585154625112E-4</v>
      </c>
      <c r="I25">
        <f t="shared" si="5"/>
        <v>3.4628104532779975</v>
      </c>
      <c r="J25">
        <f t="shared" si="5"/>
        <v>0.53082585154625117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3.6410090136826403E-3</v>
      </c>
      <c r="H26">
        <f t="shared" si="4"/>
        <v>1.396200143202973E-4</v>
      </c>
      <c r="I26">
        <f t="shared" si="5"/>
        <v>3.6410090136826403</v>
      </c>
      <c r="J26">
        <f t="shared" si="5"/>
        <v>0.1396200143202973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3.2818883340898775E-3</v>
      </c>
      <c r="H27">
        <f t="shared" si="4"/>
        <v>1.0616517030925022E-4</v>
      </c>
      <c r="I27">
        <f t="shared" si="5"/>
        <v>3.2818883340898775</v>
      </c>
      <c r="J27">
        <f t="shared" si="5"/>
        <v>0.10616517030925023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3.5710783995849815E-3</v>
      </c>
      <c r="H28">
        <f t="shared" si="4"/>
        <v>2.7924002864059459E-5</v>
      </c>
      <c r="I28">
        <f t="shared" si="5"/>
        <v>3.5710783995849815</v>
      </c>
      <c r="J28">
        <f t="shared" si="5"/>
        <v>2.7924002864059459E-2</v>
      </c>
    </row>
    <row r="31" spans="1:10" x14ac:dyDescent="0.3">
      <c r="C31" s="2"/>
    </row>
    <row r="32" spans="1:10" x14ac:dyDescent="0.3">
      <c r="C3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84F7-4AF9-4042-B702-DF16121018CF}">
  <dimension ref="A1:J28"/>
  <sheetViews>
    <sheetView workbookViewId="0">
      <selection activeCell="E1" sqref="E1"/>
    </sheetView>
  </sheetViews>
  <sheetFormatPr defaultRowHeight="14.4" x14ac:dyDescent="0.3"/>
  <sheetData>
    <row r="1" spans="1:9" x14ac:dyDescent="0.3">
      <c r="B1" t="s">
        <v>0</v>
      </c>
      <c r="E1" t="s">
        <v>58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4.4277284222813043</v>
      </c>
      <c r="C3">
        <f>H18</f>
        <v>2.4507306609465074</v>
      </c>
      <c r="E3" t="s">
        <v>48</v>
      </c>
      <c r="F3">
        <v>1381.90637207031</v>
      </c>
      <c r="H3">
        <f t="shared" ref="H3:H10" si="0">C3/B3</f>
        <v>0.55349615586491052</v>
      </c>
      <c r="I3">
        <f>F3/E3</f>
        <v>0.3442527559799306</v>
      </c>
    </row>
    <row r="4" spans="1:9" x14ac:dyDescent="0.3">
      <c r="A4" t="s">
        <v>5</v>
      </c>
      <c r="B4">
        <f>G17</f>
        <v>3.4939368393748786</v>
      </c>
      <c r="C4">
        <f>H17</f>
        <v>2.5231264244536802</v>
      </c>
      <c r="E4" t="s">
        <v>49</v>
      </c>
      <c r="F4">
        <v>1455.34143066406</v>
      </c>
      <c r="H4">
        <f t="shared" si="0"/>
        <v>0.72214425745174837</v>
      </c>
      <c r="I4">
        <f>F4/E4</f>
        <v>0.46295018322443005</v>
      </c>
    </row>
    <row r="5" spans="1:9" x14ac:dyDescent="0.3">
      <c r="A5" t="s">
        <v>6</v>
      </c>
      <c r="B5">
        <f t="shared" ref="B5:C10" si="1">I23</f>
        <v>3.9906620841709355</v>
      </c>
      <c r="C5">
        <f t="shared" si="1"/>
        <v>1.2253653304732537</v>
      </c>
      <c r="E5" t="s">
        <v>50</v>
      </c>
      <c r="F5">
        <v>707.72314453125</v>
      </c>
      <c r="H5">
        <f t="shared" si="0"/>
        <v>0.30705815341612036</v>
      </c>
      <c r="I5">
        <f t="shared" ref="I5:I10" si="2">F5/E5</f>
        <v>0.19457176122160744</v>
      </c>
    </row>
    <row r="6" spans="1:9" x14ac:dyDescent="0.3">
      <c r="A6" t="s">
        <v>7</v>
      </c>
      <c r="B6">
        <f t="shared" si="1"/>
        <v>3.4731859153102906</v>
      </c>
      <c r="C6">
        <f t="shared" si="1"/>
        <v>1.2615632122268401</v>
      </c>
      <c r="E6" t="s">
        <v>51</v>
      </c>
      <c r="F6">
        <v>718.94403076171898</v>
      </c>
      <c r="H6">
        <f t="shared" si="0"/>
        <v>0.36322939312453517</v>
      </c>
      <c r="I6">
        <f t="shared" si="2"/>
        <v>0.23052062778938606</v>
      </c>
    </row>
    <row r="7" spans="1:9" x14ac:dyDescent="0.3">
      <c r="A7" t="s">
        <v>8</v>
      </c>
      <c r="B7">
        <f t="shared" si="1"/>
        <v>3.4628104532779975</v>
      </c>
      <c r="C7">
        <f t="shared" si="1"/>
        <v>0.63078160611342005</v>
      </c>
      <c r="E7" t="s">
        <v>52</v>
      </c>
      <c r="F7">
        <v>358.43698120117199</v>
      </c>
      <c r="H7">
        <f t="shared" si="0"/>
        <v>0.18215886044709834</v>
      </c>
      <c r="I7">
        <f t="shared" si="2"/>
        <v>0.11522660862946629</v>
      </c>
    </row>
    <row r="8" spans="1:9" x14ac:dyDescent="0.3">
      <c r="A8" t="s">
        <v>9</v>
      </c>
      <c r="B8">
        <f t="shared" si="1"/>
        <v>3.6410090136826403</v>
      </c>
      <c r="C8">
        <f t="shared" si="1"/>
        <v>0.24507306609465074</v>
      </c>
      <c r="E8" t="s">
        <v>53</v>
      </c>
      <c r="F8">
        <v>137.72419738769599</v>
      </c>
      <c r="H8">
        <f t="shared" si="0"/>
        <v>6.7309107221016046E-2</v>
      </c>
      <c r="I8">
        <f t="shared" si="2"/>
        <v>4.2400456303092075E-2</v>
      </c>
    </row>
    <row r="9" spans="1:9" x14ac:dyDescent="0.3">
      <c r="A9" t="s">
        <v>10</v>
      </c>
      <c r="B9">
        <f t="shared" si="1"/>
        <v>3.2818883340898775</v>
      </c>
      <c r="C9">
        <f t="shared" si="1"/>
        <v>0.12615632122268403</v>
      </c>
      <c r="E9" t="s">
        <v>54</v>
      </c>
      <c r="F9">
        <v>72.612190246582102</v>
      </c>
      <c r="H9">
        <f t="shared" si="0"/>
        <v>3.8440162607686436E-2</v>
      </c>
      <c r="I9">
        <f t="shared" si="2"/>
        <v>2.2767171072342971E-2</v>
      </c>
    </row>
    <row r="10" spans="1:9" x14ac:dyDescent="0.3">
      <c r="A10" t="s">
        <v>57</v>
      </c>
      <c r="B10">
        <f t="shared" si="1"/>
        <v>3.5710783995849815</v>
      </c>
      <c r="C10">
        <f t="shared" si="1"/>
        <v>4.901461321893015E-2</v>
      </c>
      <c r="E10" t="s">
        <v>55</v>
      </c>
      <c r="F10">
        <v>28.4617424011231</v>
      </c>
      <c r="H10">
        <f t="shared" si="0"/>
        <v>1.3725437454586957E-2</v>
      </c>
      <c r="I10">
        <f t="shared" si="2"/>
        <v>8.6174400412380205E-3</v>
      </c>
    </row>
    <row r="12" spans="1:9" x14ac:dyDescent="0.3">
      <c r="A12" t="s">
        <v>34</v>
      </c>
      <c r="B12" s="1">
        <v>154.21</v>
      </c>
    </row>
    <row r="13" spans="1:9" x14ac:dyDescent="0.3">
      <c r="A13" t="s">
        <v>11</v>
      </c>
      <c r="B13">
        <v>298.36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2">
        <v>13.47</v>
      </c>
      <c r="C17" s="6">
        <v>18.82</v>
      </c>
      <c r="D17">
        <v>25</v>
      </c>
      <c r="E17">
        <f>B17/D17/$B$12</f>
        <v>3.4939368393748786E-3</v>
      </c>
      <c r="F17">
        <f>C17/D17/$B$13</f>
        <v>2.5231264244536802E-3</v>
      </c>
      <c r="G17">
        <f>E17*1000</f>
        <v>3.4939368393748786</v>
      </c>
      <c r="H17">
        <f>1000*F17</f>
        <v>2.5231264244536802</v>
      </c>
    </row>
    <row r="18" spans="1:10" x14ac:dyDescent="0.3">
      <c r="A18" t="s">
        <v>17</v>
      </c>
      <c r="B18" s="2">
        <v>17.07</v>
      </c>
      <c r="C18" s="6">
        <v>18.28</v>
      </c>
      <c r="D18">
        <v>25</v>
      </c>
      <c r="E18">
        <f>B18/D18/$B$12</f>
        <v>4.4277284222813042E-3</v>
      </c>
      <c r="F18">
        <f>C18/D18/$B$13</f>
        <v>2.4507306609465075E-3</v>
      </c>
      <c r="G18">
        <f>E18*1000</f>
        <v>4.4277284222813043</v>
      </c>
      <c r="H18">
        <f>1000*F18</f>
        <v>2.4507306609465074</v>
      </c>
    </row>
    <row r="19" spans="1:10" x14ac:dyDescent="0.3">
      <c r="A19" t="s">
        <v>18</v>
      </c>
      <c r="B19" s="3">
        <v>13.31</v>
      </c>
      <c r="D19">
        <v>25</v>
      </c>
      <c r="E19">
        <f>B19/D19/$B$12</f>
        <v>3.4524349912457035E-3</v>
      </c>
      <c r="G19">
        <f>E19*1000</f>
        <v>3.4524349912457035</v>
      </c>
    </row>
    <row r="20" spans="1:10" x14ac:dyDescent="0.3">
      <c r="A20" t="s">
        <v>19</v>
      </c>
      <c r="B20" s="3">
        <v>13.7</v>
      </c>
      <c r="D20">
        <v>25</v>
      </c>
      <c r="E20">
        <f>B20/D20/$B$12</f>
        <v>3.5535957460605663E-3</v>
      </c>
      <c r="G20">
        <f>E20*1000</f>
        <v>3.5535957460605663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3.9906620841709357E-3</v>
      </c>
      <c r="H23">
        <f t="shared" ref="H23:H28" si="4">(D23*$F$18+C23*$F$17)/B23</f>
        <v>1.2253653304732538E-3</v>
      </c>
      <c r="I23">
        <f>G23*1000</f>
        <v>3.9906620841709355</v>
      </c>
      <c r="J23">
        <f>H23*1000</f>
        <v>1.2253653304732537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3.4731859153102908E-3</v>
      </c>
      <c r="H24">
        <f t="shared" si="4"/>
        <v>1.2615632122268401E-3</v>
      </c>
      <c r="I24">
        <f t="shared" ref="I24:J28" si="5">G24*1000</f>
        <v>3.4731859153102906</v>
      </c>
      <c r="J24">
        <f t="shared" si="5"/>
        <v>1.2615632122268401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3.4628104532779974E-3</v>
      </c>
      <c r="H25">
        <f t="shared" si="4"/>
        <v>6.3078160611342005E-4</v>
      </c>
      <c r="I25">
        <f t="shared" si="5"/>
        <v>3.4628104532779975</v>
      </c>
      <c r="J25">
        <f t="shared" si="5"/>
        <v>0.63078160611342005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3.6410090136826403E-3</v>
      </c>
      <c r="H26">
        <f t="shared" si="4"/>
        <v>2.4507306609465075E-4</v>
      </c>
      <c r="I26">
        <f t="shared" si="5"/>
        <v>3.6410090136826403</v>
      </c>
      <c r="J26">
        <f t="shared" si="5"/>
        <v>0.24507306609465074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3.2818883340898775E-3</v>
      </c>
      <c r="H27">
        <f t="shared" si="4"/>
        <v>1.2615632122268402E-4</v>
      </c>
      <c r="I27">
        <f t="shared" si="5"/>
        <v>3.2818883340898775</v>
      </c>
      <c r="J27">
        <f t="shared" si="5"/>
        <v>0.12615632122268403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3.5710783995849815E-3</v>
      </c>
      <c r="H28">
        <f t="shared" si="4"/>
        <v>4.9014613218930152E-5</v>
      </c>
      <c r="I28">
        <f t="shared" si="5"/>
        <v>3.5710783995849815</v>
      </c>
      <c r="J28">
        <f t="shared" si="5"/>
        <v>4.901461321893015E-2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0147-1E40-4AE8-B2FB-077CA0D923B8}">
  <dimension ref="A1:J28"/>
  <sheetViews>
    <sheetView workbookViewId="0">
      <selection activeCell="C12" sqref="C12"/>
    </sheetView>
  </sheetViews>
  <sheetFormatPr defaultColWidth="8.88671875" defaultRowHeight="14.4" x14ac:dyDescent="0.3"/>
  <cols>
    <col min="3" max="3" width="15" bestFit="1" customWidth="1"/>
    <col min="4" max="4" width="10.77734375" bestFit="1" customWidth="1"/>
    <col min="6" max="6" width="14.33203125" bestFit="1" customWidth="1"/>
    <col min="7" max="7" width="11.77734375" bestFit="1" customWidth="1"/>
    <col min="8" max="8" width="15.21875" bestFit="1" customWidth="1"/>
    <col min="9" max="9" width="13.33203125" bestFit="1" customWidth="1"/>
    <col min="10" max="10" width="15.88671875" bestFit="1" customWidth="1"/>
  </cols>
  <sheetData>
    <row r="1" spans="1:9" x14ac:dyDescent="0.3">
      <c r="B1" t="s">
        <v>0</v>
      </c>
      <c r="E1" t="s">
        <v>1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8.6692908759767331</v>
      </c>
      <c r="C3">
        <f>H18</f>
        <v>2.6837572601642301</v>
      </c>
      <c r="E3" t="s">
        <v>90</v>
      </c>
      <c r="F3">
        <v>3524.58374023438</v>
      </c>
      <c r="H3">
        <f>C3/B3</f>
        <v>0.30957056333190136</v>
      </c>
      <c r="I3">
        <f>F3/E3</f>
        <v>0.41814474897345771</v>
      </c>
    </row>
    <row r="4" spans="1:9" x14ac:dyDescent="0.3">
      <c r="A4" t="s">
        <v>5</v>
      </c>
      <c r="B4">
        <f>G17</f>
        <v>6.9655131895893305</v>
      </c>
      <c r="C4">
        <f>H17</f>
        <v>2.4418185459643502</v>
      </c>
      <c r="E4" t="s">
        <v>91</v>
      </c>
      <c r="F4">
        <v>3145.34741210938</v>
      </c>
      <c r="H4">
        <f>C4/B4</f>
        <v>0.35055831200117415</v>
      </c>
      <c r="I4">
        <f>F4/E4</f>
        <v>0.47034032486095961</v>
      </c>
    </row>
    <row r="5" spans="1:9" x14ac:dyDescent="0.3">
      <c r="A5" t="s">
        <v>6</v>
      </c>
      <c r="B5">
        <f t="shared" ref="B5:C10" si="0">I23</f>
        <v>8.5435638329122856</v>
      </c>
      <c r="C5">
        <f t="shared" si="0"/>
        <v>1.3418786300821151</v>
      </c>
      <c r="E5" t="s">
        <v>92</v>
      </c>
      <c r="F5">
        <v>1738.14636230469</v>
      </c>
      <c r="H5">
        <f>C5/B5</f>
        <v>0.15706310110457763</v>
      </c>
      <c r="I5">
        <f t="shared" ref="I5:I10" si="1">F5/E5</f>
        <v>0.20448844165762031</v>
      </c>
    </row>
    <row r="6" spans="1:9" x14ac:dyDescent="0.3">
      <c r="A6" t="s">
        <v>7</v>
      </c>
      <c r="B6">
        <f t="shared" si="0"/>
        <v>8.1135068444862224</v>
      </c>
      <c r="C6">
        <f t="shared" si="0"/>
        <v>1.2209092729821751</v>
      </c>
      <c r="E6" t="s">
        <v>93</v>
      </c>
      <c r="F6">
        <v>1570.07507324219</v>
      </c>
      <c r="H6">
        <f t="shared" ref="H6:H10" si="2">C6/B6</f>
        <v>0.15047861502845478</v>
      </c>
      <c r="I6">
        <f t="shared" si="1"/>
        <v>0.20108221541563306</v>
      </c>
    </row>
    <row r="7" spans="1:9" x14ac:dyDescent="0.3">
      <c r="A7" t="s">
        <v>8</v>
      </c>
      <c r="B7">
        <f t="shared" si="0"/>
        <v>8.6875036719346692</v>
      </c>
      <c r="C7">
        <f t="shared" si="0"/>
        <v>0.61045463649108755</v>
      </c>
      <c r="E7" t="s">
        <v>94</v>
      </c>
      <c r="F7">
        <v>797.02374267578205</v>
      </c>
      <c r="H7">
        <f t="shared" si="2"/>
        <v>7.0268129895954559E-2</v>
      </c>
      <c r="I7">
        <f t="shared" si="1"/>
        <v>9.4272066982126632E-2</v>
      </c>
    </row>
    <row r="8" spans="1:9" x14ac:dyDescent="0.3">
      <c r="A8" t="s">
        <v>9</v>
      </c>
      <c r="B8">
        <f t="shared" si="0"/>
        <v>8.4429821984607258</v>
      </c>
      <c r="C8">
        <f t="shared" si="0"/>
        <v>0.26837572601642301</v>
      </c>
      <c r="E8" t="s">
        <v>95</v>
      </c>
      <c r="F8">
        <v>337.835540771485</v>
      </c>
      <c r="H8">
        <f t="shared" si="2"/>
        <v>3.1786840207403452E-2</v>
      </c>
      <c r="I8">
        <f t="shared" si="1"/>
        <v>3.9278456744188867E-2</v>
      </c>
    </row>
    <row r="9" spans="1:9" x14ac:dyDescent="0.3">
      <c r="A9" t="s">
        <v>10</v>
      </c>
      <c r="B9">
        <f t="shared" si="0"/>
        <v>8.683626108924269</v>
      </c>
      <c r="C9">
        <f t="shared" si="0"/>
        <v>0.12209092729821751</v>
      </c>
      <c r="E9" t="s">
        <v>96</v>
      </c>
      <c r="F9">
        <v>156.15727233886699</v>
      </c>
      <c r="H9">
        <f t="shared" si="2"/>
        <v>1.4059901447477473E-2</v>
      </c>
      <c r="I9">
        <f t="shared" si="1"/>
        <v>1.7795522311030071E-2</v>
      </c>
    </row>
    <row r="10" spans="1:9" x14ac:dyDescent="0.3">
      <c r="A10" t="s">
        <v>57</v>
      </c>
      <c r="B10">
        <f t="shared" si="0"/>
        <v>8.4228658715704121</v>
      </c>
      <c r="C10">
        <f t="shared" si="0"/>
        <v>5.3675145203284605E-2</v>
      </c>
      <c r="E10" t="s">
        <v>97</v>
      </c>
      <c r="F10">
        <v>137.91065979003901</v>
      </c>
      <c r="H10">
        <f t="shared" si="2"/>
        <v>6.3725513408035631E-3</v>
      </c>
      <c r="I10">
        <f t="shared" si="1"/>
        <v>8.1623986350776064E-3</v>
      </c>
    </row>
    <row r="12" spans="1:9" x14ac:dyDescent="0.3">
      <c r="A12" t="s">
        <v>34</v>
      </c>
      <c r="B12" s="1">
        <v>170.21</v>
      </c>
      <c r="C12" t="s">
        <v>98</v>
      </c>
    </row>
    <row r="13" spans="1:9" x14ac:dyDescent="0.3">
      <c r="A13" t="s">
        <v>11</v>
      </c>
      <c r="B13">
        <v>249.65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10">
        <v>29.64</v>
      </c>
      <c r="C17" s="10">
        <v>15.24</v>
      </c>
      <c r="D17">
        <v>25</v>
      </c>
      <c r="E17">
        <f>B17/D17/$B$12</f>
        <v>6.9655131895893308E-3</v>
      </c>
      <c r="F17">
        <f>C17/D17/$B$13</f>
        <v>2.4418185459643502E-3</v>
      </c>
      <c r="G17">
        <f>E17*1000</f>
        <v>6.9655131895893305</v>
      </c>
      <c r="H17">
        <f>1000*F17</f>
        <v>2.4418185459643502</v>
      </c>
      <c r="I17" s="10"/>
    </row>
    <row r="18" spans="1:10" x14ac:dyDescent="0.3">
      <c r="A18" t="s">
        <v>17</v>
      </c>
      <c r="B18" s="10">
        <v>36.89</v>
      </c>
      <c r="C18" s="10">
        <v>16.75</v>
      </c>
      <c r="D18">
        <v>25</v>
      </c>
      <c r="E18">
        <f>B18/D18/$B$12</f>
        <v>8.6692908759767335E-3</v>
      </c>
      <c r="F18">
        <f>C18/D18/$B$13</f>
        <v>2.6837572601642302E-3</v>
      </c>
      <c r="G18">
        <f>E18*1000</f>
        <v>8.6692908759767331</v>
      </c>
      <c r="H18">
        <f>1000*F18</f>
        <v>2.6837572601642301</v>
      </c>
      <c r="I18" s="10"/>
      <c r="J18" s="10"/>
    </row>
    <row r="19" spans="1:10" x14ac:dyDescent="0.3">
      <c r="A19" t="s">
        <v>18</v>
      </c>
      <c r="B19" s="10">
        <v>39.409999999999997</v>
      </c>
      <c r="D19">
        <v>25</v>
      </c>
      <c r="E19">
        <f>B19/D19/$B$12</f>
        <v>9.2615004993831136E-3</v>
      </c>
      <c r="G19">
        <f>E19*1000</f>
        <v>9.2615004993831143</v>
      </c>
    </row>
    <row r="20" spans="1:10" x14ac:dyDescent="0.3">
      <c r="A20" t="s">
        <v>19</v>
      </c>
      <c r="B20" s="10">
        <v>35.82</v>
      </c>
      <c r="D20">
        <v>25</v>
      </c>
      <c r="E20">
        <f>B20/D20/$B$12</f>
        <v>8.4178367898478344E-3</v>
      </c>
      <c r="G20">
        <f>E20*1000</f>
        <v>8.4178367898478346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8.5435638329122848E-3</v>
      </c>
      <c r="H23">
        <f t="shared" ref="H23:H28" si="4">(D23*$F$18+C23*$F$17)/B23</f>
        <v>1.3418786300821151E-3</v>
      </c>
      <c r="I23">
        <f>G23*1000</f>
        <v>8.5435638329122856</v>
      </c>
      <c r="J23">
        <f>H23*1000</f>
        <v>1.3418786300821151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8.1135068444862218E-3</v>
      </c>
      <c r="H24">
        <f t="shared" si="4"/>
        <v>1.2209092729821751E-3</v>
      </c>
      <c r="I24">
        <f t="shared" ref="I24:J28" si="5">G24*1000</f>
        <v>8.1135068444862224</v>
      </c>
      <c r="J24">
        <f t="shared" si="5"/>
        <v>1.2209092729821751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8.6875036719346686E-3</v>
      </c>
      <c r="H25">
        <f t="shared" si="4"/>
        <v>6.1045463649108756E-4</v>
      </c>
      <c r="I25">
        <f t="shared" si="5"/>
        <v>8.6875036719346692</v>
      </c>
      <c r="J25">
        <f t="shared" si="5"/>
        <v>0.61045463649108755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8.4429821984607252E-3</v>
      </c>
      <c r="H26">
        <f t="shared" si="4"/>
        <v>2.6837572601642304E-4</v>
      </c>
      <c r="I26">
        <f t="shared" si="5"/>
        <v>8.4429821984607258</v>
      </c>
      <c r="J26">
        <f t="shared" si="5"/>
        <v>0.26837572601642301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8.6836261089242688E-3</v>
      </c>
      <c r="H27">
        <f t="shared" si="4"/>
        <v>1.2209092729821751E-4</v>
      </c>
      <c r="I27">
        <f t="shared" si="5"/>
        <v>8.683626108924269</v>
      </c>
      <c r="J27">
        <f t="shared" si="5"/>
        <v>0.12209092729821751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8.4228658715704129E-3</v>
      </c>
      <c r="H28">
        <f t="shared" si="4"/>
        <v>5.3675145203284608E-5</v>
      </c>
      <c r="I28">
        <f t="shared" si="5"/>
        <v>8.4228658715704121</v>
      </c>
      <c r="J28">
        <f t="shared" si="5"/>
        <v>5.3675145203284605E-2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A36C-B52F-485B-A504-0C75B29A2093}">
  <dimension ref="A1:L28"/>
  <sheetViews>
    <sheetView workbookViewId="0">
      <selection activeCell="C12" sqref="C12"/>
    </sheetView>
  </sheetViews>
  <sheetFormatPr defaultColWidth="8.88671875" defaultRowHeight="14.4" x14ac:dyDescent="0.3"/>
  <cols>
    <col min="3" max="3" width="16.109375" bestFit="1" customWidth="1"/>
    <col min="4" max="4" width="10.77734375" bestFit="1" customWidth="1"/>
    <col min="6" max="6" width="14.33203125" bestFit="1" customWidth="1"/>
    <col min="7" max="7" width="11.77734375" bestFit="1" customWidth="1"/>
    <col min="8" max="8" width="15.21875" bestFit="1" customWidth="1"/>
    <col min="9" max="9" width="13.33203125" bestFit="1" customWidth="1"/>
    <col min="10" max="10" width="15.88671875" bestFit="1" customWidth="1"/>
  </cols>
  <sheetData>
    <row r="1" spans="1:9" x14ac:dyDescent="0.3">
      <c r="B1" t="s">
        <v>0</v>
      </c>
      <c r="E1" t="s">
        <v>1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8.6692908759767331</v>
      </c>
      <c r="C3">
        <f>H18</f>
        <v>3.4659023988064859</v>
      </c>
      <c r="E3" t="s">
        <v>90</v>
      </c>
      <c r="F3">
        <v>2026.81799316406</v>
      </c>
      <c r="H3">
        <f>C3/B3</f>
        <v>0.3997907612502386</v>
      </c>
      <c r="I3">
        <f>F3/E3</f>
        <v>0.24045486316353359</v>
      </c>
    </row>
    <row r="4" spans="1:9" x14ac:dyDescent="0.3">
      <c r="A4" t="s">
        <v>5</v>
      </c>
      <c r="B4">
        <f>G17</f>
        <v>6.9432946467198269</v>
      </c>
      <c r="C4">
        <f>H17</f>
        <v>2.8552971115100596</v>
      </c>
      <c r="E4" t="s">
        <v>91</v>
      </c>
      <c r="F4">
        <v>1617.09545898438</v>
      </c>
      <c r="H4">
        <f t="shared" ref="H4:H10" si="0">C4/B4</f>
        <v>0.41123087191164615</v>
      </c>
      <c r="I4">
        <f>F4/E4</f>
        <v>0.2418127805474502</v>
      </c>
    </row>
    <row r="5" spans="1:9" x14ac:dyDescent="0.3">
      <c r="A5" t="s">
        <v>6</v>
      </c>
      <c r="B5">
        <f t="shared" ref="B5:C10" si="1">I23</f>
        <v>8.5435638329122856</v>
      </c>
      <c r="C5">
        <f t="shared" si="1"/>
        <v>1.7329511994032432</v>
      </c>
      <c r="E5" t="s">
        <v>92</v>
      </c>
      <c r="F5">
        <v>1000.55517578125</v>
      </c>
      <c r="H5">
        <f>C5/B5</f>
        <v>0.20283704005668132</v>
      </c>
      <c r="I5">
        <f t="shared" ref="I5:I10" si="2">F5/E5</f>
        <v>0.1177127387688358</v>
      </c>
    </row>
    <row r="6" spans="1:9" x14ac:dyDescent="0.3">
      <c r="A6" t="s">
        <v>7</v>
      </c>
      <c r="B6">
        <f t="shared" si="1"/>
        <v>8.1023975730514692</v>
      </c>
      <c r="C6">
        <f t="shared" si="1"/>
        <v>1.4276485557550298</v>
      </c>
      <c r="E6" t="s">
        <v>93</v>
      </c>
      <c r="F6">
        <v>813.41906738281295</v>
      </c>
      <c r="H6">
        <f t="shared" si="0"/>
        <v>0.17620075328114992</v>
      </c>
      <c r="I6">
        <f t="shared" si="2"/>
        <v>0.10417597917333712</v>
      </c>
    </row>
    <row r="7" spans="1:9" x14ac:dyDescent="0.3">
      <c r="A7" t="s">
        <v>8</v>
      </c>
      <c r="B7">
        <f t="shared" si="1"/>
        <v>8.6819490362172917</v>
      </c>
      <c r="C7">
        <f t="shared" si="1"/>
        <v>0.7138242778775149</v>
      </c>
      <c r="E7" t="s">
        <v>94</v>
      </c>
      <c r="F7">
        <v>416.67761230468801</v>
      </c>
      <c r="H7">
        <f t="shared" si="0"/>
        <v>8.2219358222416702E-2</v>
      </c>
      <c r="I7">
        <f t="shared" si="2"/>
        <v>4.92846795821478E-2</v>
      </c>
    </row>
    <row r="8" spans="1:9" x14ac:dyDescent="0.3">
      <c r="A8" t="s">
        <v>9</v>
      </c>
      <c r="B8">
        <f t="shared" si="1"/>
        <v>8.4429821984607258</v>
      </c>
      <c r="C8">
        <f t="shared" si="1"/>
        <v>0.34659023988064858</v>
      </c>
      <c r="E8" t="s">
        <v>95</v>
      </c>
      <c r="F8">
        <v>193.34599304199199</v>
      </c>
      <c r="H8">
        <f t="shared" si="0"/>
        <v>4.1050689404963668E-2</v>
      </c>
      <c r="I8">
        <f t="shared" si="2"/>
        <v>2.2479376228503437E-2</v>
      </c>
    </row>
    <row r="9" spans="1:9" x14ac:dyDescent="0.3">
      <c r="A9" t="s">
        <v>10</v>
      </c>
      <c r="B9">
        <f t="shared" si="1"/>
        <v>8.6825151817807935</v>
      </c>
      <c r="C9">
        <f t="shared" si="1"/>
        <v>0.14276485557550297</v>
      </c>
      <c r="E9" t="s">
        <v>96</v>
      </c>
      <c r="F9">
        <v>84.135871887207003</v>
      </c>
      <c r="H9">
        <f t="shared" si="0"/>
        <v>1.6442799417739889E-2</v>
      </c>
      <c r="I9">
        <f t="shared" si="2"/>
        <v>9.588037514370068E-3</v>
      </c>
    </row>
    <row r="10" spans="1:9" x14ac:dyDescent="0.3">
      <c r="A10" t="s">
        <v>57</v>
      </c>
      <c r="B10">
        <f t="shared" si="1"/>
        <v>8.4228658715704121</v>
      </c>
      <c r="C10">
        <f t="shared" si="1"/>
        <v>6.9318047976129726E-2</v>
      </c>
      <c r="E10" t="s">
        <v>97</v>
      </c>
      <c r="F10">
        <v>81.641616821289105</v>
      </c>
      <c r="H10">
        <f t="shared" si="0"/>
        <v>8.2297461497158608E-3</v>
      </c>
      <c r="I10">
        <f t="shared" si="2"/>
        <v>4.8320515812349928E-3</v>
      </c>
    </row>
    <row r="12" spans="1:9" x14ac:dyDescent="0.3">
      <c r="A12" t="s">
        <v>34</v>
      </c>
      <c r="B12" s="1">
        <v>170.21</v>
      </c>
      <c r="C12" t="s">
        <v>98</v>
      </c>
    </row>
    <row r="13" spans="1:9" x14ac:dyDescent="0.3">
      <c r="A13" t="s">
        <v>11</v>
      </c>
      <c r="B13">
        <v>254.71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2" x14ac:dyDescent="0.3">
      <c r="A17" t="s">
        <v>16</v>
      </c>
      <c r="B17" s="10">
        <v>29.64</v>
      </c>
      <c r="C17" s="10">
        <v>18.239999999999998</v>
      </c>
      <c r="D17" s="10">
        <v>25.08</v>
      </c>
      <c r="E17">
        <f>B17/D17/$B$12</f>
        <v>6.943294646719827E-3</v>
      </c>
      <c r="F17">
        <f>C17/D17/$B$13</f>
        <v>2.8552971115100596E-3</v>
      </c>
      <c r="G17">
        <f>E17*1000</f>
        <v>6.9432946467198269</v>
      </c>
      <c r="H17">
        <f>1000*F17</f>
        <v>2.8552971115100596</v>
      </c>
      <c r="I17" s="10">
        <v>29.64</v>
      </c>
      <c r="J17" s="10">
        <v>36.89</v>
      </c>
      <c r="K17" s="10">
        <v>35.82</v>
      </c>
      <c r="L17" s="10">
        <v>36.89</v>
      </c>
    </row>
    <row r="18" spans="1:12" x14ac:dyDescent="0.3">
      <c r="A18" t="s">
        <v>17</v>
      </c>
      <c r="B18" s="10">
        <v>36.89</v>
      </c>
      <c r="C18" s="10">
        <v>22.07</v>
      </c>
      <c r="D18">
        <v>25</v>
      </c>
      <c r="E18">
        <f>B18/D18/$B$12</f>
        <v>8.6692908759767335E-3</v>
      </c>
      <c r="F18">
        <f>C18/D18/$B$13</f>
        <v>3.465902398806486E-3</v>
      </c>
      <c r="G18">
        <f>E18*1000</f>
        <v>8.6692908759767331</v>
      </c>
      <c r="H18">
        <f>1000*F18</f>
        <v>3.4659023988064859</v>
      </c>
      <c r="I18" s="10">
        <v>36.89</v>
      </c>
      <c r="J18" s="10">
        <v>29.64</v>
      </c>
      <c r="K18" s="10">
        <v>36.89</v>
      </c>
      <c r="L18" s="10">
        <v>29.64</v>
      </c>
    </row>
    <row r="19" spans="1:12" x14ac:dyDescent="0.3">
      <c r="A19" t="s">
        <v>18</v>
      </c>
      <c r="B19" s="10">
        <v>39.409999999999997</v>
      </c>
      <c r="D19">
        <v>25</v>
      </c>
      <c r="E19">
        <f>B19/D19/$B$12</f>
        <v>9.2615004993831136E-3</v>
      </c>
      <c r="G19">
        <f>E19*1000</f>
        <v>9.2615004993831143</v>
      </c>
      <c r="I19" s="10">
        <v>39.409999999999997</v>
      </c>
      <c r="J19" s="10">
        <v>39.409999999999997</v>
      </c>
      <c r="K19" s="10">
        <v>39.409999999999997</v>
      </c>
      <c r="L19" s="10">
        <v>39.409999999999997</v>
      </c>
    </row>
    <row r="20" spans="1:12" x14ac:dyDescent="0.3">
      <c r="A20" t="s">
        <v>19</v>
      </c>
      <c r="B20" s="10">
        <v>35.82</v>
      </c>
      <c r="D20">
        <v>25</v>
      </c>
      <c r="E20">
        <f>B20/D20/$B$12</f>
        <v>8.4178367898478344E-3</v>
      </c>
      <c r="G20">
        <f>E20*1000</f>
        <v>8.4178367898478346</v>
      </c>
      <c r="I20" s="10">
        <v>35.82</v>
      </c>
      <c r="J20" s="10">
        <v>35.82</v>
      </c>
      <c r="K20" s="10">
        <v>29.64</v>
      </c>
      <c r="L20" s="10">
        <v>35.82</v>
      </c>
    </row>
    <row r="22" spans="1:12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2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8.5435638329122848E-3</v>
      </c>
      <c r="H23">
        <f t="shared" ref="H23:H28" si="4">(D23*$F$18+C23*$F$17)/B23</f>
        <v>1.7329511994032432E-3</v>
      </c>
      <c r="I23">
        <f>G23*1000</f>
        <v>8.5435638329122856</v>
      </c>
      <c r="J23">
        <f>H23*1000</f>
        <v>1.7329511994032432</v>
      </c>
    </row>
    <row r="24" spans="1:12" x14ac:dyDescent="0.3">
      <c r="A24">
        <v>50</v>
      </c>
      <c r="B24">
        <v>5</v>
      </c>
      <c r="C24">
        <v>2.5</v>
      </c>
      <c r="E24">
        <v>2.5</v>
      </c>
      <c r="G24">
        <f t="shared" si="3"/>
        <v>8.1023975730514699E-3</v>
      </c>
      <c r="H24">
        <f t="shared" si="4"/>
        <v>1.4276485557550298E-3</v>
      </c>
      <c r="I24">
        <f t="shared" ref="I24:J28" si="5">G24*1000</f>
        <v>8.1023975730514692</v>
      </c>
      <c r="J24">
        <f t="shared" si="5"/>
        <v>1.4276485557550298</v>
      </c>
    </row>
    <row r="25" spans="1:12" x14ac:dyDescent="0.3">
      <c r="A25">
        <v>25</v>
      </c>
      <c r="B25">
        <v>5</v>
      </c>
      <c r="C25">
        <v>1.25</v>
      </c>
      <c r="E25">
        <v>3.75</v>
      </c>
      <c r="G25">
        <f t="shared" si="3"/>
        <v>8.6819490362172909E-3</v>
      </c>
      <c r="H25">
        <f t="shared" si="4"/>
        <v>7.1382427787751489E-4</v>
      </c>
      <c r="I25">
        <f t="shared" si="5"/>
        <v>8.6819490362172917</v>
      </c>
      <c r="J25">
        <f t="shared" si="5"/>
        <v>0.7138242778775149</v>
      </c>
    </row>
    <row r="26" spans="1:12" x14ac:dyDescent="0.3">
      <c r="A26">
        <v>12</v>
      </c>
      <c r="B26">
        <v>5</v>
      </c>
      <c r="D26">
        <v>0.5</v>
      </c>
      <c r="F26">
        <v>4.5</v>
      </c>
      <c r="G26">
        <f t="shared" si="3"/>
        <v>8.4429821984607252E-3</v>
      </c>
      <c r="H26">
        <f t="shared" si="4"/>
        <v>3.4659023988064858E-4</v>
      </c>
      <c r="I26">
        <f t="shared" si="5"/>
        <v>8.4429821984607258</v>
      </c>
      <c r="J26">
        <f t="shared" si="5"/>
        <v>0.34659023988064858</v>
      </c>
    </row>
    <row r="27" spans="1:12" x14ac:dyDescent="0.3">
      <c r="A27">
        <v>5</v>
      </c>
      <c r="B27">
        <v>5</v>
      </c>
      <c r="C27">
        <v>0.25</v>
      </c>
      <c r="E27">
        <v>4.5</v>
      </c>
      <c r="G27">
        <f t="shared" si="3"/>
        <v>8.6825151817807936E-3</v>
      </c>
      <c r="H27">
        <f t="shared" si="4"/>
        <v>1.4276485557550297E-4</v>
      </c>
      <c r="I27">
        <f t="shared" si="5"/>
        <v>8.6825151817807935</v>
      </c>
      <c r="J27">
        <f t="shared" si="5"/>
        <v>0.14276485557550297</v>
      </c>
    </row>
    <row r="28" spans="1:12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8.4228658715704129E-3</v>
      </c>
      <c r="H28">
        <f t="shared" si="4"/>
        <v>6.9318047976129731E-5</v>
      </c>
      <c r="I28">
        <f t="shared" si="5"/>
        <v>8.4228658715704121</v>
      </c>
      <c r="J28">
        <f t="shared" si="5"/>
        <v>6.9318047976129726E-2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9412-12CF-4EA9-8DC4-04E1AF4E5350}">
  <dimension ref="A1:O30"/>
  <sheetViews>
    <sheetView workbookViewId="0">
      <selection activeCell="K3" sqref="K3"/>
    </sheetView>
  </sheetViews>
  <sheetFormatPr defaultRowHeight="14.4" x14ac:dyDescent="0.3"/>
  <sheetData>
    <row r="1" spans="1:9" x14ac:dyDescent="0.3">
      <c r="B1" t="s">
        <v>0</v>
      </c>
      <c r="E1" t="s">
        <v>1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3.812982296867907</v>
      </c>
      <c r="C3">
        <f>H18</f>
        <v>3.0577392247221464</v>
      </c>
      <c r="E3" t="s">
        <v>99</v>
      </c>
      <c r="F3">
        <v>2661.06689453125</v>
      </c>
      <c r="H3">
        <f t="shared" ref="H3:H10" si="0">C3/B3</f>
        <v>0.80192851334082016</v>
      </c>
      <c r="I3">
        <f>F3/E3</f>
        <v>0.59752803654550068</v>
      </c>
    </row>
    <row r="4" spans="1:9" x14ac:dyDescent="0.3">
      <c r="A4" t="s">
        <v>5</v>
      </c>
      <c r="B4">
        <f>G17</f>
        <v>2.845470462356527</v>
      </c>
      <c r="C4">
        <f>H17</f>
        <v>2.6488014560662978</v>
      </c>
      <c r="E4" t="s">
        <v>100</v>
      </c>
      <c r="F4">
        <v>2302.1015625</v>
      </c>
      <c r="H4">
        <f t="shared" si="0"/>
        <v>0.93088348345483996</v>
      </c>
      <c r="I4">
        <f>F4/E4</f>
        <v>0.69321404500131156</v>
      </c>
    </row>
    <row r="5" spans="1:9" x14ac:dyDescent="0.3">
      <c r="A5" t="s">
        <v>6</v>
      </c>
      <c r="B5">
        <f t="shared" ref="B5:C10" si="1">I23</f>
        <v>3.7260878023474473</v>
      </c>
      <c r="C5">
        <f t="shared" si="1"/>
        <v>1.5288696123610732</v>
      </c>
      <c r="E5" t="s">
        <v>101</v>
      </c>
      <c r="F5">
        <v>1340.99853515625</v>
      </c>
      <c r="H5">
        <f t="shared" si="0"/>
        <v>0.4103149720191458</v>
      </c>
      <c r="I5">
        <f t="shared" ref="I5:I7" si="2">F5/E5</f>
        <v>0.30990390531967488</v>
      </c>
    </row>
    <row r="6" spans="1:9" x14ac:dyDescent="0.3">
      <c r="A6" t="s">
        <v>7</v>
      </c>
      <c r="B6">
        <f t="shared" si="1"/>
        <v>2.8091563452434993</v>
      </c>
      <c r="C6">
        <f t="shared" si="1"/>
        <v>1.3244007280331489</v>
      </c>
      <c r="E6" t="s">
        <v>102</v>
      </c>
      <c r="F6">
        <v>1195.42419433594</v>
      </c>
      <c r="H6">
        <f t="shared" si="0"/>
        <v>0.47145853247920561</v>
      </c>
      <c r="I6">
        <f t="shared" si="2"/>
        <v>0.35816774377599125</v>
      </c>
    </row>
    <row r="7" spans="1:9" x14ac:dyDescent="0.3">
      <c r="A7" t="s">
        <v>8</v>
      </c>
      <c r="B7">
        <f t="shared" si="1"/>
        <v>2.790999286686985</v>
      </c>
      <c r="C7">
        <f t="shared" si="1"/>
        <v>0.66220036401657445</v>
      </c>
      <c r="E7" t="s">
        <v>103</v>
      </c>
      <c r="F7">
        <v>598.87811279296898</v>
      </c>
      <c r="H7">
        <f t="shared" si="0"/>
        <v>0.23726282094562257</v>
      </c>
      <c r="I7">
        <f t="shared" si="2"/>
        <v>0.18103906554206672</v>
      </c>
    </row>
    <row r="8" spans="1:9" x14ac:dyDescent="0.3">
      <c r="A8" t="s">
        <v>9</v>
      </c>
      <c r="B8">
        <f t="shared" si="1"/>
        <v>3.6565722067310795</v>
      </c>
      <c r="C8">
        <f t="shared" si="1"/>
        <v>0.30577392247221469</v>
      </c>
      <c r="E8" t="s">
        <v>104</v>
      </c>
      <c r="F8">
        <v>271.53601074218801</v>
      </c>
      <c r="H8">
        <f t="shared" si="0"/>
        <v>8.3623105243030862E-2</v>
      </c>
      <c r="I8">
        <f>F8/E8</f>
        <v>6.3542466747671833E-2</v>
      </c>
    </row>
    <row r="9" spans="1:9" x14ac:dyDescent="0.3">
      <c r="A9" t="s">
        <v>10</v>
      </c>
      <c r="B9">
        <f t="shared" si="1"/>
        <v>2.63783152843525</v>
      </c>
      <c r="C9">
        <f t="shared" si="1"/>
        <v>0.13244007280331488</v>
      </c>
      <c r="E9" t="s">
        <v>105</v>
      </c>
      <c r="F9">
        <v>121.22029876709</v>
      </c>
      <c r="H9">
        <f t="shared" si="0"/>
        <v>5.0207934576427533E-2</v>
      </c>
      <c r="I9">
        <f>F9/E9</f>
        <v>3.640868227731156E-2</v>
      </c>
    </row>
    <row r="10" spans="1:9" x14ac:dyDescent="0.3">
      <c r="A10" t="s">
        <v>57</v>
      </c>
      <c r="B10">
        <f t="shared" si="1"/>
        <v>3.6426690876078065</v>
      </c>
      <c r="C10">
        <f t="shared" si="1"/>
        <v>6.1154784494442935E-2</v>
      </c>
      <c r="E10" t="s">
        <v>106</v>
      </c>
      <c r="F10">
        <v>54.559913635253899</v>
      </c>
      <c r="H10">
        <f t="shared" si="0"/>
        <v>1.6788454570987169E-2</v>
      </c>
      <c r="I10">
        <f>F10/E10</f>
        <v>1.2758781455431438E-2</v>
      </c>
    </row>
    <row r="12" spans="1:9" x14ac:dyDescent="0.3">
      <c r="A12" t="s">
        <v>34</v>
      </c>
      <c r="B12" s="1">
        <v>154.21</v>
      </c>
    </row>
    <row r="13" spans="1:9" x14ac:dyDescent="0.3">
      <c r="A13" t="s">
        <v>11</v>
      </c>
      <c r="B13" s="5">
        <v>258.23</v>
      </c>
    </row>
    <row r="14" spans="1:9" x14ac:dyDescent="0.3">
      <c r="I14">
        <v>0.748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5" x14ac:dyDescent="0.3">
      <c r="A17" t="s">
        <v>16</v>
      </c>
      <c r="B17" s="10">
        <v>10.97</v>
      </c>
      <c r="C17" s="10">
        <v>17.100000000000001</v>
      </c>
      <c r="D17">
        <v>25</v>
      </c>
      <c r="E17">
        <f>B17/D17/$B$12</f>
        <v>2.8454704623565269E-3</v>
      </c>
      <c r="F17">
        <f>C17/D17/$B$13</f>
        <v>2.6488014560662977E-3</v>
      </c>
      <c r="G17">
        <f>E17*1000</f>
        <v>2.845470462356527</v>
      </c>
      <c r="H17">
        <f>1000*F17</f>
        <v>2.6488014560662978</v>
      </c>
    </row>
    <row r="18" spans="1:15" x14ac:dyDescent="0.3">
      <c r="A18" t="s">
        <v>17</v>
      </c>
      <c r="B18" s="10">
        <v>14.7</v>
      </c>
      <c r="C18" s="10">
        <v>19.739999999999998</v>
      </c>
      <c r="D18">
        <v>25</v>
      </c>
      <c r="E18">
        <f>B18/D18/$B$12</f>
        <v>3.8129822968679069E-3</v>
      </c>
      <c r="F18">
        <f>C18/D18/$B$13</f>
        <v>3.0577392247221466E-3</v>
      </c>
      <c r="G18">
        <f>E18*1000</f>
        <v>3.812982296867907</v>
      </c>
      <c r="H18">
        <f>1000*F18</f>
        <v>3.0577392247221464</v>
      </c>
    </row>
    <row r="19" spans="1:15" x14ac:dyDescent="0.3">
      <c r="A19" t="s">
        <v>18</v>
      </c>
      <c r="B19" s="10">
        <v>10.69</v>
      </c>
      <c r="D19">
        <v>25</v>
      </c>
      <c r="E19">
        <f>B19/D19/$B$12</f>
        <v>2.7728422281304713E-3</v>
      </c>
      <c r="G19">
        <f>E19*1000</f>
        <v>2.7728422281304712</v>
      </c>
    </row>
    <row r="20" spans="1:15" x14ac:dyDescent="0.3">
      <c r="A20" t="s">
        <v>19</v>
      </c>
      <c r="B20" s="10">
        <v>14.03</v>
      </c>
      <c r="D20">
        <v>25</v>
      </c>
      <c r="E20">
        <f>B20/D20/$B$12</f>
        <v>3.6391933078269885E-3</v>
      </c>
      <c r="G20">
        <f>E20*1000</f>
        <v>3.6391933078269885</v>
      </c>
    </row>
    <row r="22" spans="1:15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5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3.7260878023474475E-3</v>
      </c>
      <c r="H23">
        <f t="shared" ref="H23:H28" si="4">(D23*$F$18+C23*$F$17)/B23</f>
        <v>1.5288696123610733E-3</v>
      </c>
      <c r="I23">
        <f>G23*1000</f>
        <v>3.7260878023474473</v>
      </c>
      <c r="J23">
        <f>H23*1000</f>
        <v>1.5288696123610732</v>
      </c>
      <c r="O23">
        <v>7533.6</v>
      </c>
    </row>
    <row r="24" spans="1:15" x14ac:dyDescent="0.3">
      <c r="A24">
        <v>50</v>
      </c>
      <c r="B24">
        <v>5</v>
      </c>
      <c r="C24">
        <v>2.5</v>
      </c>
      <c r="E24">
        <v>2.5</v>
      </c>
      <c r="G24">
        <f t="shared" si="3"/>
        <v>2.8091563452434993E-3</v>
      </c>
      <c r="H24">
        <f t="shared" si="4"/>
        <v>1.3244007280331488E-3</v>
      </c>
      <c r="I24">
        <f t="shared" ref="I24:J28" si="5">G24*1000</f>
        <v>2.8091563452434993</v>
      </c>
      <c r="J24">
        <f t="shared" si="5"/>
        <v>1.3244007280331489</v>
      </c>
      <c r="O24">
        <v>4297.8999999999996</v>
      </c>
    </row>
    <row r="25" spans="1:15" x14ac:dyDescent="0.3">
      <c r="A25">
        <v>25</v>
      </c>
      <c r="B25">
        <v>5</v>
      </c>
      <c r="C25">
        <v>1.25</v>
      </c>
      <c r="E25">
        <v>3.75</v>
      </c>
      <c r="G25">
        <f t="shared" si="3"/>
        <v>2.7909992866869851E-3</v>
      </c>
      <c r="H25">
        <f t="shared" si="4"/>
        <v>6.6220036401657442E-4</v>
      </c>
      <c r="I25">
        <f t="shared" si="5"/>
        <v>2.790999286686985</v>
      </c>
      <c r="J25">
        <f t="shared" si="5"/>
        <v>0.66220036401657445</v>
      </c>
      <c r="O25">
        <v>4688.8</v>
      </c>
    </row>
    <row r="26" spans="1:15" x14ac:dyDescent="0.3">
      <c r="A26">
        <v>12</v>
      </c>
      <c r="B26">
        <v>5</v>
      </c>
      <c r="D26">
        <v>0.5</v>
      </c>
      <c r="F26">
        <v>4.5</v>
      </c>
      <c r="G26">
        <f t="shared" si="3"/>
        <v>3.6565722067310796E-3</v>
      </c>
      <c r="H26">
        <f t="shared" si="4"/>
        <v>3.0577392247221468E-4</v>
      </c>
      <c r="I26">
        <f t="shared" si="5"/>
        <v>3.6565722067310795</v>
      </c>
      <c r="J26">
        <f t="shared" si="5"/>
        <v>0.30577392247221469</v>
      </c>
      <c r="O26">
        <v>2207</v>
      </c>
    </row>
    <row r="27" spans="1:15" x14ac:dyDescent="0.3">
      <c r="A27">
        <v>5</v>
      </c>
      <c r="B27">
        <v>5</v>
      </c>
      <c r="C27">
        <v>0.25</v>
      </c>
      <c r="E27">
        <v>4.5</v>
      </c>
      <c r="G27">
        <f t="shared" si="3"/>
        <v>2.6378315284352502E-3</v>
      </c>
      <c r="H27">
        <f t="shared" si="4"/>
        <v>1.3244007280331489E-4</v>
      </c>
      <c r="I27">
        <f t="shared" si="5"/>
        <v>2.63783152843525</v>
      </c>
      <c r="J27">
        <f t="shared" si="5"/>
        <v>0.13244007280331488</v>
      </c>
      <c r="O27">
        <v>1059.7</v>
      </c>
    </row>
    <row r="28" spans="1:15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3.6426690876078067E-3</v>
      </c>
      <c r="H28">
        <f t="shared" si="4"/>
        <v>6.1154784494442936E-5</v>
      </c>
      <c r="I28">
        <f t="shared" si="5"/>
        <v>3.6426690876078065</v>
      </c>
      <c r="J28">
        <f t="shared" si="5"/>
        <v>6.1154784494442935E-2</v>
      </c>
      <c r="O28" s="2">
        <v>757.4</v>
      </c>
    </row>
    <row r="29" spans="1:15" x14ac:dyDescent="0.3">
      <c r="O29">
        <v>184.8</v>
      </c>
    </row>
    <row r="30" spans="1:15" x14ac:dyDescent="0.3">
      <c r="O30">
        <v>122.9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28AC-403B-49CB-9165-59E135D837B2}">
  <dimension ref="A1:O28"/>
  <sheetViews>
    <sheetView workbookViewId="0">
      <selection activeCell="L15" sqref="L15"/>
    </sheetView>
  </sheetViews>
  <sheetFormatPr defaultRowHeight="14.4" x14ac:dyDescent="0.3"/>
  <sheetData>
    <row r="1" spans="1:9" x14ac:dyDescent="0.3">
      <c r="B1" t="s">
        <v>0</v>
      </c>
      <c r="E1" t="s">
        <v>1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3.812982296867907</v>
      </c>
      <c r="C3">
        <f>H18</f>
        <v>1.9050512723129507</v>
      </c>
      <c r="E3" t="s">
        <v>99</v>
      </c>
      <c r="F3">
        <v>1269.8837890625</v>
      </c>
      <c r="H3">
        <f t="shared" ref="H3:H10" si="0">C3/B3</f>
        <v>0.49962237534588461</v>
      </c>
      <c r="I3">
        <f>F3/E3</f>
        <v>0.28514546878880259</v>
      </c>
    </row>
    <row r="4" spans="1:9" x14ac:dyDescent="0.3">
      <c r="A4" t="s">
        <v>5</v>
      </c>
      <c r="B4">
        <f>G17</f>
        <v>2.845470462356527</v>
      </c>
      <c r="C4">
        <f>H17</f>
        <v>1.4933535890619065</v>
      </c>
      <c r="E4" t="s">
        <v>100</v>
      </c>
      <c r="F4">
        <v>981.080810546875</v>
      </c>
      <c r="H4">
        <f t="shared" si="0"/>
        <v>0.52481781442396669</v>
      </c>
      <c r="I4">
        <f>F4/E4</f>
        <v>0.29542527933207319</v>
      </c>
    </row>
    <row r="5" spans="1:9" x14ac:dyDescent="0.3">
      <c r="A5" t="s">
        <v>6</v>
      </c>
      <c r="B5">
        <f t="shared" ref="B5:C10" si="1">I23</f>
        <v>3.7260878023474473</v>
      </c>
      <c r="C5">
        <f t="shared" si="1"/>
        <v>0.95252563615647534</v>
      </c>
      <c r="E5" t="s">
        <v>101</v>
      </c>
      <c r="F5">
        <v>636.18701171875</v>
      </c>
      <c r="H5">
        <f t="shared" si="0"/>
        <v>0.25563692716966602</v>
      </c>
      <c r="I5">
        <f t="shared" ref="I5:I7" si="2">F5/E5</f>
        <v>0.14702241223725282</v>
      </c>
    </row>
    <row r="6" spans="1:9" x14ac:dyDescent="0.3">
      <c r="A6" t="s">
        <v>7</v>
      </c>
      <c r="B6">
        <f t="shared" si="1"/>
        <v>2.8091563452434993</v>
      </c>
      <c r="C6">
        <f t="shared" si="1"/>
        <v>0.74667679453095326</v>
      </c>
      <c r="E6" t="s">
        <v>102</v>
      </c>
      <c r="F6">
        <v>505.96798706054699</v>
      </c>
      <c r="H6">
        <f t="shared" si="0"/>
        <v>0.26580108145110409</v>
      </c>
      <c r="I6">
        <f t="shared" si="2"/>
        <v>0.15159590479011917</v>
      </c>
    </row>
    <row r="7" spans="1:9" x14ac:dyDescent="0.3">
      <c r="A7" t="s">
        <v>8</v>
      </c>
      <c r="B7">
        <f t="shared" si="1"/>
        <v>2.790999286686985</v>
      </c>
      <c r="C7">
        <f t="shared" si="1"/>
        <v>0.37333839726547663</v>
      </c>
      <c r="E7" t="s">
        <v>103</v>
      </c>
      <c r="F7">
        <v>255.51545715332099</v>
      </c>
      <c r="H7">
        <f t="shared" si="0"/>
        <v>0.13376513532135026</v>
      </c>
      <c r="I7">
        <f t="shared" si="2"/>
        <v>7.7241559854071051E-2</v>
      </c>
    </row>
    <row r="8" spans="1:9" x14ac:dyDescent="0.3">
      <c r="A8" t="s">
        <v>9</v>
      </c>
      <c r="B8">
        <f t="shared" si="1"/>
        <v>3.6565722067310795</v>
      </c>
      <c r="C8">
        <f t="shared" si="1"/>
        <v>0.19050512723129506</v>
      </c>
      <c r="E8" t="s">
        <v>104</v>
      </c>
      <c r="F8">
        <v>132.44873046875</v>
      </c>
      <c r="H8">
        <f t="shared" si="0"/>
        <v>5.2099375169075021E-2</v>
      </c>
      <c r="I8">
        <f>F8/E8</f>
        <v>3.0994485882657553E-2</v>
      </c>
    </row>
    <row r="9" spans="1:9" x14ac:dyDescent="0.3">
      <c r="A9" t="s">
        <v>10</v>
      </c>
      <c r="B9">
        <f t="shared" si="1"/>
        <v>2.63783152843525</v>
      </c>
      <c r="C9">
        <f t="shared" si="1"/>
        <v>7.4667679453095312E-2</v>
      </c>
      <c r="E9" t="s">
        <v>105</v>
      </c>
      <c r="F9">
        <v>51.163547515869197</v>
      </c>
      <c r="H9">
        <f t="shared" si="0"/>
        <v>2.8306462580416518E-2</v>
      </c>
      <c r="I9">
        <f>F9/E9</f>
        <v>1.5367041367094405E-2</v>
      </c>
    </row>
    <row r="10" spans="1:9" x14ac:dyDescent="0.3">
      <c r="A10" t="s">
        <v>57</v>
      </c>
      <c r="B10">
        <f t="shared" si="1"/>
        <v>3.6426690876078065</v>
      </c>
      <c r="C10">
        <f t="shared" si="1"/>
        <v>3.8101025446259013E-2</v>
      </c>
      <c r="E10" t="s">
        <v>106</v>
      </c>
      <c r="F10">
        <v>25.698205947876001</v>
      </c>
      <c r="H10">
        <f t="shared" si="0"/>
        <v>1.0459644982816846E-2</v>
      </c>
      <c r="I10">
        <f>F10/E10</f>
        <v>6.0094998624367303E-3</v>
      </c>
    </row>
    <row r="12" spans="1:9" x14ac:dyDescent="0.3">
      <c r="A12" t="s">
        <v>34</v>
      </c>
      <c r="B12" s="1">
        <v>154.21</v>
      </c>
    </row>
    <row r="13" spans="1:9" x14ac:dyDescent="0.3">
      <c r="A13" t="s">
        <v>11</v>
      </c>
      <c r="B13" s="5">
        <v>263.3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5" x14ac:dyDescent="0.3">
      <c r="A17" t="s">
        <v>16</v>
      </c>
      <c r="B17" s="10">
        <v>10.97</v>
      </c>
      <c r="C17" s="10">
        <v>9.83</v>
      </c>
      <c r="D17">
        <v>25</v>
      </c>
      <c r="E17">
        <f>B17/D17/$B$12</f>
        <v>2.8454704623565269E-3</v>
      </c>
      <c r="F17">
        <f>C17/D17/$B$13</f>
        <v>1.4933535890619065E-3</v>
      </c>
      <c r="G17">
        <f>E17*1000</f>
        <v>2.845470462356527</v>
      </c>
      <c r="H17">
        <f>1000*F17</f>
        <v>1.4933535890619065</v>
      </c>
    </row>
    <row r="18" spans="1:15" x14ac:dyDescent="0.3">
      <c r="A18" t="s">
        <v>17</v>
      </c>
      <c r="B18" s="10">
        <v>14.7</v>
      </c>
      <c r="C18" s="10">
        <v>12.54</v>
      </c>
      <c r="D18">
        <v>25</v>
      </c>
      <c r="E18">
        <f>B18/D18/$B$12</f>
        <v>3.8129822968679069E-3</v>
      </c>
      <c r="F18">
        <f>C18/D18/$B$13</f>
        <v>1.9050512723129507E-3</v>
      </c>
      <c r="G18">
        <f>E18*1000</f>
        <v>3.812982296867907</v>
      </c>
      <c r="H18">
        <f>1000*F18</f>
        <v>1.9050512723129507</v>
      </c>
    </row>
    <row r="19" spans="1:15" x14ac:dyDescent="0.3">
      <c r="A19" t="s">
        <v>18</v>
      </c>
      <c r="B19" s="10">
        <v>10.69</v>
      </c>
      <c r="D19">
        <v>25</v>
      </c>
      <c r="E19">
        <f>B19/D19/$B$12</f>
        <v>2.7728422281304713E-3</v>
      </c>
      <c r="G19">
        <f>E19*1000</f>
        <v>2.7728422281304712</v>
      </c>
    </row>
    <row r="20" spans="1:15" x14ac:dyDescent="0.3">
      <c r="A20" t="s">
        <v>19</v>
      </c>
      <c r="B20" s="10">
        <v>14.03</v>
      </c>
      <c r="D20">
        <v>25</v>
      </c>
      <c r="E20">
        <f>B20/D20/$B$12</f>
        <v>3.6391933078269885E-3</v>
      </c>
      <c r="G20">
        <f>E20*1000</f>
        <v>3.6391933078269885</v>
      </c>
    </row>
    <row r="22" spans="1:15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5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3.7260878023474475E-3</v>
      </c>
      <c r="H23">
        <f t="shared" ref="H23:H28" si="4">(D23*$F$18+C23*$F$17)/B23</f>
        <v>9.5252563615647534E-4</v>
      </c>
      <c r="I23">
        <f>G23*1000</f>
        <v>3.7260878023474473</v>
      </c>
      <c r="J23">
        <f>H23*1000</f>
        <v>0.95252563615647534</v>
      </c>
    </row>
    <row r="24" spans="1:15" x14ac:dyDescent="0.3">
      <c r="A24">
        <v>50</v>
      </c>
      <c r="B24">
        <v>5</v>
      </c>
      <c r="C24">
        <v>2.5</v>
      </c>
      <c r="E24">
        <v>2.5</v>
      </c>
      <c r="G24">
        <f t="shared" si="3"/>
        <v>2.8091563452434993E-3</v>
      </c>
      <c r="H24">
        <f t="shared" si="4"/>
        <v>7.4667679453095323E-4</v>
      </c>
      <c r="I24">
        <f t="shared" ref="I24:J28" si="5">G24*1000</f>
        <v>2.8091563452434993</v>
      </c>
      <c r="J24">
        <f t="shared" si="5"/>
        <v>0.74667679453095326</v>
      </c>
    </row>
    <row r="25" spans="1:15" x14ac:dyDescent="0.3">
      <c r="A25">
        <v>25</v>
      </c>
      <c r="B25">
        <v>5</v>
      </c>
      <c r="C25">
        <v>1.25</v>
      </c>
      <c r="E25">
        <v>3.75</v>
      </c>
      <c r="G25">
        <f t="shared" si="3"/>
        <v>2.7909992866869851E-3</v>
      </c>
      <c r="H25">
        <f t="shared" si="4"/>
        <v>3.7333839726547661E-4</v>
      </c>
      <c r="I25">
        <f t="shared" si="5"/>
        <v>2.790999286686985</v>
      </c>
      <c r="J25">
        <f t="shared" si="5"/>
        <v>0.37333839726547663</v>
      </c>
    </row>
    <row r="26" spans="1:15" x14ac:dyDescent="0.3">
      <c r="A26">
        <v>12</v>
      </c>
      <c r="B26">
        <v>5</v>
      </c>
      <c r="D26">
        <v>0.5</v>
      </c>
      <c r="F26">
        <v>4.5</v>
      </c>
      <c r="G26">
        <f t="shared" si="3"/>
        <v>3.6565722067310796E-3</v>
      </c>
      <c r="H26">
        <f t="shared" si="4"/>
        <v>1.9050512723129507E-4</v>
      </c>
      <c r="I26">
        <f t="shared" si="5"/>
        <v>3.6565722067310795</v>
      </c>
      <c r="J26">
        <f t="shared" si="5"/>
        <v>0.19050512723129506</v>
      </c>
    </row>
    <row r="27" spans="1:15" x14ac:dyDescent="0.3">
      <c r="A27">
        <v>5</v>
      </c>
      <c r="B27">
        <v>5</v>
      </c>
      <c r="C27">
        <v>0.25</v>
      </c>
      <c r="E27">
        <v>4.5</v>
      </c>
      <c r="G27">
        <f t="shared" si="3"/>
        <v>2.6378315284352502E-3</v>
      </c>
      <c r="H27">
        <f t="shared" si="4"/>
        <v>7.4667679453095317E-5</v>
      </c>
      <c r="I27">
        <f t="shared" si="5"/>
        <v>2.63783152843525</v>
      </c>
      <c r="J27">
        <f t="shared" si="5"/>
        <v>7.4667679453095312E-2</v>
      </c>
    </row>
    <row r="28" spans="1:15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3.6426690876078067E-3</v>
      </c>
      <c r="H28">
        <f t="shared" si="4"/>
        <v>3.8101025446259012E-5</v>
      </c>
      <c r="I28">
        <f t="shared" si="5"/>
        <v>3.6426690876078065</v>
      </c>
      <c r="J28">
        <f t="shared" si="5"/>
        <v>3.8101025446259013E-2</v>
      </c>
      <c r="O28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3F6C-5632-478A-BC6A-5FAA81871BFB}">
  <dimension ref="A1:J28"/>
  <sheetViews>
    <sheetView workbookViewId="0">
      <selection activeCell="M20" sqref="M20"/>
    </sheetView>
  </sheetViews>
  <sheetFormatPr defaultRowHeight="14.4" x14ac:dyDescent="0.3"/>
  <cols>
    <col min="6" max="6" width="14.33203125" bestFit="1" customWidth="1"/>
    <col min="7" max="7" width="11.77734375" bestFit="1" customWidth="1"/>
    <col min="8" max="8" width="15.21875" bestFit="1" customWidth="1"/>
    <col min="9" max="9" width="13.33203125" bestFit="1" customWidth="1"/>
    <col min="10" max="10" width="15.88671875" bestFit="1" customWidth="1"/>
  </cols>
  <sheetData>
    <row r="1" spans="1:9" x14ac:dyDescent="0.3">
      <c r="B1" t="s">
        <v>0</v>
      </c>
      <c r="E1" t="s">
        <v>1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3.4705920498022178</v>
      </c>
      <c r="C3">
        <f>H18</f>
        <v>2.8261713922530989</v>
      </c>
      <c r="E3" t="s">
        <v>41</v>
      </c>
      <c r="F3">
        <v>1363.701171875</v>
      </c>
      <c r="H3">
        <f t="shared" ref="H3:H10" si="0">C3/B3</f>
        <v>0.81431967563406271</v>
      </c>
      <c r="I3">
        <f>F3/E3</f>
        <v>0.27992790267362089</v>
      </c>
    </row>
    <row r="4" spans="1:9" x14ac:dyDescent="0.3">
      <c r="A4" t="s">
        <v>5</v>
      </c>
      <c r="B4">
        <f>G17</f>
        <v>2.6664937422994615</v>
      </c>
      <c r="C4">
        <f>H17</f>
        <v>1.5790402881254195</v>
      </c>
      <c r="E4" t="s">
        <v>42</v>
      </c>
      <c r="F4">
        <v>686.63751220703102</v>
      </c>
      <c r="H4">
        <f t="shared" si="0"/>
        <v>0.59217850883224943</v>
      </c>
      <c r="I4">
        <f>F4/E4</f>
        <v>0.20027628479711865</v>
      </c>
    </row>
    <row r="5" spans="1:9" x14ac:dyDescent="0.3">
      <c r="A5" t="s">
        <v>6</v>
      </c>
      <c r="B5">
        <f t="shared" ref="B5:C10" si="1">I23</f>
        <v>3.3149601193178135</v>
      </c>
      <c r="C5">
        <f t="shared" si="1"/>
        <v>1.4130856961265494</v>
      </c>
      <c r="E5" t="s">
        <v>43</v>
      </c>
      <c r="F5">
        <v>1056.02307128906</v>
      </c>
      <c r="H5">
        <f t="shared" si="0"/>
        <v>0.42627532316055394</v>
      </c>
      <c r="I5">
        <f t="shared" ref="I5:I7" si="2">F5/E5</f>
        <v>0.15199745093739686</v>
      </c>
    </row>
    <row r="6" spans="1:9" x14ac:dyDescent="0.3">
      <c r="A6" t="s">
        <v>7</v>
      </c>
      <c r="B6">
        <f t="shared" si="1"/>
        <v>2.5925685753193695</v>
      </c>
      <c r="C6">
        <f t="shared" si="1"/>
        <v>0.78952014406270965</v>
      </c>
      <c r="E6" t="s">
        <v>44</v>
      </c>
      <c r="F6">
        <v>352.845703125</v>
      </c>
      <c r="H6">
        <f t="shared" si="0"/>
        <v>0.30453201954955095</v>
      </c>
      <c r="I6">
        <f t="shared" si="2"/>
        <v>0.10558003028039484</v>
      </c>
    </row>
    <row r="7" spans="1:9" x14ac:dyDescent="0.3">
      <c r="A7" t="s">
        <v>8</v>
      </c>
      <c r="B7">
        <f t="shared" si="1"/>
        <v>2.5556059918293235</v>
      </c>
      <c r="C7">
        <f t="shared" si="1"/>
        <v>0.39476007203135483</v>
      </c>
      <c r="E7" t="s">
        <v>45</v>
      </c>
      <c r="F7">
        <v>174.55889892578099</v>
      </c>
      <c r="H7">
        <f t="shared" si="0"/>
        <v>0.15446828395827261</v>
      </c>
      <c r="I7">
        <f t="shared" si="2"/>
        <v>5.4191395355958134E-2</v>
      </c>
    </row>
    <row r="8" spans="1:9" x14ac:dyDescent="0.3">
      <c r="A8" t="s">
        <v>9</v>
      </c>
      <c r="B8">
        <f t="shared" si="1"/>
        <v>3.1904545749302895</v>
      </c>
      <c r="C8">
        <f t="shared" si="1"/>
        <v>0.2826171392253099</v>
      </c>
      <c r="E8">
        <v>5176.681640625</v>
      </c>
      <c r="F8">
        <v>154.74638366699199</v>
      </c>
      <c r="H8">
        <f t="shared" si="0"/>
        <v>8.8582091544583422E-2</v>
      </c>
      <c r="I8">
        <f>F8/E8</f>
        <v>2.9892968973133316E-2</v>
      </c>
    </row>
    <row r="9" spans="1:9" x14ac:dyDescent="0.3">
      <c r="A9" t="s">
        <v>10</v>
      </c>
      <c r="B9">
        <f t="shared" si="1"/>
        <v>2.4001037546203228</v>
      </c>
      <c r="C9">
        <f t="shared" si="1"/>
        <v>7.8952014406270976E-2</v>
      </c>
      <c r="E9" t="s">
        <v>46</v>
      </c>
      <c r="F9">
        <v>35.517276763916001</v>
      </c>
      <c r="H9">
        <f t="shared" si="0"/>
        <v>3.2895250571682286E-2</v>
      </c>
      <c r="I9">
        <f t="shared" ref="I9:I10" si="3">F9/E9</f>
        <v>7.5139379683209495E-3</v>
      </c>
    </row>
    <row r="10" spans="1:9" x14ac:dyDescent="0.3">
      <c r="A10" t="s">
        <v>40</v>
      </c>
      <c r="B10">
        <f t="shared" si="1"/>
        <v>3.1655534660527849</v>
      </c>
      <c r="C10">
        <f t="shared" si="1"/>
        <v>5.6523427845061987E-2</v>
      </c>
      <c r="E10" t="s">
        <v>47</v>
      </c>
      <c r="F10">
        <v>32.758712768554702</v>
      </c>
      <c r="H10">
        <f t="shared" si="0"/>
        <v>1.7855780498170701E-2</v>
      </c>
      <c r="I10">
        <f t="shared" si="3"/>
        <v>1.0268377151070453E-2</v>
      </c>
    </row>
    <row r="12" spans="1:9" x14ac:dyDescent="0.3">
      <c r="A12" t="s">
        <v>34</v>
      </c>
      <c r="B12" s="1">
        <v>154.21</v>
      </c>
      <c r="E12">
        <v>5176.681640625</v>
      </c>
      <c r="F12">
        <v>154.74638366699199</v>
      </c>
    </row>
    <row r="13" spans="1:9" x14ac:dyDescent="0.3">
      <c r="A13" t="s">
        <v>11</v>
      </c>
      <c r="B13" s="5">
        <v>283.20999999999998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2">
        <v>10.28</v>
      </c>
      <c r="C17" s="4">
        <v>11.18</v>
      </c>
      <c r="D17">
        <v>25</v>
      </c>
      <c r="E17">
        <f>B17/D17/$B$12</f>
        <v>2.6664937422994613E-3</v>
      </c>
      <c r="F17">
        <f>C17/D17/$B$13</f>
        <v>1.5790402881254194E-3</v>
      </c>
      <c r="G17">
        <f>E17*1000</f>
        <v>2.6664937422994615</v>
      </c>
      <c r="H17">
        <f>1000*F17</f>
        <v>1.5790402881254195</v>
      </c>
    </row>
    <row r="18" spans="1:10" x14ac:dyDescent="0.3">
      <c r="A18" t="s">
        <v>17</v>
      </c>
      <c r="B18" s="2">
        <v>13.38</v>
      </c>
      <c r="C18" s="4">
        <v>20.010000000000002</v>
      </c>
      <c r="D18">
        <v>25</v>
      </c>
      <c r="E18">
        <f>B18/D18/$B$12</f>
        <v>3.4705920498022177E-3</v>
      </c>
      <c r="F18">
        <f>C18/D18/$B$13</f>
        <v>2.8261713922530991E-3</v>
      </c>
      <c r="G18">
        <f>E18*1000</f>
        <v>3.4705920498022178</v>
      </c>
      <c r="H18">
        <f>1000*F18</f>
        <v>2.8261713922530989</v>
      </c>
    </row>
    <row r="19" spans="1:10" x14ac:dyDescent="0.3">
      <c r="A19" t="s">
        <v>18</v>
      </c>
      <c r="B19" s="3">
        <v>9.7100000000000009</v>
      </c>
      <c r="D19">
        <v>25</v>
      </c>
      <c r="E19">
        <f>B19/D19/$B$12</f>
        <v>2.5186434083392774E-3</v>
      </c>
      <c r="G19">
        <f>E19*1000</f>
        <v>2.5186434083392775</v>
      </c>
    </row>
    <row r="20" spans="1:10" x14ac:dyDescent="0.3">
      <c r="A20" t="s">
        <v>19</v>
      </c>
      <c r="B20" s="3">
        <v>12.18</v>
      </c>
      <c r="D20">
        <v>25</v>
      </c>
      <c r="E20">
        <f>B20/D20/$B$12</f>
        <v>3.1593281888334084E-3</v>
      </c>
      <c r="G20">
        <f>E20*1000</f>
        <v>3.1593281888334084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4">(D23*$E$18+C23*$E$17+E23*$E$19+F23*$E$20)/B23</f>
        <v>3.3149601193178135E-3</v>
      </c>
      <c r="H23">
        <f t="shared" ref="H23:H28" si="5">(D23*$F$18+C23*$F$17)/B23</f>
        <v>1.4130856961265495E-3</v>
      </c>
      <c r="I23">
        <f>G23*1000</f>
        <v>3.3149601193178135</v>
      </c>
      <c r="J23">
        <f>H23*1000</f>
        <v>1.4130856961265494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4"/>
        <v>2.5925685753193694E-3</v>
      </c>
      <c r="H24">
        <f t="shared" si="5"/>
        <v>7.8952014406270961E-4</v>
      </c>
      <c r="I24">
        <f t="shared" ref="I24:J28" si="6">G24*1000</f>
        <v>2.5925685753193695</v>
      </c>
      <c r="J24">
        <f t="shared" si="6"/>
        <v>0.78952014406270965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4"/>
        <v>2.5556059918293234E-3</v>
      </c>
      <c r="H25">
        <f t="shared" si="5"/>
        <v>3.9476007203135481E-4</v>
      </c>
      <c r="I25">
        <f t="shared" si="6"/>
        <v>2.5556059918293235</v>
      </c>
      <c r="J25">
        <f t="shared" si="6"/>
        <v>0.39476007203135483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4"/>
        <v>3.1904545749302897E-3</v>
      </c>
      <c r="H26">
        <f t="shared" si="5"/>
        <v>2.8261713922530992E-4</v>
      </c>
      <c r="I26">
        <f t="shared" si="6"/>
        <v>3.1904545749302895</v>
      </c>
      <c r="J26">
        <f t="shared" si="6"/>
        <v>0.2826171392253099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4"/>
        <v>2.4001037546203226E-3</v>
      </c>
      <c r="H27">
        <f t="shared" si="5"/>
        <v>7.8952014406270975E-5</v>
      </c>
      <c r="I27">
        <f t="shared" si="6"/>
        <v>2.4001037546203228</v>
      </c>
      <c r="J27">
        <f t="shared" si="6"/>
        <v>7.8952014406270976E-2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4"/>
        <v>3.1655534660527847E-3</v>
      </c>
      <c r="H28">
        <f t="shared" si="5"/>
        <v>5.6523427845061985E-5</v>
      </c>
      <c r="I28">
        <f t="shared" si="6"/>
        <v>3.1655534660527849</v>
      </c>
      <c r="J28">
        <f t="shared" si="6"/>
        <v>5.6523427845061987E-2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B7BA-2195-40A6-926C-C7F6BA3038FF}">
  <dimension ref="A1:J28"/>
  <sheetViews>
    <sheetView workbookViewId="0">
      <selection sqref="A1:XFD1048576"/>
    </sheetView>
  </sheetViews>
  <sheetFormatPr defaultRowHeight="14.4" x14ac:dyDescent="0.3"/>
  <cols>
    <col min="1" max="1" width="14.44140625" bestFit="1" customWidth="1"/>
    <col min="2" max="2" width="18.6640625" bestFit="1" customWidth="1"/>
    <col min="3" max="3" width="15" bestFit="1" customWidth="1"/>
    <col min="4" max="4" width="10.6640625" bestFit="1" customWidth="1"/>
    <col min="5" max="5" width="36.33203125" bestFit="1" customWidth="1"/>
    <col min="6" max="6" width="14.33203125" bestFit="1" customWidth="1"/>
    <col min="7" max="7" width="11.6640625" bestFit="1" customWidth="1"/>
    <col min="8" max="8" width="15.33203125" bestFit="1" customWidth="1"/>
    <col min="9" max="9" width="13.33203125" bestFit="1" customWidth="1"/>
    <col min="10" max="10" width="15.88671875" bestFit="1" customWidth="1"/>
  </cols>
  <sheetData>
    <row r="1" spans="1:9" x14ac:dyDescent="0.3">
      <c r="B1" t="s">
        <v>0</v>
      </c>
      <c r="E1" t="s">
        <v>58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B3">
        <f>G18</f>
        <v>3.6443810388431359</v>
      </c>
      <c r="C3">
        <f>H18</f>
        <v>3.2996843237242865</v>
      </c>
      <c r="E3" t="s">
        <v>83</v>
      </c>
      <c r="F3">
        <v>4088.83837890625</v>
      </c>
      <c r="H3">
        <f>C3/B3</f>
        <v>0.90541693872156981</v>
      </c>
      <c r="I3">
        <f>F3/E3</f>
        <v>0.59693479592655785</v>
      </c>
    </row>
    <row r="4" spans="1:9" x14ac:dyDescent="0.3">
      <c r="A4" t="s">
        <v>5</v>
      </c>
      <c r="B4">
        <f>G17</f>
        <v>4.1735296024901105</v>
      </c>
      <c r="C4">
        <f>H17</f>
        <v>2.6794324764977278</v>
      </c>
      <c r="E4" t="s">
        <v>84</v>
      </c>
      <c r="F4">
        <v>3410.88208007813</v>
      </c>
      <c r="H4">
        <f>C4/B4</f>
        <v>0.64200634276058832</v>
      </c>
      <c r="I4">
        <f>F4/E4</f>
        <v>0.43787895674596355</v>
      </c>
    </row>
    <row r="5" spans="1:9" x14ac:dyDescent="0.3">
      <c r="A5" t="s">
        <v>6</v>
      </c>
      <c r="B5">
        <f>I23</f>
        <v>4.3200830036962587</v>
      </c>
      <c r="C5">
        <f t="shared" ref="B5:C10" si="0">J23</f>
        <v>1.6498421618621433</v>
      </c>
      <c r="E5" t="s">
        <v>85</v>
      </c>
      <c r="F5">
        <v>2050.85498046875</v>
      </c>
      <c r="H5">
        <f t="shared" ref="H5:H10" si="1">C5/B5</f>
        <v>0.38190057007019079</v>
      </c>
      <c r="I5">
        <f t="shared" ref="I5:I10" si="2">F5/E5</f>
        <v>0.26176233507540292</v>
      </c>
    </row>
    <row r="6" spans="1:9" x14ac:dyDescent="0.3">
      <c r="A6" t="s">
        <v>7</v>
      </c>
      <c r="B6">
        <f t="shared" si="0"/>
        <v>4.277284222813047</v>
      </c>
      <c r="C6">
        <f t="shared" si="0"/>
        <v>1.3397162382488639</v>
      </c>
      <c r="E6" t="s">
        <v>86</v>
      </c>
      <c r="F6">
        <v>1710.07690429688</v>
      </c>
      <c r="H6">
        <f t="shared" si="1"/>
        <v>0.31321655715639374</v>
      </c>
      <c r="I6">
        <f t="shared" si="2"/>
        <v>0.21964839949766582</v>
      </c>
    </row>
    <row r="7" spans="1:9" x14ac:dyDescent="0.3">
      <c r="A7" t="s">
        <v>8</v>
      </c>
      <c r="B7">
        <f t="shared" si="0"/>
        <v>4.3291615329745152</v>
      </c>
      <c r="C7">
        <f t="shared" si="0"/>
        <v>0.66985811912443194</v>
      </c>
      <c r="E7" t="s">
        <v>87</v>
      </c>
      <c r="F7">
        <v>836.35101318359398</v>
      </c>
      <c r="H7">
        <f t="shared" si="1"/>
        <v>0.1547316065760615</v>
      </c>
      <c r="I7">
        <f t="shared" si="2"/>
        <v>0.10652721124206971</v>
      </c>
    </row>
    <row r="8" spans="1:9" x14ac:dyDescent="0.3">
      <c r="A8" t="s">
        <v>9</v>
      </c>
      <c r="B8">
        <f t="shared" si="0"/>
        <v>4.8606445755787577</v>
      </c>
      <c r="C8">
        <f t="shared" si="0"/>
        <v>0.32996843237242868</v>
      </c>
      <c r="E8" t="s">
        <v>88</v>
      </c>
      <c r="F8">
        <v>405.81912231445301</v>
      </c>
      <c r="H8">
        <f t="shared" si="1"/>
        <v>6.7885735573072481E-2</v>
      </c>
      <c r="I8">
        <f t="shared" si="2"/>
        <v>4.5993704927979384E-2</v>
      </c>
    </row>
    <row r="9" spans="1:9" x14ac:dyDescent="0.3">
      <c r="A9" t="s">
        <v>10</v>
      </c>
      <c r="B9">
        <f t="shared" si="0"/>
        <v>4.1516114389468903</v>
      </c>
      <c r="C9">
        <f t="shared" si="0"/>
        <v>0.13397162382488639</v>
      </c>
      <c r="E9" t="s">
        <v>89</v>
      </c>
      <c r="F9">
        <v>172.82383999999999</v>
      </c>
      <c r="H9">
        <f t="shared" si="1"/>
        <v>3.2269788682071372E-2</v>
      </c>
      <c r="I9">
        <f t="shared" si="2"/>
        <v>2.1974614399754042E-2</v>
      </c>
    </row>
    <row r="10" spans="1:9" x14ac:dyDescent="0.3">
      <c r="A10" t="s">
        <v>57</v>
      </c>
      <c r="B10">
        <f t="shared" si="0"/>
        <v>4.9687568899552561</v>
      </c>
      <c r="C10">
        <f t="shared" si="0"/>
        <v>6.5993686474485738E-2</v>
      </c>
      <c r="E10">
        <v>9182.7919899999997</v>
      </c>
      <c r="F10">
        <v>89.300799999999995</v>
      </c>
      <c r="H10">
        <f t="shared" si="1"/>
        <v>1.3281729804067756E-2</v>
      </c>
      <c r="I10">
        <f t="shared" si="2"/>
        <v>9.7247983072303052E-3</v>
      </c>
    </row>
    <row r="12" spans="1:9" x14ac:dyDescent="0.3">
      <c r="A12" t="s">
        <v>34</v>
      </c>
      <c r="B12" s="1">
        <v>154.21</v>
      </c>
    </row>
    <row r="13" spans="1:9" x14ac:dyDescent="0.3">
      <c r="A13" t="s">
        <v>11</v>
      </c>
      <c r="B13" s="5">
        <v>288.27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9">
        <v>16.09</v>
      </c>
      <c r="C17" s="9">
        <v>19.309999999999999</v>
      </c>
      <c r="D17">
        <v>25</v>
      </c>
      <c r="E17">
        <f>B17/D17/$B$12</f>
        <v>4.1735296024901104E-3</v>
      </c>
      <c r="F17">
        <f>C17/D17/$B$13</f>
        <v>2.6794324764977278E-3</v>
      </c>
      <c r="G17">
        <f>E17*1000</f>
        <v>4.1735296024901105</v>
      </c>
      <c r="H17">
        <f>1000*F17</f>
        <v>2.6794324764977278</v>
      </c>
    </row>
    <row r="18" spans="1:10" x14ac:dyDescent="0.3">
      <c r="A18" t="s">
        <v>17</v>
      </c>
      <c r="B18" s="9">
        <v>14.05</v>
      </c>
      <c r="C18" s="9">
        <v>23.78</v>
      </c>
      <c r="D18">
        <v>25</v>
      </c>
      <c r="E18">
        <f>B18/D18/$B$12</f>
        <v>3.6443810388431361E-3</v>
      </c>
      <c r="F18">
        <f>C18/D18/$B$13</f>
        <v>3.2996843237242867E-3</v>
      </c>
      <c r="G18">
        <f>E18*1000</f>
        <v>3.6443810388431359</v>
      </c>
      <c r="H18">
        <f>1000*F18</f>
        <v>3.2996843237242865</v>
      </c>
    </row>
    <row r="19" spans="1:10" x14ac:dyDescent="0.3">
      <c r="A19" t="s">
        <v>18</v>
      </c>
      <c r="B19" s="10">
        <v>16.89</v>
      </c>
      <c r="D19">
        <v>25</v>
      </c>
      <c r="E19">
        <f>B19/D19/$B$12</f>
        <v>4.3810388431359832E-3</v>
      </c>
      <c r="G19">
        <f>E19*1000</f>
        <v>4.3810388431359835</v>
      </c>
    </row>
    <row r="20" spans="1:10" x14ac:dyDescent="0.3">
      <c r="A20" t="s">
        <v>19</v>
      </c>
      <c r="B20" s="10">
        <v>19.260000000000002</v>
      </c>
      <c r="D20">
        <v>25</v>
      </c>
      <c r="E20">
        <f>B20/D20/$B$12</f>
        <v>4.995784968549381E-3</v>
      </c>
      <c r="G20">
        <f>E20*1000</f>
        <v>4.9957849685493807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>(D23*$E$18+C23*$E$17+E23*$E$19+F23*$E$20)/B23</f>
        <v>4.3200830036962592E-3</v>
      </c>
      <c r="H23">
        <f t="shared" ref="H23:H28" si="3">(D23*$F$18+C23*$F$17)/B23</f>
        <v>1.6498421618621434E-3</v>
      </c>
      <c r="I23">
        <f>G23*1000</f>
        <v>4.3200830036962587</v>
      </c>
      <c r="J23">
        <f>H23*1000</f>
        <v>1.6498421618621433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ref="G24:G28" si="4">(D24*$E$18+C24*$E$17+E24*$E$19+F24*$E$20)/B24</f>
        <v>4.2772842228130468E-3</v>
      </c>
      <c r="H24">
        <f t="shared" si="3"/>
        <v>1.3397162382488639E-3</v>
      </c>
      <c r="I24">
        <f t="shared" ref="I24:J28" si="5">G24*1000</f>
        <v>4.277284222813047</v>
      </c>
      <c r="J24">
        <f t="shared" si="5"/>
        <v>1.3397162382488639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4"/>
        <v>4.329161532974515E-3</v>
      </c>
      <c r="H25">
        <f t="shared" si="3"/>
        <v>6.6985811912443195E-4</v>
      </c>
      <c r="I25">
        <f t="shared" si="5"/>
        <v>4.3291615329745152</v>
      </c>
      <c r="J25">
        <f t="shared" si="5"/>
        <v>0.66985811912443194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4"/>
        <v>4.8606445755787573E-3</v>
      </c>
      <c r="H26">
        <f t="shared" si="3"/>
        <v>3.299684323724287E-4</v>
      </c>
      <c r="I26">
        <f t="shared" si="5"/>
        <v>4.8606445755787577</v>
      </c>
      <c r="J26">
        <f t="shared" si="5"/>
        <v>0.32996843237242868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4"/>
        <v>4.1516114389468905E-3</v>
      </c>
      <c r="H27">
        <f t="shared" si="3"/>
        <v>1.339716238248864E-4</v>
      </c>
      <c r="I27">
        <f t="shared" si="5"/>
        <v>4.1516114389468903</v>
      </c>
      <c r="J27">
        <f t="shared" si="5"/>
        <v>0.13397162382488639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4"/>
        <v>4.9687568899552557E-3</v>
      </c>
      <c r="H28">
        <f t="shared" si="3"/>
        <v>6.5993686474485739E-5</v>
      </c>
      <c r="I28">
        <f t="shared" si="5"/>
        <v>4.9687568899552561</v>
      </c>
      <c r="J28">
        <f t="shared" si="5"/>
        <v>6.5993686474485738E-2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6386-E92C-47DE-A7C9-0B7D3FA02D8A}">
  <dimension ref="A1:J28"/>
  <sheetViews>
    <sheetView workbookViewId="0">
      <selection sqref="A1:T39"/>
    </sheetView>
  </sheetViews>
  <sheetFormatPr defaultRowHeight="14.4" x14ac:dyDescent="0.3"/>
  <sheetData>
    <row r="1" spans="1:9" x14ac:dyDescent="0.3">
      <c r="B1" t="s">
        <v>0</v>
      </c>
      <c r="E1" t="s">
        <v>58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3.8830166655858895</v>
      </c>
      <c r="C3">
        <f>H18</f>
        <v>2.4200229749016602</v>
      </c>
      <c r="E3" t="s">
        <v>59</v>
      </c>
      <c r="F3">
        <v>2804.91748046875</v>
      </c>
      <c r="H3">
        <f t="shared" ref="H3:H10" si="0">C3/B3</f>
        <v>0.62323270367332162</v>
      </c>
      <c r="I3">
        <f>F3/E3</f>
        <v>0.61809193105396909</v>
      </c>
    </row>
    <row r="4" spans="1:9" x14ac:dyDescent="0.3">
      <c r="A4" t="s">
        <v>5</v>
      </c>
      <c r="B4">
        <f>G17</f>
        <v>3.4809675118345109</v>
      </c>
      <c r="C4">
        <f>H17</f>
        <v>1.6402687367285131</v>
      </c>
      <c r="E4" t="s">
        <v>60</v>
      </c>
      <c r="F4">
        <v>1875.40515136719</v>
      </c>
      <c r="H4">
        <f t="shared" si="0"/>
        <v>0.47121058474460514</v>
      </c>
      <c r="I4">
        <f>F4/E4</f>
        <v>0.47043072223931581</v>
      </c>
    </row>
    <row r="5" spans="1:9" x14ac:dyDescent="0.3">
      <c r="A5" t="s">
        <v>6</v>
      </c>
      <c r="B5">
        <f t="shared" ref="B5:C10" si="1">I23</f>
        <v>4.9685493807146104</v>
      </c>
      <c r="C5">
        <f t="shared" si="1"/>
        <v>1.2100114874508301</v>
      </c>
      <c r="E5" t="s">
        <v>61</v>
      </c>
      <c r="F5">
        <v>1366.31042480469</v>
      </c>
      <c r="H5">
        <f t="shared" si="0"/>
        <v>0.24353415750429716</v>
      </c>
      <c r="I5">
        <f t="shared" ref="I5:I10" si="2">F5/E5</f>
        <v>0.24197627732855204</v>
      </c>
    </row>
    <row r="6" spans="1:9" x14ac:dyDescent="0.3">
      <c r="A6" t="s">
        <v>7</v>
      </c>
      <c r="B6">
        <f t="shared" si="1"/>
        <v>3.6171454510083647</v>
      </c>
      <c r="C6">
        <f t="shared" si="1"/>
        <v>0.82013436836425657</v>
      </c>
      <c r="E6" t="s">
        <v>62</v>
      </c>
      <c r="F6">
        <v>928.50183105468795</v>
      </c>
      <c r="H6">
        <f t="shared" si="0"/>
        <v>0.22673524730271069</v>
      </c>
      <c r="I6">
        <f t="shared" si="2"/>
        <v>0.22446411288908952</v>
      </c>
    </row>
    <row r="7" spans="1:9" x14ac:dyDescent="0.3">
      <c r="A7" t="s">
        <v>8</v>
      </c>
      <c r="B7">
        <f t="shared" si="1"/>
        <v>3.6852344205952914</v>
      </c>
      <c r="C7">
        <f t="shared" si="1"/>
        <v>0.41006718418212829</v>
      </c>
      <c r="E7" t="s">
        <v>63</v>
      </c>
      <c r="F7">
        <v>458.923919677735</v>
      </c>
      <c r="H7">
        <f t="shared" si="0"/>
        <v>0.11127302564266411</v>
      </c>
      <c r="I7">
        <f t="shared" si="2"/>
        <v>0.10811658614179211</v>
      </c>
    </row>
    <row r="8" spans="1:9" x14ac:dyDescent="0.3">
      <c r="A8" t="s">
        <v>9</v>
      </c>
      <c r="B8">
        <f t="shared" si="1"/>
        <v>5.8369755528175862</v>
      </c>
      <c r="C8">
        <f t="shared" si="1"/>
        <v>0.24200229749016602</v>
      </c>
      <c r="E8" t="s">
        <v>64</v>
      </c>
      <c r="F8">
        <v>266.15881347656301</v>
      </c>
      <c r="H8">
        <f t="shared" si="0"/>
        <v>4.1460221188239908E-2</v>
      </c>
      <c r="I8">
        <f t="shared" si="2"/>
        <v>3.9909777599259948E-2</v>
      </c>
    </row>
    <row r="9" spans="1:9" x14ac:dyDescent="0.3">
      <c r="A9" t="s">
        <v>10</v>
      </c>
      <c r="B9">
        <f t="shared" si="1"/>
        <v>3.552039426755722</v>
      </c>
      <c r="C9">
        <f t="shared" si="1"/>
        <v>8.2013436836425646E-2</v>
      </c>
      <c r="E9" t="s">
        <v>65</v>
      </c>
      <c r="F9">
        <v>86.800025939941406</v>
      </c>
      <c r="H9">
        <f t="shared" si="0"/>
        <v>2.3089112192466045E-2</v>
      </c>
      <c r="I9">
        <f t="shared" si="2"/>
        <v>2.0362434176147446E-2</v>
      </c>
    </row>
    <row r="10" spans="1:9" x14ac:dyDescent="0.3">
      <c r="A10" t="s">
        <v>57</v>
      </c>
      <c r="B10">
        <f t="shared" si="1"/>
        <v>6.0106607872381819</v>
      </c>
      <c r="C10">
        <f t="shared" si="1"/>
        <v>4.8400459498033205E-2</v>
      </c>
      <c r="E10" t="s">
        <v>66</v>
      </c>
      <c r="F10">
        <v>49.301834106445298</v>
      </c>
      <c r="H10">
        <f t="shared" si="0"/>
        <v>8.0524356990494157E-3</v>
      </c>
      <c r="I10">
        <f t="shared" si="2"/>
        <v>7.2850014303746623E-3</v>
      </c>
    </row>
    <row r="12" spans="1:9" x14ac:dyDescent="0.3">
      <c r="A12" t="s">
        <v>34</v>
      </c>
      <c r="B12" s="1">
        <v>154.21</v>
      </c>
      <c r="E12" t="s">
        <v>56</v>
      </c>
      <c r="F12">
        <v>54.827922821045</v>
      </c>
    </row>
    <row r="13" spans="1:9" x14ac:dyDescent="0.3">
      <c r="A13" t="s">
        <v>11</v>
      </c>
      <c r="B13">
        <v>287.27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8">
        <v>13.42</v>
      </c>
      <c r="C17" s="6">
        <v>11.78</v>
      </c>
      <c r="D17">
        <v>25</v>
      </c>
      <c r="E17">
        <f>B17/D17/$B$12</f>
        <v>3.4809675118345107E-3</v>
      </c>
      <c r="F17">
        <f>C17/D17/$B$13</f>
        <v>1.6402687367285131E-3</v>
      </c>
      <c r="G17">
        <f>E17*1000</f>
        <v>3.4809675118345109</v>
      </c>
      <c r="H17">
        <f>1000*F17</f>
        <v>1.6402687367285131</v>
      </c>
    </row>
    <row r="18" spans="1:10" x14ac:dyDescent="0.3">
      <c r="A18" t="s">
        <v>17</v>
      </c>
      <c r="B18" s="8">
        <v>14.97</v>
      </c>
      <c r="C18" s="8">
        <v>17.38</v>
      </c>
      <c r="D18">
        <v>25</v>
      </c>
      <c r="E18">
        <f>B18/D18/$B$12</f>
        <v>3.8830166655858893E-3</v>
      </c>
      <c r="F18">
        <f>C18/D18/$B$13</f>
        <v>2.4200229749016602E-3</v>
      </c>
      <c r="G18">
        <f>E18*1000</f>
        <v>3.8830166655858895</v>
      </c>
      <c r="H18">
        <f>1000*F18</f>
        <v>2.4200229749016602</v>
      </c>
    </row>
    <row r="19" spans="1:10" x14ac:dyDescent="0.3">
      <c r="A19" t="s">
        <v>18</v>
      </c>
      <c r="B19" s="8">
        <v>14.47</v>
      </c>
      <c r="D19">
        <v>25</v>
      </c>
      <c r="E19">
        <f>B19/D19/$B$12</f>
        <v>3.7533233901822188E-3</v>
      </c>
      <c r="G19">
        <f>E19*1000</f>
        <v>3.7533233901822189</v>
      </c>
    </row>
    <row r="20" spans="1:10" x14ac:dyDescent="0.3">
      <c r="A20" t="s">
        <v>19</v>
      </c>
      <c r="B20" s="8">
        <v>23.34</v>
      </c>
      <c r="D20">
        <v>25</v>
      </c>
      <c r="E20">
        <f>B20/D20/$B$12</f>
        <v>6.0540820958433304E-3</v>
      </c>
      <c r="G20">
        <f>E20*1000</f>
        <v>6.0540820958433308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4.9685493807146101E-3</v>
      </c>
      <c r="H23">
        <f t="shared" ref="H23:H28" si="4">(D23*$F$18+C23*$F$17)/B23</f>
        <v>1.2100114874508301E-3</v>
      </c>
      <c r="I23">
        <f>G23*1000</f>
        <v>4.9685493807146104</v>
      </c>
      <c r="J23">
        <f>H23*1000</f>
        <v>1.2100114874508301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3.6171454510083648E-3</v>
      </c>
      <c r="H24">
        <f t="shared" si="4"/>
        <v>8.2013436836425656E-4</v>
      </c>
      <c r="I24">
        <f t="shared" ref="I24:J28" si="5">G24*1000</f>
        <v>3.6171454510083647</v>
      </c>
      <c r="J24">
        <f t="shared" si="5"/>
        <v>0.82013436836425657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3.6852344205952916E-3</v>
      </c>
      <c r="H25">
        <f t="shared" si="4"/>
        <v>4.1006718418212828E-4</v>
      </c>
      <c r="I25">
        <f t="shared" si="5"/>
        <v>3.6852344205952914</v>
      </c>
      <c r="J25">
        <f t="shared" si="5"/>
        <v>0.41006718418212829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5.8369755528175863E-3</v>
      </c>
      <c r="H26">
        <f t="shared" si="4"/>
        <v>2.4200229749016602E-4</v>
      </c>
      <c r="I26">
        <f t="shared" si="5"/>
        <v>5.8369755528175862</v>
      </c>
      <c r="J26">
        <f t="shared" si="5"/>
        <v>0.24200229749016602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3.5520394267557222E-3</v>
      </c>
      <c r="H27">
        <f t="shared" si="4"/>
        <v>8.201343683642565E-5</v>
      </c>
      <c r="I27">
        <f t="shared" si="5"/>
        <v>3.552039426755722</v>
      </c>
      <c r="J27">
        <f t="shared" si="5"/>
        <v>8.2013436836425646E-2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6.0106607872381819E-3</v>
      </c>
      <c r="H28">
        <f t="shared" si="4"/>
        <v>4.8400459498033208E-5</v>
      </c>
      <c r="I28">
        <f t="shared" si="5"/>
        <v>6.0106607872381819</v>
      </c>
      <c r="J28">
        <f t="shared" si="5"/>
        <v>4.8400459498033205E-2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F7F0-5739-4635-9974-A00B2CE63F29}">
  <dimension ref="A1:J32"/>
  <sheetViews>
    <sheetView workbookViewId="0">
      <selection activeCell="C31" sqref="C31:C32"/>
    </sheetView>
  </sheetViews>
  <sheetFormatPr defaultRowHeight="14.4" x14ac:dyDescent="0.3"/>
  <sheetData>
    <row r="1" spans="1:9" x14ac:dyDescent="0.3">
      <c r="B1" t="s">
        <v>0</v>
      </c>
      <c r="E1" t="s">
        <v>1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3.8830166655858895</v>
      </c>
      <c r="C3">
        <f>H18</f>
        <v>2.8597817534977596</v>
      </c>
      <c r="E3" t="s">
        <v>59</v>
      </c>
      <c r="F3">
        <v>1399.96118164063</v>
      </c>
      <c r="H3">
        <f>C3/B3</f>
        <v>0.73648454276367648</v>
      </c>
      <c r="I3">
        <f>F3/E3</f>
        <v>0.30849560323473263</v>
      </c>
    </row>
    <row r="4" spans="1:9" x14ac:dyDescent="0.3">
      <c r="A4" t="s">
        <v>5</v>
      </c>
      <c r="B4">
        <f>G17</f>
        <v>3.4809675118345109</v>
      </c>
      <c r="C4">
        <f>H17</f>
        <v>2.0853145417849692</v>
      </c>
      <c r="E4" t="s">
        <v>60</v>
      </c>
      <c r="F4">
        <v>1010.21868896485</v>
      </c>
      <c r="H4">
        <f t="shared" ref="H4:H10" si="0">C4/B4</f>
        <v>0.59906176506829389</v>
      </c>
      <c r="I4">
        <f>F4/E4</f>
        <v>0.25340546128015895</v>
      </c>
    </row>
    <row r="5" spans="1:9" x14ac:dyDescent="0.3">
      <c r="A5" t="s">
        <v>6</v>
      </c>
      <c r="B5">
        <f t="shared" ref="B5:C10" si="1">I23</f>
        <v>4.9685493807146104</v>
      </c>
      <c r="C5">
        <f t="shared" si="1"/>
        <v>1.4298908767488798</v>
      </c>
      <c r="E5" t="s">
        <v>61</v>
      </c>
      <c r="F5">
        <v>693.98004150390602</v>
      </c>
      <c r="H5">
        <f t="shared" si="0"/>
        <v>0.28778840003059875</v>
      </c>
      <c r="I5">
        <f t="shared" ref="I5:I10" si="2">F5/E5</f>
        <v>0.12290523729805679</v>
      </c>
    </row>
    <row r="6" spans="1:9" x14ac:dyDescent="0.3">
      <c r="A6" t="s">
        <v>7</v>
      </c>
      <c r="B6">
        <f t="shared" si="1"/>
        <v>3.6171454510083647</v>
      </c>
      <c r="C6">
        <f t="shared" si="1"/>
        <v>1.0426572708924846</v>
      </c>
      <c r="E6" t="s">
        <v>62</v>
      </c>
      <c r="F6">
        <v>514.13372802734398</v>
      </c>
      <c r="H6">
        <f t="shared" si="0"/>
        <v>0.28825417308054874</v>
      </c>
      <c r="I6">
        <f t="shared" si="2"/>
        <v>0.12429116164146903</v>
      </c>
    </row>
    <row r="7" spans="1:9" x14ac:dyDescent="0.3">
      <c r="A7" t="s">
        <v>8</v>
      </c>
      <c r="B7">
        <f t="shared" si="1"/>
        <v>3.6852344205952914</v>
      </c>
      <c r="C7">
        <f t="shared" si="1"/>
        <v>0.52132863544624231</v>
      </c>
      <c r="E7" t="s">
        <v>63</v>
      </c>
      <c r="F7">
        <v>266.70504760742199</v>
      </c>
      <c r="H7">
        <f t="shared" si="0"/>
        <v>0.1414641718672621</v>
      </c>
      <c r="I7">
        <f t="shared" si="2"/>
        <v>6.2832286611574417E-2</v>
      </c>
    </row>
    <row r="8" spans="1:9" x14ac:dyDescent="0.3">
      <c r="A8" t="s">
        <v>9</v>
      </c>
      <c r="B8">
        <f t="shared" si="1"/>
        <v>5.8369755528175862</v>
      </c>
      <c r="C8">
        <f t="shared" si="1"/>
        <v>0.28597817534977593</v>
      </c>
      <c r="E8" t="s">
        <v>64</v>
      </c>
      <c r="F8">
        <v>150.82817077636699</v>
      </c>
      <c r="H8">
        <f t="shared" si="0"/>
        <v>4.8994239013341497E-2</v>
      </c>
      <c r="I8">
        <f t="shared" si="2"/>
        <v>2.2616266854969511E-2</v>
      </c>
    </row>
    <row r="9" spans="1:9" x14ac:dyDescent="0.3">
      <c r="A9" t="s">
        <v>10</v>
      </c>
      <c r="B9">
        <f t="shared" si="1"/>
        <v>3.552039426755722</v>
      </c>
      <c r="C9">
        <f t="shared" si="1"/>
        <v>0.10426572708924846</v>
      </c>
      <c r="E9" t="s">
        <v>65</v>
      </c>
      <c r="F9">
        <v>65.650177001953196</v>
      </c>
      <c r="H9">
        <f t="shared" si="0"/>
        <v>2.9353764010575815E-2</v>
      </c>
      <c r="I9">
        <f t="shared" si="2"/>
        <v>1.5400887193048267E-2</v>
      </c>
    </row>
    <row r="10" spans="1:9" x14ac:dyDescent="0.3">
      <c r="A10" t="s">
        <v>57</v>
      </c>
      <c r="B10">
        <f t="shared" si="1"/>
        <v>6.0106607872381819</v>
      </c>
      <c r="C10">
        <f t="shared" si="1"/>
        <v>5.7195635069955196E-2</v>
      </c>
      <c r="E10" t="s">
        <v>66</v>
      </c>
      <c r="F10">
        <v>43.160915374755902</v>
      </c>
      <c r="H10">
        <f t="shared" si="0"/>
        <v>9.5156983723641182E-3</v>
      </c>
      <c r="I10">
        <f t="shared" si="2"/>
        <v>6.3775990475833221E-3</v>
      </c>
    </row>
    <row r="12" spans="1:9" x14ac:dyDescent="0.3">
      <c r="A12" t="s">
        <v>34</v>
      </c>
      <c r="B12" s="1">
        <v>154.21</v>
      </c>
    </row>
    <row r="13" spans="1:9" x14ac:dyDescent="0.3">
      <c r="A13" t="s">
        <v>11</v>
      </c>
      <c r="B13">
        <v>292.33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8">
        <v>13.42</v>
      </c>
      <c r="C17" s="8">
        <v>15.24</v>
      </c>
      <c r="D17">
        <v>25</v>
      </c>
      <c r="E17">
        <f>B17/D17/$B$12</f>
        <v>3.4809675118345107E-3</v>
      </c>
      <c r="F17">
        <f>C17/D17/$B$13</f>
        <v>2.0853145417849693E-3</v>
      </c>
      <c r="G17">
        <f>E17*1000</f>
        <v>3.4809675118345109</v>
      </c>
      <c r="H17">
        <f>1000*F17</f>
        <v>2.0853145417849692</v>
      </c>
    </row>
    <row r="18" spans="1:10" x14ac:dyDescent="0.3">
      <c r="A18" t="s">
        <v>17</v>
      </c>
      <c r="B18" s="8">
        <v>14.97</v>
      </c>
      <c r="C18" s="8">
        <v>20.9</v>
      </c>
      <c r="D18">
        <v>25</v>
      </c>
      <c r="E18">
        <f>B18/D18/$B$12</f>
        <v>3.8830166655858893E-3</v>
      </c>
      <c r="F18">
        <f>C18/D18/$B$13</f>
        <v>2.8597817534977595E-3</v>
      </c>
      <c r="G18">
        <f>E18*1000</f>
        <v>3.8830166655858895</v>
      </c>
      <c r="H18">
        <f>1000*F18</f>
        <v>2.8597817534977596</v>
      </c>
    </row>
    <row r="19" spans="1:10" x14ac:dyDescent="0.3">
      <c r="A19" t="s">
        <v>18</v>
      </c>
      <c r="B19" s="8">
        <v>14.47</v>
      </c>
      <c r="D19">
        <v>25</v>
      </c>
      <c r="E19">
        <f>B19/D19/$B$12</f>
        <v>3.7533233901822188E-3</v>
      </c>
      <c r="G19">
        <f>E19*1000</f>
        <v>3.7533233901822189</v>
      </c>
    </row>
    <row r="20" spans="1:10" x14ac:dyDescent="0.3">
      <c r="A20" t="s">
        <v>19</v>
      </c>
      <c r="B20" s="8">
        <v>23.34</v>
      </c>
      <c r="D20">
        <v>25</v>
      </c>
      <c r="E20">
        <f>B20/D20/$B$12</f>
        <v>6.0540820958433304E-3</v>
      </c>
      <c r="G20">
        <f>E20*1000</f>
        <v>6.0540820958433308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4.9685493807146101E-3</v>
      </c>
      <c r="H23">
        <f t="shared" ref="H23:H28" si="4">(D23*$F$18+C23*$F$17)/B23</f>
        <v>1.4298908767488797E-3</v>
      </c>
      <c r="I23">
        <f>G23*1000</f>
        <v>4.9685493807146104</v>
      </c>
      <c r="J23">
        <f>H23*1000</f>
        <v>1.4298908767488798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3.6171454510083648E-3</v>
      </c>
      <c r="H24">
        <f t="shared" si="4"/>
        <v>1.0426572708924847E-3</v>
      </c>
      <c r="I24">
        <f t="shared" ref="I24:J28" si="5">G24*1000</f>
        <v>3.6171454510083647</v>
      </c>
      <c r="J24">
        <f t="shared" si="5"/>
        <v>1.0426572708924846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3.6852344205952916E-3</v>
      </c>
      <c r="H25">
        <f t="shared" si="4"/>
        <v>5.2132863544624233E-4</v>
      </c>
      <c r="I25">
        <f t="shared" si="5"/>
        <v>3.6852344205952914</v>
      </c>
      <c r="J25">
        <f t="shared" si="5"/>
        <v>0.52132863544624231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5.8369755528175863E-3</v>
      </c>
      <c r="H26">
        <f t="shared" si="4"/>
        <v>2.8597817534977592E-4</v>
      </c>
      <c r="I26">
        <f t="shared" si="5"/>
        <v>5.8369755528175862</v>
      </c>
      <c r="J26">
        <f t="shared" si="5"/>
        <v>0.28597817534977593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3.5520394267557222E-3</v>
      </c>
      <c r="H27">
        <f t="shared" si="4"/>
        <v>1.0426572708924846E-4</v>
      </c>
      <c r="I27">
        <f t="shared" si="5"/>
        <v>3.552039426755722</v>
      </c>
      <c r="J27">
        <f t="shared" si="5"/>
        <v>0.10426572708924846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6.0106607872381819E-3</v>
      </c>
      <c r="H28">
        <f t="shared" si="4"/>
        <v>5.7195635069955198E-5</v>
      </c>
      <c r="I28">
        <f t="shared" si="5"/>
        <v>6.0106607872381819</v>
      </c>
      <c r="J28">
        <f t="shared" si="5"/>
        <v>5.7195635069955196E-2</v>
      </c>
    </row>
    <row r="31" spans="1:10" x14ac:dyDescent="0.3">
      <c r="C31" s="2"/>
    </row>
    <row r="32" spans="1:10" x14ac:dyDescent="0.3">
      <c r="C32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CF18-F337-4D83-8426-E2D35DF420DA}">
  <dimension ref="A1:J32"/>
  <sheetViews>
    <sheetView workbookViewId="0">
      <selection sqref="A1:Q63"/>
    </sheetView>
  </sheetViews>
  <sheetFormatPr defaultRowHeight="14.4" x14ac:dyDescent="0.3"/>
  <sheetData>
    <row r="1" spans="1:9" x14ac:dyDescent="0.3">
      <c r="B1" t="s">
        <v>0</v>
      </c>
      <c r="E1" t="s">
        <v>1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5.1514168990337845</v>
      </c>
      <c r="C3">
        <f>H18</f>
        <v>1.796317173994739</v>
      </c>
      <c r="E3" t="s">
        <v>75</v>
      </c>
      <c r="F3">
        <v>2034.2</v>
      </c>
      <c r="H3">
        <f t="shared" ref="H3:H10" si="0">C3/B3</f>
        <v>0.34870351384910464</v>
      </c>
      <c r="I3">
        <f t="shared" ref="I3:I10" si="1">F3/E3</f>
        <v>0.45165301183418821</v>
      </c>
    </row>
    <row r="4" spans="1:9" x14ac:dyDescent="0.3">
      <c r="A4" t="s">
        <v>5</v>
      </c>
      <c r="B4">
        <f>G17</f>
        <v>3.6365994423189152</v>
      </c>
      <c r="C4">
        <f>H17</f>
        <v>2.230990855568082</v>
      </c>
      <c r="E4" t="s">
        <v>76</v>
      </c>
      <c r="F4">
        <v>2519</v>
      </c>
      <c r="H4">
        <f t="shared" si="0"/>
        <v>0.61348270299064545</v>
      </c>
      <c r="I4">
        <f t="shared" si="1"/>
        <v>0.80054662175046087</v>
      </c>
    </row>
    <row r="5" spans="1:9" x14ac:dyDescent="0.3">
      <c r="A5" t="s">
        <v>6</v>
      </c>
      <c r="B5">
        <f t="shared" ref="B5:C10" si="2">I23</f>
        <v>5.1890279489008488</v>
      </c>
      <c r="C5">
        <f t="shared" si="2"/>
        <v>0.89815858699736939</v>
      </c>
      <c r="E5" t="s">
        <v>77</v>
      </c>
      <c r="F5">
        <v>1020.3</v>
      </c>
      <c r="H5">
        <f t="shared" si="0"/>
        <v>0.17308802262042533</v>
      </c>
      <c r="I5">
        <f t="shared" si="1"/>
        <v>0.22383344667968319</v>
      </c>
    </row>
    <row r="6" spans="1:9" x14ac:dyDescent="0.3">
      <c r="A6" t="s">
        <v>7</v>
      </c>
      <c r="B6">
        <f t="shared" si="2"/>
        <v>3.862265741521302</v>
      </c>
      <c r="C6">
        <f t="shared" si="2"/>
        <v>1.115495427784041</v>
      </c>
      <c r="E6" t="s">
        <v>78</v>
      </c>
      <c r="F6">
        <v>1276.0999999999999</v>
      </c>
      <c r="H6">
        <f t="shared" si="0"/>
        <v>0.28881892195865844</v>
      </c>
      <c r="I6">
        <f t="shared" si="1"/>
        <v>0.37852990033222589</v>
      </c>
    </row>
    <row r="7" spans="1:9" x14ac:dyDescent="0.3">
      <c r="A7" t="s">
        <v>8</v>
      </c>
      <c r="B7">
        <f t="shared" si="2"/>
        <v>3.9750988911224949</v>
      </c>
      <c r="C7">
        <f t="shared" si="2"/>
        <v>0.55774771389202049</v>
      </c>
      <c r="E7" t="s">
        <v>79</v>
      </c>
      <c r="F7">
        <v>634.29999999999995</v>
      </c>
      <c r="H7">
        <f t="shared" si="0"/>
        <v>0.14031039960732217</v>
      </c>
      <c r="I7">
        <f t="shared" si="1"/>
        <v>0.18065048986101617</v>
      </c>
    </row>
    <row r="8" spans="1:9" x14ac:dyDescent="0.3">
      <c r="A8" t="s">
        <v>9</v>
      </c>
      <c r="B8">
        <f t="shared" si="2"/>
        <v>5.2191167887945005</v>
      </c>
      <c r="C8">
        <f t="shared" si="2"/>
        <v>0.17963171739947389</v>
      </c>
      <c r="E8" t="s">
        <v>80</v>
      </c>
      <c r="F8">
        <v>199.1</v>
      </c>
      <c r="H8">
        <f t="shared" si="0"/>
        <v>3.4418029844655924E-2</v>
      </c>
      <c r="I8">
        <f t="shared" si="1"/>
        <v>4.3789038444620391E-2</v>
      </c>
    </row>
    <row r="9" spans="1:9" x14ac:dyDescent="0.3">
      <c r="A9" t="s">
        <v>10</v>
      </c>
      <c r="B9">
        <f t="shared" si="2"/>
        <v>3.8609688087672658</v>
      </c>
      <c r="C9">
        <f t="shared" si="2"/>
        <v>0.11154954277840411</v>
      </c>
      <c r="E9" t="s">
        <v>81</v>
      </c>
      <c r="F9">
        <v>125</v>
      </c>
      <c r="H9">
        <f t="shared" si="0"/>
        <v>2.889159387278753E-2</v>
      </c>
      <c r="I9">
        <f t="shared" si="1"/>
        <v>3.4811184137239611E-2</v>
      </c>
    </row>
    <row r="10" spans="1:9" x14ac:dyDescent="0.3">
      <c r="A10" t="s">
        <v>57</v>
      </c>
      <c r="B10">
        <f t="shared" si="2"/>
        <v>5.2251345567732308</v>
      </c>
      <c r="C10">
        <f t="shared" si="2"/>
        <v>3.5926343479894776E-2</v>
      </c>
      <c r="E10" t="s">
        <v>82</v>
      </c>
      <c r="F10">
        <v>38.299999999999997</v>
      </c>
      <c r="H10">
        <f t="shared" si="0"/>
        <v>6.8756781456133448E-3</v>
      </c>
      <c r="I10">
        <f t="shared" si="1"/>
        <v>8.4803932422558275E-3</v>
      </c>
    </row>
    <row r="12" spans="1:9" x14ac:dyDescent="0.3">
      <c r="A12" t="s">
        <v>34</v>
      </c>
      <c r="B12" s="1">
        <v>154.21</v>
      </c>
    </row>
    <row r="13" spans="1:9" x14ac:dyDescent="0.3">
      <c r="A13" t="s">
        <v>11</v>
      </c>
      <c r="B13">
        <v>319.32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8">
        <v>14.02</v>
      </c>
      <c r="C17" s="8">
        <v>17.809999999999999</v>
      </c>
      <c r="D17">
        <v>25</v>
      </c>
      <c r="E17">
        <f>B17/D17/$B$12</f>
        <v>3.6365994423189153E-3</v>
      </c>
      <c r="F17">
        <f>C17/D17/$B$13</f>
        <v>2.2309908555680821E-3</v>
      </c>
      <c r="G17">
        <f>E17*1000</f>
        <v>3.6365994423189152</v>
      </c>
      <c r="H17">
        <f>1000*F17</f>
        <v>2.230990855568082</v>
      </c>
    </row>
    <row r="18" spans="1:10" x14ac:dyDescent="0.3">
      <c r="A18" t="s">
        <v>17</v>
      </c>
      <c r="B18" s="8">
        <v>19.86</v>
      </c>
      <c r="C18" s="8">
        <v>14.34</v>
      </c>
      <c r="D18">
        <v>25</v>
      </c>
      <c r="E18">
        <f>B18/D18/$B$12</f>
        <v>5.1514168990337847E-3</v>
      </c>
      <c r="F18">
        <f>C18/D18/$B$13</f>
        <v>1.7963171739947389E-3</v>
      </c>
      <c r="G18">
        <f>E18*1000</f>
        <v>5.1514168990337845</v>
      </c>
      <c r="H18">
        <f>1000*F18</f>
        <v>1.796317173994739</v>
      </c>
    </row>
    <row r="19" spans="1:10" x14ac:dyDescent="0.3">
      <c r="A19" t="s">
        <v>18</v>
      </c>
      <c r="B19" s="8">
        <v>15.76</v>
      </c>
      <c r="D19">
        <v>25</v>
      </c>
      <c r="E19">
        <f>B19/D19/$B$12</f>
        <v>4.0879320407236882E-3</v>
      </c>
      <c r="G19">
        <f>E19*1000</f>
        <v>4.0879320407236879</v>
      </c>
    </row>
    <row r="20" spans="1:10" x14ac:dyDescent="0.3">
      <c r="A20" t="s">
        <v>19</v>
      </c>
      <c r="B20" s="8">
        <v>20.149999999999999</v>
      </c>
      <c r="D20">
        <v>25</v>
      </c>
      <c r="E20">
        <f>B20/D20/$B$12</f>
        <v>5.2266389987679135E-3</v>
      </c>
      <c r="G20">
        <f>E20*1000</f>
        <v>5.2266389987679132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5.1890279489008491E-3</v>
      </c>
      <c r="H23">
        <f t="shared" ref="H23:H28" si="4">(D23*$F$18+C23*$F$17)/B23</f>
        <v>8.9815858699736936E-4</v>
      </c>
      <c r="I23">
        <f>G23*1000</f>
        <v>5.1890279489008488</v>
      </c>
      <c r="J23">
        <f>H23*1000</f>
        <v>0.89815858699736939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3.862265741521302E-3</v>
      </c>
      <c r="H24">
        <f t="shared" si="4"/>
        <v>1.115495427784041E-3</v>
      </c>
      <c r="I24">
        <f t="shared" ref="I24:J28" si="5">G24*1000</f>
        <v>3.862265741521302</v>
      </c>
      <c r="J24">
        <f t="shared" si="5"/>
        <v>1.115495427784041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3.9750988911224951E-3</v>
      </c>
      <c r="H25">
        <f t="shared" si="4"/>
        <v>5.5774771389202052E-4</v>
      </c>
      <c r="I25">
        <f t="shared" si="5"/>
        <v>3.9750988911224949</v>
      </c>
      <c r="J25">
        <f t="shared" si="5"/>
        <v>0.55774771389202049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5.2191167887945004E-3</v>
      </c>
      <c r="H26">
        <f t="shared" si="4"/>
        <v>1.7963171739947389E-4</v>
      </c>
      <c r="I26">
        <f t="shared" si="5"/>
        <v>5.2191167887945005</v>
      </c>
      <c r="J26">
        <f t="shared" si="5"/>
        <v>0.17963171739947389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3.8609688087672656E-3</v>
      </c>
      <c r="H27">
        <f t="shared" si="4"/>
        <v>1.115495427784041E-4</v>
      </c>
      <c r="I27">
        <f t="shared" si="5"/>
        <v>3.8609688087672658</v>
      </c>
      <c r="J27">
        <f t="shared" si="5"/>
        <v>0.11154954277840411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5.225134556773231E-3</v>
      </c>
      <c r="H28">
        <f t="shared" si="4"/>
        <v>3.5926343479894776E-5</v>
      </c>
      <c r="I28">
        <f t="shared" si="5"/>
        <v>5.2251345567732308</v>
      </c>
      <c r="J28">
        <f t="shared" si="5"/>
        <v>3.5926343479894776E-2</v>
      </c>
    </row>
    <row r="31" spans="1:10" x14ac:dyDescent="0.3">
      <c r="C31" s="6">
        <v>15.74</v>
      </c>
    </row>
    <row r="32" spans="1:10" x14ac:dyDescent="0.3">
      <c r="C32" s="6">
        <v>10.35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75C5-62F9-4B5C-BE04-A0DACABC6ADB}">
  <dimension ref="A1:N35"/>
  <sheetViews>
    <sheetView workbookViewId="0">
      <selection activeCell="P33" sqref="P33"/>
    </sheetView>
  </sheetViews>
  <sheetFormatPr defaultRowHeight="14.4" x14ac:dyDescent="0.3"/>
  <sheetData>
    <row r="1" spans="1:9" x14ac:dyDescent="0.3">
      <c r="B1" t="s">
        <v>0</v>
      </c>
      <c r="E1" t="s">
        <v>58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5.1514168990337845</v>
      </c>
      <c r="C3">
        <f>H18</f>
        <v>4.2777846305661784</v>
      </c>
      <c r="E3" t="s">
        <v>75</v>
      </c>
      <c r="F3">
        <v>3489.7</v>
      </c>
      <c r="H3">
        <f t="shared" ref="H3:H10" si="0">C3/B3</f>
        <v>0.83040932512539078</v>
      </c>
      <c r="I3">
        <f>F3/E3</f>
        <v>0.77481738049246207</v>
      </c>
    </row>
    <row r="4" spans="1:9" x14ac:dyDescent="0.3">
      <c r="A4" t="s">
        <v>5</v>
      </c>
      <c r="B4">
        <f>G17</f>
        <v>3.6365994423189152</v>
      </c>
      <c r="C4">
        <f>H17</f>
        <v>3.6018255828296533</v>
      </c>
      <c r="E4" t="s">
        <v>76</v>
      </c>
      <c r="F4">
        <v>2928.3</v>
      </c>
      <c r="H4">
        <f t="shared" si="0"/>
        <v>0.99043780871640674</v>
      </c>
      <c r="I4">
        <f>F4/E4</f>
        <v>0.93062353015953736</v>
      </c>
    </row>
    <row r="5" spans="1:9" x14ac:dyDescent="0.3">
      <c r="A5" t="s">
        <v>6</v>
      </c>
      <c r="B5">
        <f t="shared" ref="B5:C10" si="1">I23</f>
        <v>5.1890279489008488</v>
      </c>
      <c r="C5">
        <f t="shared" si="1"/>
        <v>2.1388923152830892</v>
      </c>
      <c r="E5" t="s">
        <v>77</v>
      </c>
      <c r="F5">
        <v>1752.1</v>
      </c>
      <c r="H5">
        <f t="shared" si="0"/>
        <v>0.41219518112947418</v>
      </c>
      <c r="I5">
        <f t="shared" ref="I5:I10" si="2">F5/E5</f>
        <v>0.38437575411886005</v>
      </c>
    </row>
    <row r="6" spans="1:9" x14ac:dyDescent="0.3">
      <c r="A6" t="s">
        <v>7</v>
      </c>
      <c r="B6">
        <f t="shared" si="1"/>
        <v>3.862265741521302</v>
      </c>
      <c r="C6">
        <f t="shared" si="1"/>
        <v>1.8009127914148266</v>
      </c>
      <c r="E6" t="s">
        <v>78</v>
      </c>
      <c r="F6">
        <v>1477.6</v>
      </c>
      <c r="H6">
        <f t="shared" si="0"/>
        <v>0.46628401874425862</v>
      </c>
      <c r="I6">
        <f t="shared" si="2"/>
        <v>0.43830090175605124</v>
      </c>
    </row>
    <row r="7" spans="1:9" x14ac:dyDescent="0.3">
      <c r="A7" t="s">
        <v>8</v>
      </c>
      <c r="B7">
        <f t="shared" si="1"/>
        <v>3.9750988911224949</v>
      </c>
      <c r="C7">
        <f t="shared" si="1"/>
        <v>0.90045639570741332</v>
      </c>
      <c r="E7" t="s">
        <v>79</v>
      </c>
      <c r="F7">
        <v>736.1</v>
      </c>
      <c r="H7">
        <f t="shared" si="0"/>
        <v>0.22652427533774913</v>
      </c>
      <c r="I7">
        <f t="shared" si="2"/>
        <v>0.20964342674868994</v>
      </c>
    </row>
    <row r="8" spans="1:9" x14ac:dyDescent="0.3">
      <c r="A8" t="s">
        <v>9</v>
      </c>
      <c r="B8">
        <f t="shared" si="1"/>
        <v>5.2191167887945005</v>
      </c>
      <c r="C8">
        <f t="shared" si="1"/>
        <v>0.42777846305661782</v>
      </c>
      <c r="E8" t="s">
        <v>80</v>
      </c>
      <c r="F8">
        <v>341.6</v>
      </c>
      <c r="H8">
        <f t="shared" si="0"/>
        <v>8.1963765205458283E-2</v>
      </c>
      <c r="I8">
        <f t="shared" si="2"/>
        <v>7.5129761590569194E-2</v>
      </c>
    </row>
    <row r="9" spans="1:9" x14ac:dyDescent="0.3">
      <c r="A9" t="s">
        <v>10</v>
      </c>
      <c r="B9">
        <f t="shared" si="1"/>
        <v>3.8609688087672658</v>
      </c>
      <c r="C9">
        <f t="shared" si="1"/>
        <v>0.18009127914148268</v>
      </c>
      <c r="E9" t="s">
        <v>81</v>
      </c>
      <c r="F9">
        <v>145</v>
      </c>
      <c r="H9">
        <f t="shared" si="0"/>
        <v>4.6644064757151563E-2</v>
      </c>
      <c r="I9">
        <f t="shared" si="2"/>
        <v>4.0380973599197949E-2</v>
      </c>
    </row>
    <row r="10" spans="1:9" x14ac:dyDescent="0.3">
      <c r="A10" t="s">
        <v>57</v>
      </c>
      <c r="B10">
        <f t="shared" si="1"/>
        <v>5.2251345567732308</v>
      </c>
      <c r="C10">
        <f t="shared" si="1"/>
        <v>8.5555692611323564E-2</v>
      </c>
      <c r="E10" t="s">
        <v>82</v>
      </c>
      <c r="F10">
        <v>66.5</v>
      </c>
      <c r="H10">
        <f t="shared" si="0"/>
        <v>1.6373873568560935E-2</v>
      </c>
      <c r="I10">
        <f t="shared" si="2"/>
        <v>1.4724442574673959E-2</v>
      </c>
    </row>
    <row r="12" spans="1:9" x14ac:dyDescent="0.3">
      <c r="A12" t="s">
        <v>34</v>
      </c>
      <c r="B12" s="1">
        <v>154.21</v>
      </c>
    </row>
    <row r="13" spans="1:9" x14ac:dyDescent="0.3">
      <c r="A13" t="s">
        <v>11</v>
      </c>
      <c r="B13">
        <v>324.27999999999997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8">
        <v>14.02</v>
      </c>
      <c r="C17" s="8">
        <v>29.2</v>
      </c>
      <c r="D17">
        <v>25</v>
      </c>
      <c r="E17">
        <f>B17/D17/$B$12</f>
        <v>3.6365994423189153E-3</v>
      </c>
      <c r="F17">
        <f>C17/D17/$B$13</f>
        <v>3.6018255828296534E-3</v>
      </c>
      <c r="G17">
        <f>E17*1000</f>
        <v>3.6365994423189152</v>
      </c>
      <c r="H17">
        <f>1000*F17</f>
        <v>3.6018255828296533</v>
      </c>
    </row>
    <row r="18" spans="1:10" x14ac:dyDescent="0.3">
      <c r="A18" t="s">
        <v>17</v>
      </c>
      <c r="B18" s="8">
        <v>19.86</v>
      </c>
      <c r="C18" s="8">
        <v>34.68</v>
      </c>
      <c r="D18">
        <v>25</v>
      </c>
      <c r="E18">
        <f>B18/D18/$B$12</f>
        <v>5.1514168990337847E-3</v>
      </c>
      <c r="F18">
        <f>C18/D18/$B$13</f>
        <v>4.277784630566178E-3</v>
      </c>
      <c r="G18">
        <f>E18*1000</f>
        <v>5.1514168990337845</v>
      </c>
      <c r="H18">
        <f>1000*F18</f>
        <v>4.2777846305661784</v>
      </c>
    </row>
    <row r="19" spans="1:10" x14ac:dyDescent="0.3">
      <c r="A19" t="s">
        <v>18</v>
      </c>
      <c r="B19" s="8">
        <v>15.76</v>
      </c>
      <c r="D19">
        <v>25</v>
      </c>
      <c r="E19">
        <f>B19/D19/$B$12</f>
        <v>4.0879320407236882E-3</v>
      </c>
      <c r="G19">
        <f>E19*1000</f>
        <v>4.0879320407236879</v>
      </c>
    </row>
    <row r="20" spans="1:10" x14ac:dyDescent="0.3">
      <c r="A20" t="s">
        <v>19</v>
      </c>
      <c r="B20" s="8">
        <v>20.149999999999999</v>
      </c>
      <c r="D20">
        <v>25</v>
      </c>
      <c r="E20">
        <f>B20/D20/$B$12</f>
        <v>5.2266389987679135E-3</v>
      </c>
      <c r="G20">
        <f>E20*1000</f>
        <v>5.2266389987679132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5.1890279489008491E-3</v>
      </c>
      <c r="H23">
        <f t="shared" ref="H23:H28" si="4">(D23*$F$18+C23*$F$17)/B23</f>
        <v>2.138892315283089E-3</v>
      </c>
      <c r="I23">
        <f>G23*1000</f>
        <v>5.1890279489008488</v>
      </c>
      <c r="J23">
        <f>H23*1000</f>
        <v>2.1388923152830892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3.862265741521302E-3</v>
      </c>
      <c r="H24">
        <f t="shared" si="4"/>
        <v>1.8009127914148267E-3</v>
      </c>
      <c r="I24">
        <f t="shared" ref="I24:J28" si="5">G24*1000</f>
        <v>3.862265741521302</v>
      </c>
      <c r="J24">
        <f t="shared" si="5"/>
        <v>1.8009127914148266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3.9750988911224951E-3</v>
      </c>
      <c r="H25">
        <f t="shared" si="4"/>
        <v>9.0045639570741334E-4</v>
      </c>
      <c r="I25">
        <f t="shared" si="5"/>
        <v>3.9750988911224949</v>
      </c>
      <c r="J25">
        <f t="shared" si="5"/>
        <v>0.90045639570741332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5.2191167887945004E-3</v>
      </c>
      <c r="H26">
        <f t="shared" si="4"/>
        <v>4.2777846305661781E-4</v>
      </c>
      <c r="I26">
        <f t="shared" si="5"/>
        <v>5.2191167887945005</v>
      </c>
      <c r="J26">
        <f t="shared" si="5"/>
        <v>0.42777846305661782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3.8609688087672656E-3</v>
      </c>
      <c r="H27">
        <f t="shared" si="4"/>
        <v>1.8009127914148267E-4</v>
      </c>
      <c r="I27">
        <f t="shared" si="5"/>
        <v>3.8609688087672658</v>
      </c>
      <c r="J27">
        <f t="shared" si="5"/>
        <v>0.18009127914148268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5.225134556773231E-3</v>
      </c>
      <c r="H28">
        <f t="shared" si="4"/>
        <v>8.5555692611323563E-5</v>
      </c>
      <c r="I28">
        <f t="shared" si="5"/>
        <v>5.2251345567732308</v>
      </c>
      <c r="J28">
        <f t="shared" si="5"/>
        <v>8.5555692611323564E-2</v>
      </c>
    </row>
    <row r="35" spans="14:14" x14ac:dyDescent="0.3">
      <c r="N35" t="s">
        <v>107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088A-7446-48AF-B164-384458990F0B}">
  <dimension ref="A1:J32"/>
  <sheetViews>
    <sheetView workbookViewId="0">
      <selection sqref="A1:W36"/>
    </sheetView>
  </sheetViews>
  <sheetFormatPr defaultRowHeight="14.4" x14ac:dyDescent="0.3"/>
  <sheetData>
    <row r="1" spans="1:9" x14ac:dyDescent="0.3">
      <c r="B1" t="s">
        <v>0</v>
      </c>
      <c r="E1" t="s">
        <v>1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5.1514168990337845</v>
      </c>
      <c r="C3">
        <f>H18</f>
        <v>2.4294396802930649</v>
      </c>
      <c r="E3" t="s">
        <v>75</v>
      </c>
      <c r="F3">
        <v>1850.1</v>
      </c>
      <c r="H3">
        <f t="shared" ref="H3:H10" si="0">C3/B3</f>
        <v>0.47160610913644713</v>
      </c>
      <c r="I3">
        <f t="shared" ref="I3:I10" si="1">F3/E3</f>
        <v>0.41077732631719177</v>
      </c>
    </row>
    <row r="4" spans="1:9" x14ac:dyDescent="0.3">
      <c r="A4" t="s">
        <v>5</v>
      </c>
      <c r="B4">
        <f>G17</f>
        <v>3.6365994423189152</v>
      </c>
      <c r="C4">
        <f>H17</f>
        <v>2.9489634501706772</v>
      </c>
      <c r="E4" t="s">
        <v>76</v>
      </c>
      <c r="F4">
        <v>2239.1999999999998</v>
      </c>
      <c r="H4">
        <f t="shared" si="0"/>
        <v>0.81091236385666943</v>
      </c>
      <c r="I4">
        <f t="shared" si="1"/>
        <v>0.71162524629759105</v>
      </c>
    </row>
    <row r="5" spans="1:9" x14ac:dyDescent="0.3">
      <c r="A5" t="s">
        <v>6</v>
      </c>
      <c r="B5">
        <f t="shared" ref="B5:C10" si="2">I23</f>
        <v>5.1890279489008488</v>
      </c>
      <c r="C5">
        <f t="shared" si="2"/>
        <v>1.2147198401465324</v>
      </c>
      <c r="E5" t="s">
        <v>77</v>
      </c>
      <c r="F5">
        <v>932.2</v>
      </c>
      <c r="H5">
        <f t="shared" si="0"/>
        <v>0.2340939097088188</v>
      </c>
      <c r="I5">
        <f t="shared" si="1"/>
        <v>0.20450606585788561</v>
      </c>
    </row>
    <row r="6" spans="1:9" x14ac:dyDescent="0.3">
      <c r="A6" t="s">
        <v>7</v>
      </c>
      <c r="B6">
        <f t="shared" si="2"/>
        <v>3.862265741521302</v>
      </c>
      <c r="C6">
        <f t="shared" si="2"/>
        <v>1.4744817250853386</v>
      </c>
      <c r="E6" t="s">
        <v>78</v>
      </c>
      <c r="F6">
        <v>1135.0999999999999</v>
      </c>
      <c r="H6">
        <f t="shared" si="0"/>
        <v>0.38176599534152128</v>
      </c>
      <c r="I6">
        <f t="shared" si="1"/>
        <v>0.33670503084954911</v>
      </c>
    </row>
    <row r="7" spans="1:9" x14ac:dyDescent="0.3">
      <c r="A7" t="s">
        <v>8</v>
      </c>
      <c r="B7">
        <f t="shared" si="2"/>
        <v>3.9750988911224949</v>
      </c>
      <c r="C7">
        <f t="shared" si="2"/>
        <v>0.7372408625426693</v>
      </c>
      <c r="E7" t="s">
        <v>79</v>
      </c>
      <c r="F7">
        <v>569.20000000000005</v>
      </c>
      <c r="H7">
        <f t="shared" si="0"/>
        <v>0.18546478533883368</v>
      </c>
      <c r="I7">
        <f t="shared" si="1"/>
        <v>0.16210982000455687</v>
      </c>
    </row>
    <row r="8" spans="1:9" x14ac:dyDescent="0.3">
      <c r="A8" t="s">
        <v>9</v>
      </c>
      <c r="B8">
        <f t="shared" si="2"/>
        <v>5.2191167887945005</v>
      </c>
      <c r="C8">
        <f t="shared" si="2"/>
        <v>0.24294396802930648</v>
      </c>
      <c r="E8" t="s">
        <v>80</v>
      </c>
      <c r="F8">
        <v>184.5</v>
      </c>
      <c r="H8">
        <f t="shared" si="0"/>
        <v>4.6548865997961528E-2</v>
      </c>
      <c r="I8">
        <f t="shared" si="1"/>
        <v>4.0577988915281075E-2</v>
      </c>
    </row>
    <row r="9" spans="1:9" x14ac:dyDescent="0.3">
      <c r="A9" t="s">
        <v>10</v>
      </c>
      <c r="B9">
        <f t="shared" si="2"/>
        <v>3.8609688087672658</v>
      </c>
      <c r="C9">
        <f t="shared" si="2"/>
        <v>0.14744817250853384</v>
      </c>
      <c r="E9" t="s">
        <v>81</v>
      </c>
      <c r="F9">
        <v>113.1</v>
      </c>
      <c r="H9">
        <f t="shared" si="0"/>
        <v>3.8189423383508565E-2</v>
      </c>
      <c r="I9">
        <f t="shared" si="1"/>
        <v>3.1497159407374395E-2</v>
      </c>
    </row>
    <row r="10" spans="1:9" x14ac:dyDescent="0.3">
      <c r="A10" t="s">
        <v>57</v>
      </c>
      <c r="B10">
        <f t="shared" si="2"/>
        <v>5.2251345567732308</v>
      </c>
      <c r="C10">
        <f t="shared" si="2"/>
        <v>4.8588793605861297E-2</v>
      </c>
      <c r="E10" t="s">
        <v>82</v>
      </c>
      <c r="F10">
        <v>36.700000000000003</v>
      </c>
      <c r="H10">
        <f t="shared" si="0"/>
        <v>9.2990511685247749E-3</v>
      </c>
      <c r="I10">
        <f t="shared" si="1"/>
        <v>8.126120939707283E-3</v>
      </c>
    </row>
    <row r="12" spans="1:9" x14ac:dyDescent="0.3">
      <c r="A12" t="s">
        <v>34</v>
      </c>
      <c r="B12" s="1">
        <v>154.21</v>
      </c>
    </row>
    <row r="13" spans="1:9" x14ac:dyDescent="0.3">
      <c r="A13" t="s">
        <v>11</v>
      </c>
      <c r="B13">
        <v>240.22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8">
        <v>14.02</v>
      </c>
      <c r="C17" s="8">
        <v>17.71</v>
      </c>
      <c r="D17">
        <v>25</v>
      </c>
      <c r="E17">
        <f>B17/D17/$B$12</f>
        <v>3.6365994423189153E-3</v>
      </c>
      <c r="F17">
        <f>C17/D17/$B$13</f>
        <v>2.948963450170677E-3</v>
      </c>
      <c r="G17">
        <f>E17*1000</f>
        <v>3.6365994423189152</v>
      </c>
      <c r="H17">
        <f>1000*F17</f>
        <v>2.9489634501706772</v>
      </c>
    </row>
    <row r="18" spans="1:10" x14ac:dyDescent="0.3">
      <c r="A18" t="s">
        <v>17</v>
      </c>
      <c r="B18" s="8">
        <v>19.86</v>
      </c>
      <c r="C18" s="8">
        <v>14.59</v>
      </c>
      <c r="D18">
        <v>25</v>
      </c>
      <c r="E18">
        <f>B18/D18/$B$12</f>
        <v>5.1514168990337847E-3</v>
      </c>
      <c r="F18">
        <f>C18/D18/$B$13</f>
        <v>2.4294396802930648E-3</v>
      </c>
      <c r="G18">
        <f>E18*1000</f>
        <v>5.1514168990337845</v>
      </c>
      <c r="H18">
        <f>1000*F18</f>
        <v>2.4294396802930649</v>
      </c>
    </row>
    <row r="19" spans="1:10" x14ac:dyDescent="0.3">
      <c r="A19" t="s">
        <v>18</v>
      </c>
      <c r="B19" s="8">
        <v>15.76</v>
      </c>
      <c r="D19">
        <v>25</v>
      </c>
      <c r="E19">
        <f>B19/D19/$B$12</f>
        <v>4.0879320407236882E-3</v>
      </c>
      <c r="G19">
        <f>E19*1000</f>
        <v>4.0879320407236879</v>
      </c>
    </row>
    <row r="20" spans="1:10" x14ac:dyDescent="0.3">
      <c r="A20" t="s">
        <v>19</v>
      </c>
      <c r="B20" s="8">
        <v>20.149999999999999</v>
      </c>
      <c r="D20">
        <v>25</v>
      </c>
      <c r="E20">
        <f>B20/D20/$B$12</f>
        <v>5.2266389987679135E-3</v>
      </c>
      <c r="G20">
        <f>E20*1000</f>
        <v>5.2266389987679132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5.1890279489008491E-3</v>
      </c>
      <c r="H23">
        <f t="shared" ref="H23:H28" si="4">(D23*$F$18+C23*$F$17)/B23</f>
        <v>1.2147198401465324E-3</v>
      </c>
      <c r="I23">
        <f>G23*1000</f>
        <v>5.1890279489008488</v>
      </c>
      <c r="J23">
        <f>H23*1000</f>
        <v>1.2147198401465324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3.862265741521302E-3</v>
      </c>
      <c r="H24">
        <f t="shared" si="4"/>
        <v>1.4744817250853385E-3</v>
      </c>
      <c r="I24">
        <f t="shared" ref="I24:J28" si="5">G24*1000</f>
        <v>3.862265741521302</v>
      </c>
      <c r="J24">
        <f t="shared" si="5"/>
        <v>1.4744817250853386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3.9750988911224951E-3</v>
      </c>
      <c r="H25">
        <f t="shared" si="4"/>
        <v>7.3724086254266924E-4</v>
      </c>
      <c r="I25">
        <f t="shared" si="5"/>
        <v>3.9750988911224949</v>
      </c>
      <c r="J25">
        <f t="shared" si="5"/>
        <v>0.7372408625426693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5.2191167887945004E-3</v>
      </c>
      <c r="H26">
        <f t="shared" si="4"/>
        <v>2.4294396802930648E-4</v>
      </c>
      <c r="I26">
        <f t="shared" si="5"/>
        <v>5.2191167887945005</v>
      </c>
      <c r="J26">
        <f t="shared" si="5"/>
        <v>0.24294396802930648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3.8609688087672656E-3</v>
      </c>
      <c r="H27">
        <f t="shared" si="4"/>
        <v>1.4744817250853385E-4</v>
      </c>
      <c r="I27">
        <f t="shared" si="5"/>
        <v>3.8609688087672658</v>
      </c>
      <c r="J27">
        <f t="shared" si="5"/>
        <v>0.14744817250853384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5.225134556773231E-3</v>
      </c>
      <c r="H28">
        <f t="shared" si="4"/>
        <v>4.8588793605861294E-5</v>
      </c>
      <c r="I28">
        <f t="shared" si="5"/>
        <v>5.2251345567732308</v>
      </c>
      <c r="J28">
        <f t="shared" si="5"/>
        <v>4.8588793605861297E-2</v>
      </c>
    </row>
    <row r="31" spans="1:10" x14ac:dyDescent="0.3">
      <c r="C31" s="6">
        <v>15.74</v>
      </c>
    </row>
    <row r="32" spans="1:10" x14ac:dyDescent="0.3">
      <c r="C32" s="6">
        <v>10.35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3C68-2C18-4E86-B1B7-311F458F4B09}">
  <dimension ref="A1:J28"/>
  <sheetViews>
    <sheetView zoomScale="79" workbookViewId="0">
      <selection activeCell="Q14" sqref="Q14"/>
    </sheetView>
  </sheetViews>
  <sheetFormatPr defaultRowHeight="14.4" x14ac:dyDescent="0.3"/>
  <sheetData>
    <row r="1" spans="1:9" x14ac:dyDescent="0.3">
      <c r="B1" t="s">
        <v>0</v>
      </c>
      <c r="E1" t="s">
        <v>58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5.1514168990337845</v>
      </c>
      <c r="C3">
        <f>H18</f>
        <v>4.4145466405740379</v>
      </c>
      <c r="E3" t="s">
        <v>75</v>
      </c>
      <c r="F3">
        <v>2142.5</v>
      </c>
      <c r="H3">
        <f t="shared" ref="H3:H10" si="0">C3/B3</f>
        <v>0.85695775106108063</v>
      </c>
      <c r="I3">
        <f>F3/E3</f>
        <v>0.47569883878416486</v>
      </c>
    </row>
    <row r="4" spans="1:9" x14ac:dyDescent="0.3">
      <c r="A4" t="s">
        <v>5</v>
      </c>
      <c r="B4">
        <f>G17</f>
        <v>3.6365994423189152</v>
      </c>
      <c r="C4">
        <f>H17</f>
        <v>3.6921069797782131</v>
      </c>
      <c r="E4" t="s">
        <v>76</v>
      </c>
      <c r="F4">
        <v>1762.7</v>
      </c>
      <c r="H4">
        <f t="shared" si="0"/>
        <v>1.0152635830092696</v>
      </c>
      <c r="I4">
        <f>F4/E4</f>
        <v>0.56019195321934789</v>
      </c>
    </row>
    <row r="5" spans="1:9" x14ac:dyDescent="0.3">
      <c r="A5" t="s">
        <v>6</v>
      </c>
      <c r="B5">
        <f t="shared" ref="B5:C10" si="1">I23</f>
        <v>5.1890279489008488</v>
      </c>
      <c r="C5">
        <f t="shared" si="1"/>
        <v>2.2072733202870189</v>
      </c>
      <c r="E5" t="s">
        <v>77</v>
      </c>
      <c r="F5">
        <v>1080.7</v>
      </c>
      <c r="H5">
        <f t="shared" si="0"/>
        <v>0.42537318010679986</v>
      </c>
      <c r="I5">
        <f t="shared" ref="I5:I10" si="2">F5/E5</f>
        <v>0.2370840006142641</v>
      </c>
    </row>
    <row r="6" spans="1:9" x14ac:dyDescent="0.3">
      <c r="A6" t="s">
        <v>7</v>
      </c>
      <c r="B6">
        <f t="shared" si="1"/>
        <v>3.862265741521302</v>
      </c>
      <c r="C6">
        <f t="shared" si="1"/>
        <v>1.8460534898891066</v>
      </c>
      <c r="E6" t="s">
        <v>78</v>
      </c>
      <c r="F6">
        <v>896.3</v>
      </c>
      <c r="H6">
        <f t="shared" si="0"/>
        <v>0.47797163981833302</v>
      </c>
      <c r="I6">
        <f t="shared" si="2"/>
        <v>0.26586971998101566</v>
      </c>
    </row>
    <row r="7" spans="1:9" x14ac:dyDescent="0.3">
      <c r="A7" t="s">
        <v>8</v>
      </c>
      <c r="B7">
        <f t="shared" si="1"/>
        <v>3.9750988911224949</v>
      </c>
      <c r="C7">
        <f t="shared" si="1"/>
        <v>0.92302674494455328</v>
      </c>
      <c r="E7" t="s">
        <v>79</v>
      </c>
      <c r="F7">
        <v>449.3</v>
      </c>
      <c r="H7">
        <f t="shared" si="0"/>
        <v>0.23220220936035821</v>
      </c>
      <c r="I7">
        <f t="shared" si="2"/>
        <v>0.12796195033037139</v>
      </c>
    </row>
    <row r="8" spans="1:9" x14ac:dyDescent="0.3">
      <c r="A8" t="s">
        <v>9</v>
      </c>
      <c r="B8">
        <f t="shared" si="1"/>
        <v>5.2191167887945005</v>
      </c>
      <c r="C8">
        <f t="shared" si="1"/>
        <v>0.44145466405740375</v>
      </c>
      <c r="E8" t="s">
        <v>80</v>
      </c>
      <c r="F8">
        <v>214.4</v>
      </c>
      <c r="H8">
        <f t="shared" si="0"/>
        <v>8.4584170449147955E-2</v>
      </c>
      <c r="I8">
        <f t="shared" si="2"/>
        <v>4.715404240344858E-2</v>
      </c>
    </row>
    <row r="9" spans="1:9" x14ac:dyDescent="0.3">
      <c r="A9" t="s">
        <v>10</v>
      </c>
      <c r="B9">
        <f t="shared" si="1"/>
        <v>3.8609688087672658</v>
      </c>
      <c r="C9">
        <f t="shared" si="1"/>
        <v>0.18460534898891065</v>
      </c>
      <c r="E9" t="s">
        <v>81</v>
      </c>
      <c r="F9">
        <v>90</v>
      </c>
      <c r="H9">
        <f t="shared" si="0"/>
        <v>4.7813219461840625E-2</v>
      </c>
      <c r="I9">
        <f t="shared" si="2"/>
        <v>2.5064052578812519E-2</v>
      </c>
    </row>
    <row r="10" spans="1:9" x14ac:dyDescent="0.3">
      <c r="A10" t="s">
        <v>57</v>
      </c>
      <c r="B10">
        <f t="shared" si="1"/>
        <v>5.2251345567732308</v>
      </c>
      <c r="C10">
        <f t="shared" si="1"/>
        <v>8.8290932811480746E-2</v>
      </c>
      <c r="E10" t="s">
        <v>82</v>
      </c>
      <c r="F10">
        <v>42.6</v>
      </c>
      <c r="H10">
        <f t="shared" si="0"/>
        <v>1.6897351035109916E-2</v>
      </c>
      <c r="I10">
        <f t="shared" si="2"/>
        <v>9.4325000553550468E-3</v>
      </c>
    </row>
    <row r="12" spans="1:9" x14ac:dyDescent="0.3">
      <c r="A12" t="s">
        <v>34</v>
      </c>
      <c r="B12" s="1">
        <v>154.21</v>
      </c>
    </row>
    <row r="13" spans="1:9" x14ac:dyDescent="0.3">
      <c r="A13" t="s">
        <v>11</v>
      </c>
      <c r="B13">
        <v>245.28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8">
        <v>14.02</v>
      </c>
      <c r="C17" s="8">
        <v>22.64</v>
      </c>
      <c r="D17">
        <v>25</v>
      </c>
      <c r="E17">
        <f>B17/D17/$B$12</f>
        <v>3.6365994423189153E-3</v>
      </c>
      <c r="F17">
        <f>C17/D17/$B$13</f>
        <v>3.6921069797782131E-3</v>
      </c>
      <c r="G17">
        <f>E17*1000</f>
        <v>3.6365994423189152</v>
      </c>
      <c r="H17">
        <f>1000*F17</f>
        <v>3.6921069797782131</v>
      </c>
    </row>
    <row r="18" spans="1:10" x14ac:dyDescent="0.3">
      <c r="A18" t="s">
        <v>17</v>
      </c>
      <c r="B18" s="8">
        <v>19.86</v>
      </c>
      <c r="C18" s="8">
        <v>27.07</v>
      </c>
      <c r="D18">
        <v>25</v>
      </c>
      <c r="E18">
        <f>B18/D18/$B$12</f>
        <v>5.1514168990337847E-3</v>
      </c>
      <c r="F18">
        <f>C18/D18/$B$13</f>
        <v>4.4145466405740375E-3</v>
      </c>
      <c r="G18">
        <f>E18*1000</f>
        <v>5.1514168990337845</v>
      </c>
      <c r="H18">
        <f>1000*F18</f>
        <v>4.4145466405740379</v>
      </c>
    </row>
    <row r="19" spans="1:10" x14ac:dyDescent="0.3">
      <c r="A19" t="s">
        <v>18</v>
      </c>
      <c r="B19" s="8">
        <v>15.76</v>
      </c>
      <c r="D19">
        <v>25</v>
      </c>
      <c r="E19">
        <f>B19/D19/$B$12</f>
        <v>4.0879320407236882E-3</v>
      </c>
      <c r="G19">
        <f>E19*1000</f>
        <v>4.0879320407236879</v>
      </c>
    </row>
    <row r="20" spans="1:10" x14ac:dyDescent="0.3">
      <c r="A20" t="s">
        <v>19</v>
      </c>
      <c r="B20" s="8">
        <v>20.149999999999999</v>
      </c>
      <c r="D20">
        <v>25</v>
      </c>
      <c r="E20">
        <f>B20/D20/$B$12</f>
        <v>5.2266389987679135E-3</v>
      </c>
      <c r="G20">
        <f>E20*1000</f>
        <v>5.2266389987679132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5.1890279489008491E-3</v>
      </c>
      <c r="H23">
        <f t="shared" ref="H23:H28" si="4">(D23*$F$18+C23*$F$17)/B23</f>
        <v>2.2072733202870187E-3</v>
      </c>
      <c r="I23">
        <f>G23*1000</f>
        <v>5.1890279489008488</v>
      </c>
      <c r="J23">
        <f>H23*1000</f>
        <v>2.2072733202870189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3.862265741521302E-3</v>
      </c>
      <c r="H24">
        <f t="shared" si="4"/>
        <v>1.8460534898891066E-3</v>
      </c>
      <c r="I24">
        <f t="shared" ref="I24:J28" si="5">G24*1000</f>
        <v>3.862265741521302</v>
      </c>
      <c r="J24">
        <f t="shared" si="5"/>
        <v>1.8460534898891066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3.9750988911224951E-3</v>
      </c>
      <c r="H25">
        <f t="shared" si="4"/>
        <v>9.2302674494455328E-4</v>
      </c>
      <c r="I25">
        <f t="shared" si="5"/>
        <v>3.9750988911224949</v>
      </c>
      <c r="J25">
        <f t="shared" si="5"/>
        <v>0.92302674494455328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5.2191167887945004E-3</v>
      </c>
      <c r="H26">
        <f t="shared" si="4"/>
        <v>4.4145466405740377E-4</v>
      </c>
      <c r="I26">
        <f t="shared" si="5"/>
        <v>5.2191167887945005</v>
      </c>
      <c r="J26">
        <f t="shared" si="5"/>
        <v>0.44145466405740375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3.8609688087672656E-3</v>
      </c>
      <c r="H27">
        <f t="shared" si="4"/>
        <v>1.8460534898891064E-4</v>
      </c>
      <c r="I27">
        <f t="shared" si="5"/>
        <v>3.8609688087672658</v>
      </c>
      <c r="J27">
        <f t="shared" si="5"/>
        <v>0.18460534898891065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5.225134556773231E-3</v>
      </c>
      <c r="H28">
        <f t="shared" si="4"/>
        <v>8.8290932811480751E-5</v>
      </c>
      <c r="I28">
        <f t="shared" si="5"/>
        <v>5.2251345567732308</v>
      </c>
      <c r="J28">
        <f t="shared" si="5"/>
        <v>8.8290932811480746E-2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8914-8AF6-4B8C-8910-184E0F0ECDC4}">
  <dimension ref="A1:J28"/>
  <sheetViews>
    <sheetView workbookViewId="0">
      <selection sqref="A1:P29"/>
    </sheetView>
  </sheetViews>
  <sheetFormatPr defaultRowHeight="14.4" x14ac:dyDescent="0.3"/>
  <sheetData>
    <row r="1" spans="1:9" x14ac:dyDescent="0.3">
      <c r="B1" t="s">
        <v>0</v>
      </c>
      <c r="E1" t="s">
        <v>58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2.6223980286622135</v>
      </c>
      <c r="C3">
        <f>H18</f>
        <v>2.5241151377733373</v>
      </c>
      <c r="E3" t="s">
        <v>67</v>
      </c>
      <c r="F3">
        <v>765.93597412109398</v>
      </c>
      <c r="H3">
        <f t="shared" ref="H3:H10" si="0">C3/B3</f>
        <v>0.96252174924833434</v>
      </c>
      <c r="I3">
        <f>F3/E3</f>
        <v>0.6099455908738185</v>
      </c>
    </row>
    <row r="4" spans="1:9" x14ac:dyDescent="0.3">
      <c r="A4" t="s">
        <v>5</v>
      </c>
      <c r="B4">
        <f>G17</f>
        <v>1.6886064457557872</v>
      </c>
      <c r="C4">
        <f>H17</f>
        <v>1.6356020137581186</v>
      </c>
      <c r="E4" t="s">
        <v>68</v>
      </c>
      <c r="F4">
        <v>501.55392456054699</v>
      </c>
      <c r="H4">
        <f t="shared" si="0"/>
        <v>0.96861054739492902</v>
      </c>
      <c r="I4">
        <f>F4/E4</f>
        <v>0.62335953415943657</v>
      </c>
    </row>
    <row r="5" spans="1:9" x14ac:dyDescent="0.3">
      <c r="A5" t="s">
        <v>6</v>
      </c>
      <c r="B5">
        <f t="shared" ref="B5:C10" si="1">I23</f>
        <v>2.7054017249205624</v>
      </c>
      <c r="C5">
        <f t="shared" si="1"/>
        <v>1.2620575688866686</v>
      </c>
      <c r="E5" t="s">
        <v>69</v>
      </c>
      <c r="F5">
        <v>385.05831909179699</v>
      </c>
      <c r="H5">
        <f t="shared" si="0"/>
        <v>0.46649544031163281</v>
      </c>
      <c r="I5">
        <f t="shared" ref="I5:I10" si="2">F5/E5</f>
        <v>0.29691962145545076</v>
      </c>
    </row>
    <row r="6" spans="1:9" x14ac:dyDescent="0.3">
      <c r="A6" t="s">
        <v>7</v>
      </c>
      <c r="B6">
        <f t="shared" si="1"/>
        <v>1.8170027884054212</v>
      </c>
      <c r="C6">
        <f t="shared" si="1"/>
        <v>0.81780100687905943</v>
      </c>
      <c r="E6" t="s">
        <v>70</v>
      </c>
      <c r="F6">
        <v>251.56578063964901</v>
      </c>
      <c r="H6">
        <f t="shared" si="0"/>
        <v>0.45008241709785779</v>
      </c>
      <c r="I6">
        <f t="shared" si="2"/>
        <v>0.29257576322229556</v>
      </c>
    </row>
    <row r="7" spans="1:9" x14ac:dyDescent="0.3">
      <c r="A7" t="s">
        <v>8</v>
      </c>
      <c r="B7">
        <f t="shared" si="1"/>
        <v>1.8812009597302379</v>
      </c>
      <c r="C7">
        <f t="shared" si="1"/>
        <v>0.40890050343952972</v>
      </c>
      <c r="E7" t="s">
        <v>71</v>
      </c>
      <c r="F7">
        <v>138.20440673828099</v>
      </c>
      <c r="H7">
        <f t="shared" si="0"/>
        <v>0.21736141549606991</v>
      </c>
      <c r="I7">
        <f t="shared" si="2"/>
        <v>0.14052359497567246</v>
      </c>
    </row>
    <row r="8" spans="1:9" x14ac:dyDescent="0.3">
      <c r="A8" t="s">
        <v>9</v>
      </c>
      <c r="B8">
        <f t="shared" si="1"/>
        <v>2.7718046819272417</v>
      </c>
      <c r="C8">
        <f t="shared" si="1"/>
        <v>0.25241151377733373</v>
      </c>
      <c r="E8" t="s">
        <v>72</v>
      </c>
      <c r="F8">
        <v>80.053993225097699</v>
      </c>
      <c r="H8">
        <f t="shared" si="0"/>
        <v>9.1063961116420178E-2</v>
      </c>
      <c r="I8">
        <f t="shared" si="2"/>
        <v>5.9977927002602377E-2</v>
      </c>
    </row>
    <row r="9" spans="1:9" x14ac:dyDescent="0.3">
      <c r="A9" t="s">
        <v>10</v>
      </c>
      <c r="B9">
        <f t="shared" si="1"/>
        <v>1.8352895402373386</v>
      </c>
      <c r="C9">
        <f t="shared" si="1"/>
        <v>8.1780100687905935E-2</v>
      </c>
      <c r="E9" t="s">
        <v>73</v>
      </c>
      <c r="F9">
        <v>27.101707458496101</v>
      </c>
      <c r="H9">
        <f t="shared" si="0"/>
        <v>4.455978138323078E-2</v>
      </c>
      <c r="I9">
        <f t="shared" si="2"/>
        <v>2.9476315788250839E-2</v>
      </c>
    </row>
    <row r="10" spans="1:9" x14ac:dyDescent="0.3">
      <c r="A10" t="s">
        <v>57</v>
      </c>
      <c r="B10">
        <f t="shared" si="1"/>
        <v>2.7850852733285771</v>
      </c>
      <c r="C10">
        <f t="shared" si="1"/>
        <v>5.0482302755466751E-2</v>
      </c>
      <c r="E10" t="s">
        <v>74</v>
      </c>
      <c r="F10">
        <v>16.230249404907202</v>
      </c>
      <c r="H10">
        <f t="shared" si="0"/>
        <v>1.8125945097233288E-2</v>
      </c>
      <c r="I10">
        <f t="shared" si="2"/>
        <v>1.2290175475222339E-2</v>
      </c>
    </row>
    <row r="12" spans="1:9" x14ac:dyDescent="0.3">
      <c r="A12" t="s">
        <v>34</v>
      </c>
      <c r="B12" s="1">
        <v>154.21</v>
      </c>
      <c r="E12" t="s">
        <v>56</v>
      </c>
      <c r="F12">
        <v>54.827922821045</v>
      </c>
    </row>
    <row r="13" spans="1:9" x14ac:dyDescent="0.3">
      <c r="A13" t="s">
        <v>11</v>
      </c>
      <c r="B13">
        <v>260.20999999999998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2">
        <v>6.51</v>
      </c>
      <c r="C17" s="6">
        <v>10.64</v>
      </c>
      <c r="D17">
        <v>25</v>
      </c>
      <c r="E17">
        <f>B17/D17/$B$12</f>
        <v>1.6886064457557871E-3</v>
      </c>
      <c r="F17">
        <f>C17/D17/$B$13</f>
        <v>1.6356020137581187E-3</v>
      </c>
      <c r="G17">
        <f>E17*1000</f>
        <v>1.6886064457557872</v>
      </c>
      <c r="H17">
        <f>1000*F17</f>
        <v>1.6356020137581186</v>
      </c>
    </row>
    <row r="18" spans="1:10" x14ac:dyDescent="0.3">
      <c r="A18" t="s">
        <v>17</v>
      </c>
      <c r="B18" s="2">
        <v>10.11</v>
      </c>
      <c r="C18" s="6">
        <v>16.420000000000002</v>
      </c>
      <c r="D18">
        <v>25</v>
      </c>
      <c r="E18">
        <f>B18/D18/$B$12</f>
        <v>2.6223980286622134E-3</v>
      </c>
      <c r="F18">
        <f>C18/D18/$B$13</f>
        <v>2.5241151377733374E-3</v>
      </c>
      <c r="G18">
        <f>E18*1000</f>
        <v>2.6223980286622135</v>
      </c>
      <c r="H18">
        <f>1000*F18</f>
        <v>2.5241151377733373</v>
      </c>
    </row>
    <row r="19" spans="1:10" x14ac:dyDescent="0.3">
      <c r="A19" t="s">
        <v>18</v>
      </c>
      <c r="B19" s="3">
        <v>7.5</v>
      </c>
      <c r="D19">
        <v>25</v>
      </c>
      <c r="E19">
        <f>B19/D19/$B$12</f>
        <v>1.9453991310550546E-3</v>
      </c>
      <c r="G19">
        <f>E19*1000</f>
        <v>1.9453991310550547</v>
      </c>
    </row>
    <row r="20" spans="1:10" x14ac:dyDescent="0.3">
      <c r="A20" t="s">
        <v>19</v>
      </c>
      <c r="B20" s="3">
        <v>10.75</v>
      </c>
      <c r="D20">
        <v>25</v>
      </c>
      <c r="E20">
        <f>B20/D20/$B$12</f>
        <v>2.7884054211789115E-3</v>
      </c>
      <c r="G20">
        <f>E20*1000</f>
        <v>2.7884054211789113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2.7054017249205625E-3</v>
      </c>
      <c r="H23">
        <f t="shared" ref="H23:H28" si="4">(D23*$F$18+C23*$F$17)/B23</f>
        <v>1.2620575688866687E-3</v>
      </c>
      <c r="I23">
        <f>G23*1000</f>
        <v>2.7054017249205624</v>
      </c>
      <c r="J23">
        <f>H23*1000</f>
        <v>1.2620575688866686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1.8170027884054211E-3</v>
      </c>
      <c r="H24">
        <f t="shared" si="4"/>
        <v>8.1780100687905944E-4</v>
      </c>
      <c r="I24">
        <f t="shared" ref="I24:J28" si="5">G24*1000</f>
        <v>1.8170027884054212</v>
      </c>
      <c r="J24">
        <f t="shared" si="5"/>
        <v>0.81780100687905943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1.881200959730238E-3</v>
      </c>
      <c r="H25">
        <f t="shared" si="4"/>
        <v>4.0890050343952972E-4</v>
      </c>
      <c r="I25">
        <f t="shared" si="5"/>
        <v>1.8812009597302379</v>
      </c>
      <c r="J25">
        <f t="shared" si="5"/>
        <v>0.40890050343952972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2.7718046819272418E-3</v>
      </c>
      <c r="H26">
        <f t="shared" si="4"/>
        <v>2.5241151377733374E-4</v>
      </c>
      <c r="I26">
        <f t="shared" si="5"/>
        <v>2.7718046819272417</v>
      </c>
      <c r="J26">
        <f t="shared" si="5"/>
        <v>0.25241151377733373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1.8352895402373385E-3</v>
      </c>
      <c r="H27">
        <f t="shared" si="4"/>
        <v>8.1780100687905936E-5</v>
      </c>
      <c r="I27">
        <f t="shared" si="5"/>
        <v>1.8352895402373386</v>
      </c>
      <c r="J27">
        <f t="shared" si="5"/>
        <v>8.1780100687905935E-2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2.7850852733285773E-3</v>
      </c>
      <c r="H28">
        <f t="shared" si="4"/>
        <v>5.0482302755466749E-5</v>
      </c>
      <c r="I28">
        <f t="shared" si="5"/>
        <v>2.7850852733285771</v>
      </c>
      <c r="J28">
        <f t="shared" si="5"/>
        <v>5.0482302755466751E-2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E022-7997-43EF-9875-2546AB2D8BDA}">
  <dimension ref="A1:J32"/>
  <sheetViews>
    <sheetView tabSelected="1" workbookViewId="0">
      <selection activeCell="N24" sqref="N24"/>
    </sheetView>
  </sheetViews>
  <sheetFormatPr defaultRowHeight="14.4" x14ac:dyDescent="0.3"/>
  <sheetData>
    <row r="1" spans="1:9" x14ac:dyDescent="0.3">
      <c r="B1" t="s">
        <v>0</v>
      </c>
      <c r="E1" t="s">
        <v>1</v>
      </c>
    </row>
    <row r="2" spans="1:9" x14ac:dyDescent="0.3">
      <c r="A2" t="s">
        <v>2</v>
      </c>
      <c r="B2" t="s">
        <v>35</v>
      </c>
      <c r="C2" t="s">
        <v>36</v>
      </c>
      <c r="E2" t="s">
        <v>37</v>
      </c>
      <c r="F2" t="s">
        <v>38</v>
      </c>
      <c r="H2" t="s">
        <v>39</v>
      </c>
      <c r="I2" t="s">
        <v>3</v>
      </c>
    </row>
    <row r="3" spans="1:9" x14ac:dyDescent="0.3">
      <c r="A3" t="s">
        <v>4</v>
      </c>
      <c r="B3">
        <f>G18</f>
        <v>2.6223980286622135</v>
      </c>
      <c r="C3">
        <f>H18</f>
        <v>2.1306593282316135</v>
      </c>
      <c r="E3" t="s">
        <v>67</v>
      </c>
      <c r="F3">
        <v>463.1025390625</v>
      </c>
      <c r="H3">
        <f>C3/B3</f>
        <v>0.81248510140108099</v>
      </c>
      <c r="I3">
        <f>F3/E3</f>
        <v>0.36878715893684383</v>
      </c>
    </row>
    <row r="4" spans="1:9" x14ac:dyDescent="0.3">
      <c r="A4" t="s">
        <v>5</v>
      </c>
      <c r="B4">
        <f>G17</f>
        <v>1.6886064457557872</v>
      </c>
      <c r="C4">
        <f>H17</f>
        <v>1.6285294228521887</v>
      </c>
      <c r="E4" t="s">
        <v>68</v>
      </c>
      <c r="F4">
        <v>355.82171630859398</v>
      </c>
      <c r="H4">
        <f t="shared" ref="H4:H10" si="0">C4/B4</f>
        <v>0.96442212864069154</v>
      </c>
      <c r="I4">
        <f>F4/E4</f>
        <v>0.44223531799951116</v>
      </c>
    </row>
    <row r="5" spans="1:9" x14ac:dyDescent="0.3">
      <c r="A5" t="s">
        <v>6</v>
      </c>
      <c r="B5">
        <f t="shared" ref="B5:C10" si="1">I23</f>
        <v>2.7054017249205624</v>
      </c>
      <c r="C5">
        <f t="shared" si="1"/>
        <v>1.0653296641158068</v>
      </c>
      <c r="E5" t="s">
        <v>69</v>
      </c>
      <c r="F5">
        <v>231.95343017578099</v>
      </c>
      <c r="H5">
        <f t="shared" si="0"/>
        <v>0.393778733229383</v>
      </c>
      <c r="I5">
        <f t="shared" ref="I5:I10" si="2">F5/E5</f>
        <v>0.17885998371760256</v>
      </c>
    </row>
    <row r="6" spans="1:9" x14ac:dyDescent="0.3">
      <c r="A6" t="s">
        <v>7</v>
      </c>
      <c r="B6">
        <f t="shared" si="1"/>
        <v>1.8170027884054212</v>
      </c>
      <c r="C6">
        <f t="shared" si="1"/>
        <v>0.81426471142609436</v>
      </c>
      <c r="E6" t="s">
        <v>70</v>
      </c>
      <c r="F6">
        <v>179.04222106933599</v>
      </c>
      <c r="H6">
        <f t="shared" si="0"/>
        <v>0.4481361925375375</v>
      </c>
      <c r="I6">
        <f t="shared" si="2"/>
        <v>0.20822949109048997</v>
      </c>
    </row>
    <row r="7" spans="1:9" x14ac:dyDescent="0.3">
      <c r="A7" t="s">
        <v>8</v>
      </c>
      <c r="B7">
        <f t="shared" si="1"/>
        <v>1.8812009597302379</v>
      </c>
      <c r="C7">
        <f t="shared" si="1"/>
        <v>0.40713235571304718</v>
      </c>
      <c r="E7" t="s">
        <v>71</v>
      </c>
      <c r="F7">
        <v>106.492477416992</v>
      </c>
      <c r="H7">
        <f t="shared" si="0"/>
        <v>0.21642151180458119</v>
      </c>
      <c r="I7">
        <f t="shared" si="2"/>
        <v>0.10827951233740424</v>
      </c>
    </row>
    <row r="8" spans="1:9" x14ac:dyDescent="0.3">
      <c r="A8" t="s">
        <v>9</v>
      </c>
      <c r="B8">
        <f t="shared" si="1"/>
        <v>2.7718046819272417</v>
      </c>
      <c r="C8">
        <f t="shared" si="1"/>
        <v>0.21306593282316136</v>
      </c>
      <c r="E8" t="s">
        <v>72</v>
      </c>
      <c r="F8">
        <v>59.568931579589901</v>
      </c>
      <c r="H8">
        <f t="shared" si="0"/>
        <v>7.6869028403190431E-2</v>
      </c>
      <c r="I8">
        <f t="shared" si="2"/>
        <v>4.4630141307973444E-2</v>
      </c>
    </row>
    <row r="9" spans="1:9" x14ac:dyDescent="0.3">
      <c r="A9" t="s">
        <v>10</v>
      </c>
      <c r="B9">
        <f t="shared" si="1"/>
        <v>1.8352895402373386</v>
      </c>
      <c r="C9">
        <f t="shared" si="1"/>
        <v>8.1426471142609438E-2</v>
      </c>
      <c r="E9" t="s">
        <v>73</v>
      </c>
      <c r="F9">
        <v>24.664649963378899</v>
      </c>
      <c r="H9">
        <f t="shared" si="0"/>
        <v>4.4367098137593819E-2</v>
      </c>
      <c r="I9">
        <f t="shared" si="2"/>
        <v>2.6825727207062441E-2</v>
      </c>
    </row>
    <row r="10" spans="1:9" x14ac:dyDescent="0.3">
      <c r="A10" t="s">
        <v>57</v>
      </c>
      <c r="B10">
        <f t="shared" si="1"/>
        <v>2.7850852733285771</v>
      </c>
      <c r="C10">
        <f t="shared" si="1"/>
        <v>4.2613186564632269E-2</v>
      </c>
      <c r="E10" t="s">
        <v>74</v>
      </c>
      <c r="F10">
        <v>6.2227249145507804</v>
      </c>
      <c r="H10">
        <f t="shared" si="0"/>
        <v>1.5300496172493629E-2</v>
      </c>
      <c r="I10">
        <f t="shared" si="2"/>
        <v>4.712089089077328E-3</v>
      </c>
    </row>
    <row r="12" spans="1:9" x14ac:dyDescent="0.3">
      <c r="A12" t="s">
        <v>34</v>
      </c>
      <c r="B12" s="1">
        <v>154.21</v>
      </c>
    </row>
    <row r="13" spans="1:9" x14ac:dyDescent="0.3">
      <c r="A13" t="s">
        <v>11</v>
      </c>
      <c r="B13">
        <v>265.27</v>
      </c>
    </row>
    <row r="16" spans="1:9" x14ac:dyDescent="0.3">
      <c r="A16" t="s">
        <v>12</v>
      </c>
      <c r="B16" t="s">
        <v>32</v>
      </c>
      <c r="C16" t="s">
        <v>22</v>
      </c>
      <c r="D16" t="s">
        <v>13</v>
      </c>
      <c r="E16" t="s">
        <v>14</v>
      </c>
      <c r="F16" t="s">
        <v>23</v>
      </c>
      <c r="G16" t="s">
        <v>33</v>
      </c>
      <c r="H16" t="s">
        <v>15</v>
      </c>
    </row>
    <row r="17" spans="1:10" x14ac:dyDescent="0.3">
      <c r="A17" t="s">
        <v>16</v>
      </c>
      <c r="B17" s="2">
        <v>6.51</v>
      </c>
      <c r="C17" s="6">
        <v>10.8</v>
      </c>
      <c r="D17">
        <v>25</v>
      </c>
      <c r="E17">
        <f>B17/D17/$B$12</f>
        <v>1.6886064457557871E-3</v>
      </c>
      <c r="F17">
        <f>C17/D17/$B$13</f>
        <v>1.6285294228521887E-3</v>
      </c>
      <c r="G17">
        <f>E17*1000</f>
        <v>1.6886064457557872</v>
      </c>
      <c r="H17">
        <f>1000*F17</f>
        <v>1.6285294228521887</v>
      </c>
    </row>
    <row r="18" spans="1:10" x14ac:dyDescent="0.3">
      <c r="A18" t="s">
        <v>17</v>
      </c>
      <c r="B18" s="2">
        <v>10.11</v>
      </c>
      <c r="C18" s="6">
        <v>14.13</v>
      </c>
      <c r="D18">
        <v>25</v>
      </c>
      <c r="E18">
        <f>B18/D18/$B$12</f>
        <v>2.6223980286622134E-3</v>
      </c>
      <c r="F18">
        <f>C18/D18/$B$13</f>
        <v>2.1306593282316134E-3</v>
      </c>
      <c r="G18">
        <f>E18*1000</f>
        <v>2.6223980286622135</v>
      </c>
      <c r="H18">
        <f>1000*F18</f>
        <v>2.1306593282316135</v>
      </c>
    </row>
    <row r="19" spans="1:10" x14ac:dyDescent="0.3">
      <c r="A19" t="s">
        <v>18</v>
      </c>
      <c r="B19" s="3">
        <v>7.5</v>
      </c>
      <c r="D19">
        <v>25</v>
      </c>
      <c r="E19">
        <f>B19/D19/$B$12</f>
        <v>1.9453991310550546E-3</v>
      </c>
      <c r="G19">
        <f>E19*1000</f>
        <v>1.9453991310550547</v>
      </c>
    </row>
    <row r="20" spans="1:10" x14ac:dyDescent="0.3">
      <c r="A20" t="s">
        <v>19</v>
      </c>
      <c r="B20" s="3">
        <v>10.75</v>
      </c>
      <c r="D20">
        <v>25</v>
      </c>
      <c r="E20">
        <f>B20/D20/$B$12</f>
        <v>2.7884054211789115E-3</v>
      </c>
      <c r="G20">
        <f>E20*1000</f>
        <v>2.7884054211789113</v>
      </c>
    </row>
    <row r="22" spans="1:10" x14ac:dyDescent="0.3">
      <c r="A22" t="s">
        <v>20</v>
      </c>
      <c r="B22" t="s">
        <v>21</v>
      </c>
      <c r="C22" t="s">
        <v>26</v>
      </c>
      <c r="D22" t="s">
        <v>27</v>
      </c>
      <c r="E22" t="s">
        <v>28</v>
      </c>
      <c r="F22" t="s">
        <v>29</v>
      </c>
      <c r="G22" t="s">
        <v>25</v>
      </c>
      <c r="H22" t="s">
        <v>24</v>
      </c>
      <c r="I22" t="s">
        <v>30</v>
      </c>
      <c r="J22" t="s">
        <v>31</v>
      </c>
    </row>
    <row r="23" spans="1:10" x14ac:dyDescent="0.3">
      <c r="A23">
        <v>60</v>
      </c>
      <c r="B23">
        <v>5</v>
      </c>
      <c r="D23">
        <v>2.5</v>
      </c>
      <c r="F23">
        <v>2.5</v>
      </c>
      <c r="G23">
        <f t="shared" ref="G23:G28" si="3">(D23*$E$18+C23*$E$17+E23*$E$19+F23*$E$20)/B23</f>
        <v>2.7054017249205625E-3</v>
      </c>
      <c r="H23">
        <f t="shared" ref="H23:H28" si="4">(D23*$F$18+C23*$F$17)/B23</f>
        <v>1.0653296641158067E-3</v>
      </c>
      <c r="I23">
        <f>G23*1000</f>
        <v>2.7054017249205624</v>
      </c>
      <c r="J23">
        <f>H23*1000</f>
        <v>1.0653296641158068</v>
      </c>
    </row>
    <row r="24" spans="1:10" x14ac:dyDescent="0.3">
      <c r="A24">
        <v>50</v>
      </c>
      <c r="B24">
        <v>5</v>
      </c>
      <c r="C24">
        <v>2.5</v>
      </c>
      <c r="E24">
        <v>2.5</v>
      </c>
      <c r="G24">
        <f t="shared" si="3"/>
        <v>1.8170027884054211E-3</v>
      </c>
      <c r="H24">
        <f t="shared" si="4"/>
        <v>8.1426471142609434E-4</v>
      </c>
      <c r="I24">
        <f t="shared" ref="I24:J28" si="5">G24*1000</f>
        <v>1.8170027884054212</v>
      </c>
      <c r="J24">
        <f t="shared" si="5"/>
        <v>0.81426471142609436</v>
      </c>
    </row>
    <row r="25" spans="1:10" x14ac:dyDescent="0.3">
      <c r="A25">
        <v>25</v>
      </c>
      <c r="B25">
        <v>5</v>
      </c>
      <c r="C25">
        <v>1.25</v>
      </c>
      <c r="E25">
        <v>3.75</v>
      </c>
      <c r="G25">
        <f t="shared" si="3"/>
        <v>1.881200959730238E-3</v>
      </c>
      <c r="H25">
        <f t="shared" si="4"/>
        <v>4.0713235571304717E-4</v>
      </c>
      <c r="I25">
        <f t="shared" si="5"/>
        <v>1.8812009597302379</v>
      </c>
      <c r="J25">
        <f t="shared" si="5"/>
        <v>0.40713235571304718</v>
      </c>
    </row>
    <row r="26" spans="1:10" x14ac:dyDescent="0.3">
      <c r="A26">
        <v>12</v>
      </c>
      <c r="B26">
        <v>5</v>
      </c>
      <c r="D26">
        <v>0.5</v>
      </c>
      <c r="F26">
        <v>4.5</v>
      </c>
      <c r="G26">
        <f t="shared" si="3"/>
        <v>2.7718046819272418E-3</v>
      </c>
      <c r="H26">
        <f t="shared" si="4"/>
        <v>2.1306593282316135E-4</v>
      </c>
      <c r="I26">
        <f t="shared" si="5"/>
        <v>2.7718046819272417</v>
      </c>
      <c r="J26">
        <f t="shared" si="5"/>
        <v>0.21306593282316136</v>
      </c>
    </row>
    <row r="27" spans="1:10" x14ac:dyDescent="0.3">
      <c r="A27">
        <v>5</v>
      </c>
      <c r="B27">
        <v>5</v>
      </c>
      <c r="C27">
        <v>0.25</v>
      </c>
      <c r="E27">
        <v>4.5</v>
      </c>
      <c r="G27">
        <f t="shared" si="3"/>
        <v>1.8352895402373385E-3</v>
      </c>
      <c r="H27">
        <f t="shared" si="4"/>
        <v>8.1426471142609439E-5</v>
      </c>
      <c r="I27">
        <f t="shared" si="5"/>
        <v>1.8352895402373386</v>
      </c>
      <c r="J27">
        <f t="shared" si="5"/>
        <v>8.1426471142609438E-2</v>
      </c>
    </row>
    <row r="28" spans="1:10" x14ac:dyDescent="0.3">
      <c r="A28">
        <v>2.4</v>
      </c>
      <c r="B28">
        <v>5</v>
      </c>
      <c r="D28">
        <v>0.1</v>
      </c>
      <c r="F28">
        <v>4.9000000000000004</v>
      </c>
      <c r="G28">
        <f t="shared" si="3"/>
        <v>2.7850852733285773E-3</v>
      </c>
      <c r="H28">
        <f t="shared" si="4"/>
        <v>4.2613186564632267E-5</v>
      </c>
      <c r="I28">
        <f t="shared" si="5"/>
        <v>2.7850852733285771</v>
      </c>
      <c r="J28">
        <f t="shared" si="5"/>
        <v>4.2613186564632269E-2</v>
      </c>
    </row>
    <row r="31" spans="1:10" x14ac:dyDescent="0.3">
      <c r="C31" s="6">
        <v>15.74</v>
      </c>
    </row>
    <row r="32" spans="1:10" x14ac:dyDescent="0.3">
      <c r="C32" s="6">
        <v>10.35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4SO2Me-ArOPh (1a)</vt:lpstr>
      <vt:lpstr>4SO2Me-Ar4MePip (3aa)</vt:lpstr>
      <vt:lpstr>4Cl-ArOPh (1b)</vt:lpstr>
      <vt:lpstr>4Cl-Ar4MePip (3ba)</vt:lpstr>
      <vt:lpstr>4CONH2-ArOPh (1c)</vt:lpstr>
      <vt:lpstr>4CONH2-Ar4MePip (3ca)</vt:lpstr>
      <vt:lpstr>4CF3-ArOPh (1d)</vt:lpstr>
      <vt:lpstr>4CF3-Ar4MePip (3da)</vt:lpstr>
      <vt:lpstr>4CO2Et-ArOPh (1e)</vt:lpstr>
      <vt:lpstr>4CO2Et-Ar4MePip (3ea)</vt:lpstr>
      <vt:lpstr>4COPh-ArOPh (1f)</vt:lpstr>
      <vt:lpstr>4COPh-Ar4MePip (3fa)</vt:lpstr>
      <vt:lpstr>4CN-ArOPh (1g)</vt:lpstr>
      <vt:lpstr>4CN-Ar4MePip (3ga)</vt:lpstr>
      <vt:lpstr>4NO2-ArOPh (1h)</vt:lpstr>
      <vt:lpstr>4NO2-Ar4MePip (3ha)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Dalland, Daniel</dc:creator>
  <cp:lastModifiedBy>Dalland, Daniel</cp:lastModifiedBy>
  <dcterms:created xsi:type="dcterms:W3CDTF">2024-03-04T10:51:51Z</dcterms:created>
  <dcterms:modified xsi:type="dcterms:W3CDTF">2026-01-12T13:17:11Z</dcterms:modified>
</cp:coreProperties>
</file>
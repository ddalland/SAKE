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HPLC Calibration/"/>
    </mc:Choice>
  </mc:AlternateContent>
  <xr:revisionPtr revIDLastSave="36" documentId="13_ncr:1_{90EA904D-B6D7-4ACF-8FCC-1099BE5D99AF}" xr6:coauthVersionLast="47" xr6:coauthVersionMax="47" xr10:uidLastSave="{6B243656-E045-4B76-83F0-B1A28F7D1CD9}"/>
  <bookViews>
    <workbookView xWindow="28680" yWindow="-120" windowWidth="29040" windowHeight="15720" activeTab="2" xr2:uid="{B0537B6B-858E-4B4C-98CE-9BED55FA249F}"/>
  </bookViews>
  <sheets>
    <sheet name="ArPyrrolidine (3ab)" sheetId="14" r:id="rId1"/>
    <sheet name="ArPiperidine (3ac)" sheetId="17" r:id="rId2"/>
    <sheet name="ArMorpholine (3af)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7" l="1"/>
  <c r="G20" i="17" s="1"/>
  <c r="E19" i="17"/>
  <c r="G19" i="17" s="1"/>
  <c r="F18" i="17"/>
  <c r="H28" i="17" s="1"/>
  <c r="J28" i="17" s="1"/>
  <c r="C10" i="17" s="1"/>
  <c r="E18" i="17"/>
  <c r="G24" i="17" s="1"/>
  <c r="I24" i="17" s="1"/>
  <c r="B6" i="17" s="1"/>
  <c r="H17" i="17"/>
  <c r="C4" i="17" s="1"/>
  <c r="H4" i="17" s="1"/>
  <c r="G17" i="17"/>
  <c r="B4" i="17" s="1"/>
  <c r="F17" i="17"/>
  <c r="E17" i="17"/>
  <c r="I10" i="17"/>
  <c r="I9" i="17"/>
  <c r="I8" i="17"/>
  <c r="I7" i="17"/>
  <c r="I6" i="17"/>
  <c r="I5" i="17"/>
  <c r="I4" i="17"/>
  <c r="I3" i="17"/>
  <c r="G28" i="17" l="1"/>
  <c r="I28" i="17" s="1"/>
  <c r="B10" i="17" s="1"/>
  <c r="H10" i="17" s="1"/>
  <c r="G25" i="17"/>
  <c r="I25" i="17" s="1"/>
  <c r="B7" i="17" s="1"/>
  <c r="H25" i="17"/>
  <c r="J25" i="17" s="1"/>
  <c r="C7" i="17" s="1"/>
  <c r="H7" i="17" s="1"/>
  <c r="G18" i="17"/>
  <c r="B3" i="17" s="1"/>
  <c r="H18" i="17"/>
  <c r="C3" i="17" s="1"/>
  <c r="H3" i="17" s="1"/>
  <c r="G26" i="17"/>
  <c r="I26" i="17" s="1"/>
  <c r="B8" i="17" s="1"/>
  <c r="H26" i="17"/>
  <c r="J26" i="17" s="1"/>
  <c r="C8" i="17" s="1"/>
  <c r="H8" i="17" s="1"/>
  <c r="G23" i="17"/>
  <c r="I23" i="17" s="1"/>
  <c r="B5" i="17" s="1"/>
  <c r="G27" i="17"/>
  <c r="I27" i="17" s="1"/>
  <c r="B9" i="17" s="1"/>
  <c r="H23" i="17"/>
  <c r="J23" i="17" s="1"/>
  <c r="C5" i="17" s="1"/>
  <c r="H5" i="17" s="1"/>
  <c r="H27" i="17"/>
  <c r="J27" i="17" s="1"/>
  <c r="C9" i="17" s="1"/>
  <c r="H9" i="17" s="1"/>
  <c r="H24" i="17"/>
  <c r="J24" i="17" s="1"/>
  <c r="C6" i="17" s="1"/>
  <c r="H6" i="17" s="1"/>
  <c r="E20" i="15" l="1"/>
  <c r="G20" i="15" s="1"/>
  <c r="E19" i="15"/>
  <c r="G19" i="15" s="1"/>
  <c r="F18" i="15"/>
  <c r="H25" i="15" s="1"/>
  <c r="J25" i="15" s="1"/>
  <c r="C7" i="15" s="1"/>
  <c r="E18" i="15"/>
  <c r="G26" i="15" s="1"/>
  <c r="I26" i="15" s="1"/>
  <c r="B8" i="15" s="1"/>
  <c r="G17" i="15"/>
  <c r="F17" i="15"/>
  <c r="H17" i="15" s="1"/>
  <c r="C4" i="15" s="1"/>
  <c r="H4" i="15" s="1"/>
  <c r="E17" i="15"/>
  <c r="I10" i="15"/>
  <c r="I9" i="15"/>
  <c r="I8" i="15"/>
  <c r="I7" i="15"/>
  <c r="I6" i="15"/>
  <c r="I5" i="15"/>
  <c r="I4" i="15"/>
  <c r="B4" i="15"/>
  <c r="I3" i="15"/>
  <c r="H28" i="14"/>
  <c r="J28" i="14" s="1"/>
  <c r="C10" i="14" s="1"/>
  <c r="G28" i="14"/>
  <c r="I28" i="14" s="1"/>
  <c r="B10" i="14" s="1"/>
  <c r="E20" i="14"/>
  <c r="G20" i="14" s="1"/>
  <c r="E19" i="14"/>
  <c r="G19" i="14" s="1"/>
  <c r="F18" i="14"/>
  <c r="H27" i="14" s="1"/>
  <c r="J27" i="14" s="1"/>
  <c r="C9" i="14" s="1"/>
  <c r="E18" i="14"/>
  <c r="G27" i="14" s="1"/>
  <c r="I27" i="14" s="1"/>
  <c r="B9" i="14" s="1"/>
  <c r="F17" i="14"/>
  <c r="H17" i="14" s="1"/>
  <c r="C4" i="14" s="1"/>
  <c r="E17" i="14"/>
  <c r="G17" i="14" s="1"/>
  <c r="B4" i="14" s="1"/>
  <c r="I10" i="14"/>
  <c r="I9" i="14"/>
  <c r="I8" i="14"/>
  <c r="I7" i="14"/>
  <c r="I6" i="14"/>
  <c r="I5" i="14"/>
  <c r="I4" i="14"/>
  <c r="I3" i="14"/>
  <c r="G23" i="15" l="1"/>
  <c r="I23" i="15" s="1"/>
  <c r="B5" i="15" s="1"/>
  <c r="G27" i="15"/>
  <c r="I27" i="15" s="1"/>
  <c r="B9" i="15" s="1"/>
  <c r="H23" i="15"/>
  <c r="J23" i="15" s="1"/>
  <c r="C5" i="15" s="1"/>
  <c r="H5" i="15" s="1"/>
  <c r="H27" i="15"/>
  <c r="J27" i="15" s="1"/>
  <c r="C9" i="15" s="1"/>
  <c r="H9" i="15" s="1"/>
  <c r="G25" i="15"/>
  <c r="I25" i="15" s="1"/>
  <c r="B7" i="15" s="1"/>
  <c r="H7" i="15" s="1"/>
  <c r="G18" i="15"/>
  <c r="B3" i="15" s="1"/>
  <c r="H26" i="15"/>
  <c r="J26" i="15" s="1"/>
  <c r="C8" i="15" s="1"/>
  <c r="H8" i="15" s="1"/>
  <c r="H18" i="15"/>
  <c r="C3" i="15" s="1"/>
  <c r="G28" i="15"/>
  <c r="I28" i="15" s="1"/>
  <c r="B10" i="15" s="1"/>
  <c r="G24" i="15"/>
  <c r="I24" i="15" s="1"/>
  <c r="B6" i="15" s="1"/>
  <c r="H24" i="15"/>
  <c r="J24" i="15" s="1"/>
  <c r="C6" i="15" s="1"/>
  <c r="H6" i="15" s="1"/>
  <c r="H28" i="15"/>
  <c r="J28" i="15" s="1"/>
  <c r="C10" i="15" s="1"/>
  <c r="H10" i="15" s="1"/>
  <c r="H10" i="14"/>
  <c r="H4" i="14"/>
  <c r="H9" i="14"/>
  <c r="G24" i="14"/>
  <c r="I24" i="14" s="1"/>
  <c r="B6" i="14" s="1"/>
  <c r="H24" i="14"/>
  <c r="J24" i="14" s="1"/>
  <c r="C6" i="14" s="1"/>
  <c r="G25" i="14"/>
  <c r="I25" i="14" s="1"/>
  <c r="B7" i="14" s="1"/>
  <c r="H25" i="14"/>
  <c r="J25" i="14" s="1"/>
  <c r="C7" i="14" s="1"/>
  <c r="H7" i="14" s="1"/>
  <c r="G18" i="14"/>
  <c r="B3" i="14" s="1"/>
  <c r="H18" i="14"/>
  <c r="C3" i="14" s="1"/>
  <c r="H3" i="14" s="1"/>
  <c r="G26" i="14"/>
  <c r="I26" i="14" s="1"/>
  <c r="B8" i="14" s="1"/>
  <c r="H26" i="14"/>
  <c r="J26" i="14" s="1"/>
  <c r="C8" i="14" s="1"/>
  <c r="H8" i="14" s="1"/>
  <c r="G23" i="14"/>
  <c r="I23" i="14" s="1"/>
  <c r="B5" i="14" s="1"/>
  <c r="H23" i="14"/>
  <c r="J23" i="14" s="1"/>
  <c r="C5" i="14" s="1"/>
  <c r="H5" i="14" s="1"/>
  <c r="H3" i="15" l="1"/>
  <c r="H6" i="14"/>
</calcChain>
</file>

<file path=xl/sharedStrings.xml><?xml version="1.0" encoding="utf-8"?>
<sst xmlns="http://schemas.openxmlformats.org/spreadsheetml/2006/main" count="151" uniqueCount="63">
  <si>
    <t>Concentrations in mM</t>
  </si>
  <si>
    <t xml:space="preserve">Run: </t>
  </si>
  <si>
    <t>Ratio peak area</t>
  </si>
  <si>
    <t>120 dil</t>
  </si>
  <si>
    <t>100 dil</t>
  </si>
  <si>
    <t>72 dil</t>
  </si>
  <si>
    <t>50 dil</t>
  </si>
  <si>
    <t>25 dil</t>
  </si>
  <si>
    <t>12 dil</t>
  </si>
  <si>
    <t>5 dil</t>
  </si>
  <si>
    <t>MW analyte</t>
  </si>
  <si>
    <t>Solution</t>
  </si>
  <si>
    <t>Volume / mL</t>
  </si>
  <si>
    <t>Conc BP / M</t>
  </si>
  <si>
    <t>Conc analyte / uM</t>
  </si>
  <si>
    <t>A</t>
  </si>
  <si>
    <t>B</t>
  </si>
  <si>
    <t>C</t>
  </si>
  <si>
    <t>D</t>
  </si>
  <si>
    <t>Diluted solutions</t>
  </si>
  <si>
    <t>Volume</t>
  </si>
  <si>
    <t>Mass Analyte /mg</t>
  </si>
  <si>
    <t>Conc Analyte / M</t>
  </si>
  <si>
    <t>Conc. Analyte</t>
  </si>
  <si>
    <t>Conc. IS</t>
  </si>
  <si>
    <t>V from A</t>
  </si>
  <si>
    <t>V from B</t>
  </si>
  <si>
    <t>V from C</t>
  </si>
  <si>
    <t>V from D</t>
  </si>
  <si>
    <t>Conc. IS / uM</t>
  </si>
  <si>
    <t>Conc. Analyte / uM</t>
  </si>
  <si>
    <t>Mass IS / mg</t>
  </si>
  <si>
    <t>Conc IS / uM</t>
  </si>
  <si>
    <t>MW IS</t>
  </si>
  <si>
    <t>[IS]</t>
  </si>
  <si>
    <t>[Analyte]</t>
  </si>
  <si>
    <t>IS</t>
  </si>
  <si>
    <t>Analyte</t>
  </si>
  <si>
    <t>Ratio Conc.</t>
  </si>
  <si>
    <t>Integrated peak areas at 254 nm ([mAU*s]):</t>
  </si>
  <si>
    <t>4503.9</t>
  </si>
  <si>
    <t>3146.6</t>
  </si>
  <si>
    <t>4558.3</t>
  </si>
  <si>
    <t>3371.2</t>
  </si>
  <si>
    <t>3511.2</t>
  </si>
  <si>
    <t>4546.8</t>
  </si>
  <si>
    <t>3590.8</t>
  </si>
  <si>
    <t>2.4 dil</t>
  </si>
  <si>
    <t>4516.3</t>
  </si>
  <si>
    <t>6849.7236328125</t>
  </si>
  <si>
    <t>7789.5546875</t>
  </si>
  <si>
    <t>7834.7978515625</t>
  </si>
  <si>
    <t>7785.51953125</t>
  </si>
  <si>
    <t>7851.05517578125</t>
  </si>
  <si>
    <t>8823.3623046875</t>
  </si>
  <si>
    <t>7864.7041015625</t>
  </si>
  <si>
    <t>Calibration sample</t>
  </si>
  <si>
    <t>Dilution_B1</t>
  </si>
  <si>
    <t>Dilution_A1</t>
  </si>
  <si>
    <t>Dilution_B2</t>
  </si>
  <si>
    <t>Dilution_A2</t>
  </si>
  <si>
    <t>Dilution_B3</t>
  </si>
  <si>
    <t>Dilution_A3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</si>
</sst>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202124"/>
      <name val="Arial"/>
      <family val="2"/>
    </font>
    <font>
      <sz val="8"/>
      <color rgb="FF000000"/>
      <name val="Calibri"/>
      <family val="2"/>
    </font>
    <font>
      <sz val="8"/>
      <color rgb="FF333333"/>
      <name val="Arial"/>
      <family val="2"/>
    </font>
    <font>
      <sz val="9"/>
      <color rgb="FF000000"/>
      <name val="Aptos Narrow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4652884251327"/>
          <c:y val="0.17136681457292596"/>
          <c:w val="0.77281172753491978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'ArPyrrolidine (3ab)'!$H$3:$H$10</c:f>
              <c:numCache>
                <c:formatCode>General</c:formatCode>
                <c:ptCount val="8"/>
                <c:pt idx="0">
                  <c:v>0.69834850240995139</c:v>
                </c:pt>
                <c:pt idx="1">
                  <c:v>0.92617005567333399</c:v>
                </c:pt>
                <c:pt idx="2">
                  <c:v>0.34664337060388994</c:v>
                </c:pt>
                <c:pt idx="3">
                  <c:v>0.43602767563936001</c:v>
                </c:pt>
                <c:pt idx="4">
                  <c:v>0.21182551681142156</c:v>
                </c:pt>
                <c:pt idx="5">
                  <c:v>6.8928985924465169E-2</c:v>
                </c:pt>
                <c:pt idx="6">
                  <c:v>4.3617414109976958E-2</c:v>
                </c:pt>
                <c:pt idx="7">
                  <c:v>1.3769920133697672E-2</c:v>
                </c:pt>
              </c:numCache>
            </c:numRef>
          </c:xVal>
          <c:yVal>
            <c:numRef>
              <c:f>'ArPyrrolidine (3ab)'!$I$3:$I$10</c:f>
              <c:numCache>
                <c:formatCode>General</c:formatCode>
                <c:ptCount val="8"/>
                <c:pt idx="0">
                  <c:v>0.4971913230755568</c:v>
                </c:pt>
                <c:pt idx="1">
                  <c:v>0.65105192906629372</c:v>
                </c:pt>
                <c:pt idx="2">
                  <c:v>0.2485356382862032</c:v>
                </c:pt>
                <c:pt idx="3">
                  <c:v>0.31027527289985762</c:v>
                </c:pt>
                <c:pt idx="4">
                  <c:v>0.14972089314194578</c:v>
                </c:pt>
                <c:pt idx="5">
                  <c:v>4.9661300255124483E-2</c:v>
                </c:pt>
                <c:pt idx="6">
                  <c:v>2.935279046452044E-2</c:v>
                </c:pt>
                <c:pt idx="7">
                  <c:v>1.0185328698270707E-2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82-44A4-A776-3831099E0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4652884251327"/>
          <c:y val="0.17136681457292596"/>
          <c:w val="0.77281172753491978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'ArPiperidine (3ac)'!$H$3:$H$10</c:f>
              <c:numCache>
                <c:formatCode>General</c:formatCode>
                <c:ptCount val="8"/>
                <c:pt idx="0">
                  <c:v>0.58791349783651969</c:v>
                </c:pt>
                <c:pt idx="1">
                  <c:v>0.59663273032672393</c:v>
                </c:pt>
                <c:pt idx="2">
                  <c:v>0.24797912472540082</c:v>
                </c:pt>
                <c:pt idx="3">
                  <c:v>0.29108006764575461</c:v>
                </c:pt>
                <c:pt idx="4">
                  <c:v>0.14379599507125507</c:v>
                </c:pt>
                <c:pt idx="5">
                  <c:v>4.4080178475922403E-2</c:v>
                </c:pt>
                <c:pt idx="6">
                  <c:v>2.998913070805969E-2</c:v>
                </c:pt>
                <c:pt idx="7">
                  <c:v>8.6242126610249666E-3</c:v>
                </c:pt>
              </c:numCache>
            </c:numRef>
          </c:xVal>
          <c:yVal>
            <c:numRef>
              <c:f>'ArPiperidine (3ac)'!$I$3:$I$10</c:f>
              <c:numCache>
                <c:formatCode>General</c:formatCode>
                <c:ptCount val="8"/>
                <c:pt idx="0">
                  <c:v>0.36398961551397063</c:v>
                </c:pt>
                <c:pt idx="1">
                  <c:v>0.37353892702868324</c:v>
                </c:pt>
                <c:pt idx="2">
                  <c:v>0.1559375752929168</c:v>
                </c:pt>
                <c:pt idx="3">
                  <c:v>0.18384279228314987</c:v>
                </c:pt>
                <c:pt idx="4">
                  <c:v>9.0712235697318996E-2</c:v>
                </c:pt>
                <c:pt idx="5">
                  <c:v>2.735241528864632E-2</c:v>
                </c:pt>
                <c:pt idx="6">
                  <c:v>1.7842180479761671E-2</c:v>
                </c:pt>
                <c:pt idx="7">
                  <c:v>5.2617188816448408E-3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F1-4283-8714-16F0657F2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ax val="0.650000000000000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'ArMorpholine (3af)'!$H$3:$H$10</c:f>
              <c:numCache>
                <c:formatCode>General</c:formatCode>
                <c:ptCount val="8"/>
                <c:pt idx="0">
                  <c:v>0.59477208429667827</c:v>
                </c:pt>
                <c:pt idx="1">
                  <c:v>0.83445514441472024</c:v>
                </c:pt>
                <c:pt idx="2">
                  <c:v>0.2952305322202457</c:v>
                </c:pt>
                <c:pt idx="3">
                  <c:v>0.39284960123218188</c:v>
                </c:pt>
                <c:pt idx="4">
                  <c:v>0.19084928425276307</c:v>
                </c:pt>
                <c:pt idx="5">
                  <c:v>5.8705698494766811E-2</c:v>
                </c:pt>
                <c:pt idx="6">
                  <c:v>3.9298156280464812E-2</c:v>
                </c:pt>
                <c:pt idx="7">
                  <c:v>1.1727617472157774E-2</c:v>
                </c:pt>
              </c:numCache>
            </c:numRef>
          </c:xVal>
          <c:yVal>
            <c:numRef>
              <c:f>'ArMorpholine (3af)'!$I$3:$I$10</c:f>
              <c:numCache>
                <c:formatCode>General</c:formatCode>
                <c:ptCount val="8"/>
                <c:pt idx="0">
                  <c:v>0.42349963365083598</c:v>
                </c:pt>
                <c:pt idx="1">
                  <c:v>0.59489607830674385</c:v>
                </c:pt>
                <c:pt idx="2">
                  <c:v>0.21128490884759668</c:v>
                </c:pt>
                <c:pt idx="3">
                  <c:v>0.28337090650213576</c:v>
                </c:pt>
                <c:pt idx="4">
                  <c:v>0.1371041239462292</c:v>
                </c:pt>
                <c:pt idx="5">
                  <c:v>4.2293481129585642E-2</c:v>
                </c:pt>
                <c:pt idx="6">
                  <c:v>2.6929932048568563E-2</c:v>
                </c:pt>
                <c:pt idx="7">
                  <c:v>8.7682394880765225E-3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6E-4625-A9BF-4622D7660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358140</xdr:colOff>
      <xdr:row>0</xdr:row>
      <xdr:rowOff>167640</xdr:rowOff>
    </xdr:from>
    <xdr:to>
      <xdr:col>14</xdr:col>
      <xdr:colOff>186611</xdr:colOff>
      <xdr:row>14</xdr:row>
      <xdr:rowOff>133710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AA8E0D-7E36-4DB0-AE1F-66CB62A7B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353719</xdr:colOff>
      <xdr:row>2</xdr:row>
      <xdr:rowOff>23518</xdr:rowOff>
    </xdr:from>
    <xdr:to>
      <xdr:col>14</xdr:col>
      <xdr:colOff>203827</xdr:colOff>
      <xdr:row>15</xdr:row>
      <xdr:rowOff>172468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719251D-84DD-4A6D-BA2B-B3024D584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502920</xdr:colOff>
      <xdr:row>0</xdr:row>
      <xdr:rowOff>106680</xdr:rowOff>
    </xdr:from>
    <xdr:to>
      <xdr:col>15</xdr:col>
      <xdr:colOff>31546</xdr:colOff>
      <xdr:row>12</xdr:row>
      <xdr:rowOff>100040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94AD0C-F70D-400A-A282-33A320BEC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3F6C-5632-478A-BC6A-5FAA81871BFB}">
  <dimension ref="A1:J28"/>
  <sheetViews>
    <sheetView workbookViewId="0">
      <selection activeCell="C18" sqref="C18"/>
    </sheetView>
  </sheetViews>
  <sheetFormatPr defaultRowHeight="14.4" x14ac:dyDescent="0.3"/>
  <cols>
    <col min="6" max="6" width="14.33203125" bestFit="1" customWidth="1"/>
    <col min="7" max="7" width="11.77734375" bestFit="1" customWidth="1"/>
    <col min="8" max="8" width="15.21875" bestFit="1" customWidth="1"/>
    <col min="9" max="9" width="13.33203125" bestFit="1" customWidth="1"/>
    <col min="10" max="10" width="15.88671875" bestFit="1" customWidth="1"/>
  </cols>
  <sheetData>
    <row r="1" spans="1:9" x14ac:dyDescent="0.3">
      <c r="B1" t="s">
        <v>0</v>
      </c>
      <c r="E1" t="s">
        <v>39</v>
      </c>
    </row>
    <row r="2" spans="1:9" x14ac:dyDescent="0.3">
      <c r="A2" t="s">
        <v>1</v>
      </c>
      <c r="B2" t="s">
        <v>34</v>
      </c>
      <c r="C2" t="s">
        <v>35</v>
      </c>
      <c r="E2" t="s">
        <v>36</v>
      </c>
      <c r="F2" t="s">
        <v>37</v>
      </c>
      <c r="H2" t="s">
        <v>38</v>
      </c>
      <c r="I2" t="s">
        <v>2</v>
      </c>
    </row>
    <row r="3" spans="1:9" x14ac:dyDescent="0.3">
      <c r="A3" t="s">
        <v>3</v>
      </c>
      <c r="B3">
        <f>G18</f>
        <v>5.1514168990337845</v>
      </c>
      <c r="C3">
        <f>H18</f>
        <v>3.5974842767295589</v>
      </c>
      <c r="E3" t="s">
        <v>40</v>
      </c>
      <c r="F3">
        <v>2239.3000000000002</v>
      </c>
      <c r="H3">
        <f t="shared" ref="H3:H10" si="0">C3/B3</f>
        <v>0.69834850240995139</v>
      </c>
      <c r="I3">
        <f>F3/E3</f>
        <v>0.4971913230755568</v>
      </c>
    </row>
    <row r="4" spans="1:9" x14ac:dyDescent="0.3">
      <c r="A4" t="s">
        <v>4</v>
      </c>
      <c r="B4">
        <f>G17</f>
        <v>3.6365994423189152</v>
      </c>
      <c r="C4">
        <f>H17</f>
        <v>3.368109507954125</v>
      </c>
      <c r="E4" t="s">
        <v>41</v>
      </c>
      <c r="F4">
        <v>2048.6</v>
      </c>
      <c r="H4">
        <f t="shared" si="0"/>
        <v>0.92617005567333399</v>
      </c>
      <c r="I4">
        <f>F4/E4</f>
        <v>0.65105192906629372</v>
      </c>
    </row>
    <row r="5" spans="1:9" x14ac:dyDescent="0.3">
      <c r="A5" t="s">
        <v>5</v>
      </c>
      <c r="B5">
        <f t="shared" ref="B5:C10" si="1">I23</f>
        <v>5.1890279489008488</v>
      </c>
      <c r="C5">
        <f t="shared" si="1"/>
        <v>1.7987421383647797</v>
      </c>
      <c r="E5" t="s">
        <v>42</v>
      </c>
      <c r="F5">
        <v>1132.9000000000001</v>
      </c>
      <c r="H5">
        <f t="shared" si="0"/>
        <v>0.34664337060388994</v>
      </c>
      <c r="I5">
        <f t="shared" ref="I5:I10" si="2">F5/E5</f>
        <v>0.2485356382862032</v>
      </c>
    </row>
    <row r="6" spans="1:9" x14ac:dyDescent="0.3">
      <c r="A6" t="s">
        <v>6</v>
      </c>
      <c r="B6">
        <f t="shared" si="1"/>
        <v>3.862265741521302</v>
      </c>
      <c r="C6">
        <f t="shared" si="1"/>
        <v>1.6840547539770625</v>
      </c>
      <c r="E6" t="s">
        <v>43</v>
      </c>
      <c r="F6">
        <v>1046</v>
      </c>
      <c r="H6">
        <f t="shared" si="0"/>
        <v>0.43602767563936001</v>
      </c>
      <c r="I6">
        <f t="shared" si="2"/>
        <v>0.31027527289985762</v>
      </c>
    </row>
    <row r="7" spans="1:9" x14ac:dyDescent="0.3">
      <c r="A7" t="s">
        <v>7</v>
      </c>
      <c r="B7">
        <f t="shared" si="1"/>
        <v>3.9750988911224949</v>
      </c>
      <c r="C7">
        <f t="shared" si="1"/>
        <v>0.84202737698853125</v>
      </c>
      <c r="E7" t="s">
        <v>44</v>
      </c>
      <c r="F7">
        <v>525.70000000000005</v>
      </c>
      <c r="H7">
        <f t="shared" si="0"/>
        <v>0.21182551681142156</v>
      </c>
      <c r="I7">
        <f t="shared" si="2"/>
        <v>0.14972089314194578</v>
      </c>
    </row>
    <row r="8" spans="1:9" x14ac:dyDescent="0.3">
      <c r="A8" t="s">
        <v>8</v>
      </c>
      <c r="B8">
        <f t="shared" si="1"/>
        <v>5.2191167887945005</v>
      </c>
      <c r="C8">
        <f t="shared" si="1"/>
        <v>0.35974842767295595</v>
      </c>
      <c r="E8" t="s">
        <v>45</v>
      </c>
      <c r="F8">
        <v>225.8</v>
      </c>
      <c r="H8">
        <f t="shared" si="0"/>
        <v>6.8928985924465169E-2</v>
      </c>
      <c r="I8">
        <f t="shared" si="2"/>
        <v>4.9661300255124483E-2</v>
      </c>
    </row>
    <row r="9" spans="1:9" x14ac:dyDescent="0.3">
      <c r="A9" t="s">
        <v>9</v>
      </c>
      <c r="B9">
        <f t="shared" si="1"/>
        <v>3.8609688087672658</v>
      </c>
      <c r="C9">
        <f t="shared" si="1"/>
        <v>0.16840547539770626</v>
      </c>
      <c r="E9" t="s">
        <v>46</v>
      </c>
      <c r="F9">
        <v>105.4</v>
      </c>
      <c r="H9">
        <f t="shared" si="0"/>
        <v>4.3617414109976958E-2</v>
      </c>
      <c r="I9">
        <f t="shared" si="2"/>
        <v>2.935279046452044E-2</v>
      </c>
    </row>
    <row r="10" spans="1:9" x14ac:dyDescent="0.3">
      <c r="A10" t="s">
        <v>47</v>
      </c>
      <c r="B10">
        <f t="shared" si="1"/>
        <v>5.2251345567732308</v>
      </c>
      <c r="C10">
        <f t="shared" si="1"/>
        <v>7.1949685534591176E-2</v>
      </c>
      <c r="E10" t="s">
        <v>48</v>
      </c>
      <c r="F10">
        <v>46</v>
      </c>
      <c r="H10">
        <f t="shared" si="0"/>
        <v>1.3769920133697672E-2</v>
      </c>
      <c r="I10">
        <f t="shared" si="2"/>
        <v>1.0185328698270707E-2</v>
      </c>
    </row>
    <row r="12" spans="1:9" x14ac:dyDescent="0.3">
      <c r="A12" t="s">
        <v>33</v>
      </c>
      <c r="B12" s="1">
        <v>154.21</v>
      </c>
    </row>
    <row r="13" spans="1:9" x14ac:dyDescent="0.3">
      <c r="A13" t="s">
        <v>10</v>
      </c>
      <c r="B13">
        <v>270.3</v>
      </c>
    </row>
    <row r="16" spans="1:9" x14ac:dyDescent="0.3">
      <c r="A16" t="s">
        <v>11</v>
      </c>
      <c r="B16" t="s">
        <v>31</v>
      </c>
      <c r="C16" t="s">
        <v>21</v>
      </c>
      <c r="D16" t="s">
        <v>12</v>
      </c>
      <c r="E16" t="s">
        <v>13</v>
      </c>
      <c r="F16" t="s">
        <v>22</v>
      </c>
      <c r="G16" t="s">
        <v>32</v>
      </c>
      <c r="H16" t="s">
        <v>14</v>
      </c>
    </row>
    <row r="17" spans="1:10" x14ac:dyDescent="0.3">
      <c r="A17" t="s">
        <v>15</v>
      </c>
      <c r="B17" s="3">
        <v>14.02</v>
      </c>
      <c r="C17" s="3">
        <v>22.76</v>
      </c>
      <c r="D17">
        <v>25</v>
      </c>
      <c r="E17">
        <f>B17/D17/$B$12</f>
        <v>3.6365994423189153E-3</v>
      </c>
      <c r="F17">
        <f>C17/D17/$B$13</f>
        <v>3.3681095079541251E-3</v>
      </c>
      <c r="G17">
        <f>E17*1000</f>
        <v>3.6365994423189152</v>
      </c>
      <c r="H17">
        <f>1000*F17</f>
        <v>3.368109507954125</v>
      </c>
    </row>
    <row r="18" spans="1:10" x14ac:dyDescent="0.3">
      <c r="A18" t="s">
        <v>16</v>
      </c>
      <c r="B18" s="3">
        <v>19.86</v>
      </c>
      <c r="C18" s="3">
        <v>24.31</v>
      </c>
      <c r="D18">
        <v>25</v>
      </c>
      <c r="E18">
        <f>B18/D18/$B$12</f>
        <v>5.1514168990337847E-3</v>
      </c>
      <c r="F18">
        <f>C18/D18/$B$13</f>
        <v>3.5974842767295592E-3</v>
      </c>
      <c r="G18">
        <f>E18*1000</f>
        <v>5.1514168990337845</v>
      </c>
      <c r="H18">
        <f>1000*F18</f>
        <v>3.5974842767295589</v>
      </c>
    </row>
    <row r="19" spans="1:10" x14ac:dyDescent="0.3">
      <c r="A19" t="s">
        <v>17</v>
      </c>
      <c r="B19" s="3">
        <v>15.76</v>
      </c>
      <c r="D19">
        <v>25</v>
      </c>
      <c r="E19">
        <f>B19/D19/$B$12</f>
        <v>4.0879320407236882E-3</v>
      </c>
      <c r="G19">
        <f>E19*1000</f>
        <v>4.0879320407236879</v>
      </c>
    </row>
    <row r="20" spans="1:10" x14ac:dyDescent="0.3">
      <c r="A20" t="s">
        <v>18</v>
      </c>
      <c r="B20" s="3">
        <v>20.149999999999999</v>
      </c>
      <c r="D20">
        <v>25</v>
      </c>
      <c r="E20">
        <f>B20/D20/$B$12</f>
        <v>5.2266389987679135E-3</v>
      </c>
      <c r="G20">
        <f>E20*1000</f>
        <v>5.2266389987679132</v>
      </c>
    </row>
    <row r="22" spans="1:10" x14ac:dyDescent="0.3">
      <c r="A22" t="s">
        <v>19</v>
      </c>
      <c r="B22" t="s">
        <v>20</v>
      </c>
      <c r="C22" t="s">
        <v>25</v>
      </c>
      <c r="D22" t="s">
        <v>26</v>
      </c>
      <c r="E22" t="s">
        <v>27</v>
      </c>
      <c r="F22" t="s">
        <v>28</v>
      </c>
      <c r="G22" t="s">
        <v>24</v>
      </c>
      <c r="H22" t="s">
        <v>23</v>
      </c>
      <c r="I22" t="s">
        <v>29</v>
      </c>
      <c r="J22" t="s">
        <v>30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5.1890279489008491E-3</v>
      </c>
      <c r="H23">
        <f t="shared" ref="H23:H28" si="4">(D23*$F$18+C23*$F$17)/B23</f>
        <v>1.7987421383647798E-3</v>
      </c>
      <c r="I23">
        <f>G23*1000</f>
        <v>5.1890279489008488</v>
      </c>
      <c r="J23">
        <f>H23*1000</f>
        <v>1.7987421383647797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3.862265741521302E-3</v>
      </c>
      <c r="H24">
        <f t="shared" si="4"/>
        <v>1.6840547539770626E-3</v>
      </c>
      <c r="I24">
        <f t="shared" ref="I24:J28" si="5">G24*1000</f>
        <v>3.862265741521302</v>
      </c>
      <c r="J24">
        <f t="shared" si="5"/>
        <v>1.6840547539770625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3.9750988911224951E-3</v>
      </c>
      <c r="H25">
        <f t="shared" si="4"/>
        <v>8.4202737698853129E-4</v>
      </c>
      <c r="I25">
        <f t="shared" si="5"/>
        <v>3.9750988911224949</v>
      </c>
      <c r="J25">
        <f t="shared" si="5"/>
        <v>0.84202737698853125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5.2191167887945004E-3</v>
      </c>
      <c r="H26">
        <f t="shared" si="4"/>
        <v>3.5974842767295593E-4</v>
      </c>
      <c r="I26">
        <f t="shared" si="5"/>
        <v>5.2191167887945005</v>
      </c>
      <c r="J26">
        <f t="shared" si="5"/>
        <v>0.35974842767295595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3.8609688087672656E-3</v>
      </c>
      <c r="H27">
        <f t="shared" si="4"/>
        <v>1.6840547539770625E-4</v>
      </c>
      <c r="I27">
        <f t="shared" si="5"/>
        <v>3.8609688087672658</v>
      </c>
      <c r="J27">
        <f t="shared" si="5"/>
        <v>0.16840547539770626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5.225134556773231E-3</v>
      </c>
      <c r="H28">
        <f t="shared" si="4"/>
        <v>7.1949685534591183E-5</v>
      </c>
      <c r="I28">
        <f t="shared" si="5"/>
        <v>5.2251345567732308</v>
      </c>
      <c r="J28">
        <f t="shared" si="5"/>
        <v>7.1949685534591176E-2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C227-E5A8-4D92-9FFA-8D44268B4E74}">
  <dimension ref="A1:J28"/>
  <sheetViews>
    <sheetView workbookViewId="0">
      <selection sqref="A1:O30"/>
    </sheetView>
  </sheetViews>
  <sheetFormatPr defaultRowHeight="14.4" x14ac:dyDescent="0.3"/>
  <sheetData>
    <row r="1" spans="1:9" x14ac:dyDescent="0.3">
      <c r="B1" t="s">
        <v>0</v>
      </c>
      <c r="E1" t="s">
        <v>39</v>
      </c>
    </row>
    <row r="2" spans="1:9" x14ac:dyDescent="0.3">
      <c r="A2" t="s">
        <v>1</v>
      </c>
      <c r="B2" t="s">
        <v>34</v>
      </c>
      <c r="C2" t="s">
        <v>35</v>
      </c>
      <c r="E2" t="s">
        <v>36</v>
      </c>
      <c r="F2" t="s">
        <v>37</v>
      </c>
      <c r="H2" t="s">
        <v>38</v>
      </c>
      <c r="I2" t="s">
        <v>2</v>
      </c>
    </row>
    <row r="3" spans="1:9" x14ac:dyDescent="0.3">
      <c r="B3">
        <f>G18</f>
        <v>3.6443810388431359</v>
      </c>
      <c r="C3">
        <f>H18</f>
        <v>2.1425808039953576</v>
      </c>
      <c r="E3" t="s">
        <v>49</v>
      </c>
      <c r="F3">
        <v>2493.22827148438</v>
      </c>
      <c r="H3">
        <f>C3/B3</f>
        <v>0.58791349783651969</v>
      </c>
      <c r="I3">
        <f>F3/E3</f>
        <v>0.36398961551397063</v>
      </c>
    </row>
    <row r="4" spans="1:9" x14ac:dyDescent="0.3">
      <c r="A4" t="s">
        <v>4</v>
      </c>
      <c r="B4">
        <f>G17</f>
        <v>4.1735296024901105</v>
      </c>
      <c r="C4">
        <f>H17</f>
        <v>2.4900643618330816</v>
      </c>
      <c r="E4" t="s">
        <v>50</v>
      </c>
      <c r="F4">
        <v>2909.7019</v>
      </c>
      <c r="H4">
        <f>C4/B4</f>
        <v>0.59663273032672393</v>
      </c>
      <c r="I4">
        <f>F4/E4</f>
        <v>0.37353892702868324</v>
      </c>
    </row>
    <row r="5" spans="1:9" x14ac:dyDescent="0.3">
      <c r="A5" t="s">
        <v>5</v>
      </c>
      <c r="B5">
        <f>I23</f>
        <v>4.3200830036962587</v>
      </c>
      <c r="C5">
        <f t="shared" ref="B5:C10" si="0">J23</f>
        <v>1.0712904019976788</v>
      </c>
      <c r="E5" t="s">
        <v>51</v>
      </c>
      <c r="F5">
        <v>1221.73937988281</v>
      </c>
      <c r="H5">
        <f t="shared" ref="H5:H10" si="1">C5/B5</f>
        <v>0.24797912472540082</v>
      </c>
      <c r="I5">
        <f t="shared" ref="I5:I10" si="2">F5/E5</f>
        <v>0.1559375752929168</v>
      </c>
    </row>
    <row r="6" spans="1:9" x14ac:dyDescent="0.3">
      <c r="A6" t="s">
        <v>6</v>
      </c>
      <c r="B6">
        <f t="shared" si="0"/>
        <v>4.277284222813047</v>
      </c>
      <c r="C6">
        <f t="shared" si="0"/>
        <v>1.2450321809165408</v>
      </c>
      <c r="E6" t="s">
        <v>52</v>
      </c>
      <c r="F6">
        <v>1431.3116500000001</v>
      </c>
      <c r="H6">
        <f t="shared" si="1"/>
        <v>0.29108006764575461</v>
      </c>
      <c r="I6">
        <f t="shared" si="2"/>
        <v>0.18384279228314987</v>
      </c>
    </row>
    <row r="7" spans="1:9" x14ac:dyDescent="0.3">
      <c r="A7" t="s">
        <v>7</v>
      </c>
      <c r="B7">
        <f t="shared" si="0"/>
        <v>4.3291615329745152</v>
      </c>
      <c r="C7">
        <f t="shared" si="0"/>
        <v>0.62251609045827039</v>
      </c>
      <c r="E7" t="s">
        <v>53</v>
      </c>
      <c r="F7">
        <v>712.186767578125</v>
      </c>
      <c r="H7">
        <f t="shared" si="1"/>
        <v>0.14379599507125507</v>
      </c>
      <c r="I7">
        <f t="shared" si="2"/>
        <v>9.0712235697318996E-2</v>
      </c>
    </row>
    <row r="8" spans="1:9" x14ac:dyDescent="0.3">
      <c r="A8" t="s">
        <v>8</v>
      </c>
      <c r="B8">
        <f t="shared" si="0"/>
        <v>4.8606445755787577</v>
      </c>
      <c r="C8">
        <f t="shared" si="0"/>
        <v>0.21425808039953576</v>
      </c>
      <c r="E8" t="s">
        <v>54</v>
      </c>
      <c r="F8">
        <v>241.34027</v>
      </c>
      <c r="H8">
        <f t="shared" si="1"/>
        <v>4.4080178475922403E-2</v>
      </c>
      <c r="I8">
        <f t="shared" si="2"/>
        <v>2.735241528864632E-2</v>
      </c>
    </row>
    <row r="9" spans="1:9" x14ac:dyDescent="0.3">
      <c r="A9" t="s">
        <v>9</v>
      </c>
      <c r="B9">
        <f t="shared" si="0"/>
        <v>4.1516114389468903</v>
      </c>
      <c r="C9">
        <f t="shared" si="0"/>
        <v>0.12450321809165407</v>
      </c>
      <c r="E9" t="s">
        <v>55</v>
      </c>
      <c r="F9">
        <v>140.32346999999999</v>
      </c>
      <c r="H9">
        <f t="shared" si="1"/>
        <v>2.998913070805969E-2</v>
      </c>
      <c r="I9">
        <f t="shared" si="2"/>
        <v>1.7842180479761671E-2</v>
      </c>
    </row>
    <row r="10" spans="1:9" x14ac:dyDescent="0.3">
      <c r="A10" t="s">
        <v>47</v>
      </c>
      <c r="B10">
        <f t="shared" si="0"/>
        <v>4.9687568899552561</v>
      </c>
      <c r="C10">
        <f t="shared" si="0"/>
        <v>4.2851616079907152E-2</v>
      </c>
      <c r="E10">
        <v>9182.7919899999997</v>
      </c>
      <c r="F10">
        <v>48.317270000000001</v>
      </c>
      <c r="H10">
        <f t="shared" si="1"/>
        <v>8.6242126610249666E-3</v>
      </c>
      <c r="I10">
        <f t="shared" si="2"/>
        <v>5.2617188816448408E-3</v>
      </c>
    </row>
    <row r="12" spans="1:9" x14ac:dyDescent="0.3">
      <c r="A12" t="s">
        <v>33</v>
      </c>
      <c r="B12" s="1">
        <v>154.21</v>
      </c>
    </row>
    <row r="13" spans="1:9" x14ac:dyDescent="0.3">
      <c r="A13" t="s">
        <v>10</v>
      </c>
      <c r="B13" s="2">
        <v>284.33</v>
      </c>
    </row>
    <row r="16" spans="1:9" x14ac:dyDescent="0.3">
      <c r="A16" t="s">
        <v>11</v>
      </c>
      <c r="B16" t="s">
        <v>31</v>
      </c>
      <c r="C16" t="s">
        <v>21</v>
      </c>
      <c r="D16" t="s">
        <v>12</v>
      </c>
      <c r="E16" t="s">
        <v>13</v>
      </c>
      <c r="F16" t="s">
        <v>22</v>
      </c>
      <c r="G16" t="s">
        <v>32</v>
      </c>
      <c r="H16" t="s">
        <v>14</v>
      </c>
    </row>
    <row r="17" spans="1:10" x14ac:dyDescent="0.3">
      <c r="A17" t="s">
        <v>15</v>
      </c>
      <c r="B17" s="4">
        <v>16.09</v>
      </c>
      <c r="C17" s="5">
        <v>17.7</v>
      </c>
      <c r="D17">
        <v>25</v>
      </c>
      <c r="E17">
        <f>B17/D17/$B$12</f>
        <v>4.1735296024901104E-3</v>
      </c>
      <c r="F17">
        <f>C17/D17/$B$13</f>
        <v>2.4900643618330815E-3</v>
      </c>
      <c r="G17">
        <f>E17*1000</f>
        <v>4.1735296024901105</v>
      </c>
      <c r="H17">
        <f>1000*F17</f>
        <v>2.4900643618330816</v>
      </c>
    </row>
    <row r="18" spans="1:10" x14ac:dyDescent="0.3">
      <c r="A18" t="s">
        <v>16</v>
      </c>
      <c r="B18" s="4">
        <v>14.05</v>
      </c>
      <c r="C18" s="5">
        <v>15.23</v>
      </c>
      <c r="D18">
        <v>25</v>
      </c>
      <c r="E18">
        <f>B18/D18/$B$12</f>
        <v>3.6443810388431361E-3</v>
      </c>
      <c r="F18">
        <f>C18/D18/$B$13</f>
        <v>2.1425808039953575E-3</v>
      </c>
      <c r="G18">
        <f>E18*1000</f>
        <v>3.6443810388431359</v>
      </c>
      <c r="H18">
        <f>1000*F18</f>
        <v>2.1425808039953576</v>
      </c>
    </row>
    <row r="19" spans="1:10" x14ac:dyDescent="0.3">
      <c r="A19" t="s">
        <v>17</v>
      </c>
      <c r="B19" s="5">
        <v>16.89</v>
      </c>
      <c r="D19">
        <v>25</v>
      </c>
      <c r="E19">
        <f>B19/D19/$B$12</f>
        <v>4.3810388431359832E-3</v>
      </c>
      <c r="G19">
        <f>E19*1000</f>
        <v>4.3810388431359835</v>
      </c>
    </row>
    <row r="20" spans="1:10" x14ac:dyDescent="0.3">
      <c r="A20" t="s">
        <v>18</v>
      </c>
      <c r="B20" s="5">
        <v>19.260000000000002</v>
      </c>
      <c r="D20">
        <v>25</v>
      </c>
      <c r="E20">
        <f>B20/D20/$B$12</f>
        <v>4.995784968549381E-3</v>
      </c>
      <c r="G20">
        <f>E20*1000</f>
        <v>4.9957849685493807</v>
      </c>
    </row>
    <row r="22" spans="1:10" x14ac:dyDescent="0.3">
      <c r="A22" t="s">
        <v>56</v>
      </c>
      <c r="B22" t="s">
        <v>20</v>
      </c>
      <c r="C22" t="s">
        <v>25</v>
      </c>
      <c r="D22" t="s">
        <v>26</v>
      </c>
      <c r="E22" t="s">
        <v>27</v>
      </c>
      <c r="F22" t="s">
        <v>28</v>
      </c>
      <c r="G22" t="s">
        <v>24</v>
      </c>
      <c r="H22" t="s">
        <v>23</v>
      </c>
      <c r="I22" t="s">
        <v>29</v>
      </c>
      <c r="J22" t="s">
        <v>30</v>
      </c>
    </row>
    <row r="23" spans="1:10" x14ac:dyDescent="0.3">
      <c r="A23" t="s">
        <v>57</v>
      </c>
      <c r="B23">
        <v>5</v>
      </c>
      <c r="C23">
        <v>0</v>
      </c>
      <c r="D23">
        <v>2.5</v>
      </c>
      <c r="E23">
        <v>0</v>
      </c>
      <c r="F23">
        <v>2.5</v>
      </c>
      <c r="G23">
        <f>(D23*$E$18+C23*$E$17+E23*$E$19+F23*$E$20)/B23</f>
        <v>4.3200830036962592E-3</v>
      </c>
      <c r="H23">
        <f t="shared" ref="H23:H28" si="3">(D23*$F$18+C23*$F$17)/B23</f>
        <v>1.0712904019976788E-3</v>
      </c>
      <c r="I23">
        <f>G23*1000</f>
        <v>4.3200830036962587</v>
      </c>
      <c r="J23">
        <f>H23*1000</f>
        <v>1.0712904019976788</v>
      </c>
    </row>
    <row r="24" spans="1:10" x14ac:dyDescent="0.3">
      <c r="A24" t="s">
        <v>58</v>
      </c>
      <c r="B24">
        <v>5</v>
      </c>
      <c r="C24">
        <v>2.5</v>
      </c>
      <c r="D24">
        <v>0</v>
      </c>
      <c r="E24">
        <v>2.5</v>
      </c>
      <c r="F24">
        <v>0</v>
      </c>
      <c r="G24">
        <f t="shared" ref="G24:G28" si="4">(D24*$E$18+C24*$E$17+E24*$E$19+F24*$E$20)/B24</f>
        <v>4.2772842228130468E-3</v>
      </c>
      <c r="H24">
        <f t="shared" si="3"/>
        <v>1.2450321809165407E-3</v>
      </c>
      <c r="I24">
        <f t="shared" ref="I24:J28" si="5">G24*1000</f>
        <v>4.277284222813047</v>
      </c>
      <c r="J24">
        <f t="shared" si="5"/>
        <v>1.2450321809165408</v>
      </c>
    </row>
    <row r="25" spans="1:10" x14ac:dyDescent="0.3">
      <c r="A25" t="s">
        <v>59</v>
      </c>
      <c r="B25">
        <v>5</v>
      </c>
      <c r="C25">
        <v>1.25</v>
      </c>
      <c r="D25">
        <v>0</v>
      </c>
      <c r="E25">
        <v>3.75</v>
      </c>
      <c r="F25">
        <v>0</v>
      </c>
      <c r="G25">
        <f t="shared" si="4"/>
        <v>4.329161532974515E-3</v>
      </c>
      <c r="H25">
        <f t="shared" si="3"/>
        <v>6.2251609045827036E-4</v>
      </c>
      <c r="I25">
        <f t="shared" si="5"/>
        <v>4.3291615329745152</v>
      </c>
      <c r="J25">
        <f t="shared" si="5"/>
        <v>0.62251609045827039</v>
      </c>
    </row>
    <row r="26" spans="1:10" x14ac:dyDescent="0.3">
      <c r="A26" t="s">
        <v>60</v>
      </c>
      <c r="B26">
        <v>5</v>
      </c>
      <c r="C26">
        <v>0</v>
      </c>
      <c r="D26">
        <v>0.5</v>
      </c>
      <c r="E26">
        <v>0</v>
      </c>
      <c r="F26">
        <v>4.5</v>
      </c>
      <c r="G26">
        <f t="shared" si="4"/>
        <v>4.8606445755787573E-3</v>
      </c>
      <c r="H26">
        <f t="shared" si="3"/>
        <v>2.1425808039953576E-4</v>
      </c>
      <c r="I26">
        <f t="shared" si="5"/>
        <v>4.8606445755787577</v>
      </c>
      <c r="J26">
        <f t="shared" si="5"/>
        <v>0.21425808039953576</v>
      </c>
    </row>
    <row r="27" spans="1:10" x14ac:dyDescent="0.3">
      <c r="A27" t="s">
        <v>61</v>
      </c>
      <c r="B27">
        <v>5</v>
      </c>
      <c r="C27">
        <v>0.25</v>
      </c>
      <c r="D27">
        <v>0</v>
      </c>
      <c r="E27">
        <v>4.5</v>
      </c>
      <c r="F27">
        <v>0</v>
      </c>
      <c r="G27">
        <f t="shared" si="4"/>
        <v>4.1516114389468905E-3</v>
      </c>
      <c r="H27">
        <f t="shared" si="3"/>
        <v>1.2450321809165407E-4</v>
      </c>
      <c r="I27">
        <f t="shared" si="5"/>
        <v>4.1516114389468903</v>
      </c>
      <c r="J27">
        <f t="shared" si="5"/>
        <v>0.12450321809165407</v>
      </c>
    </row>
    <row r="28" spans="1:10" x14ac:dyDescent="0.3">
      <c r="A28" t="s">
        <v>62</v>
      </c>
      <c r="B28">
        <v>5</v>
      </c>
      <c r="C28">
        <v>0</v>
      </c>
      <c r="D28">
        <v>0.1</v>
      </c>
      <c r="E28">
        <v>0</v>
      </c>
      <c r="F28">
        <v>4.9000000000000004</v>
      </c>
      <c r="G28">
        <f t="shared" si="4"/>
        <v>4.9687568899552557E-3</v>
      </c>
      <c r="H28">
        <f t="shared" si="3"/>
        <v>4.2851616079907156E-5</v>
      </c>
      <c r="I28">
        <f t="shared" si="5"/>
        <v>4.9687568899552561</v>
      </c>
      <c r="J28">
        <f t="shared" si="5"/>
        <v>4.2851616079907152E-2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6F0E-D03F-4E98-A4DB-83B8717AEE51}">
  <dimension ref="A1:J28"/>
  <sheetViews>
    <sheetView tabSelected="1" workbookViewId="0">
      <selection activeCell="M22" sqref="M22"/>
    </sheetView>
  </sheetViews>
  <sheetFormatPr defaultRowHeight="14.4" x14ac:dyDescent="0.3"/>
  <sheetData>
    <row r="1" spans="1:9" x14ac:dyDescent="0.3">
      <c r="B1" t="s">
        <v>0</v>
      </c>
      <c r="E1" t="s">
        <v>39</v>
      </c>
    </row>
    <row r="2" spans="1:9" x14ac:dyDescent="0.3">
      <c r="A2" t="s">
        <v>1</v>
      </c>
      <c r="B2" t="s">
        <v>34</v>
      </c>
      <c r="C2" t="s">
        <v>35</v>
      </c>
      <c r="E2" t="s">
        <v>36</v>
      </c>
      <c r="F2" t="s">
        <v>37</v>
      </c>
      <c r="H2" t="s">
        <v>38</v>
      </c>
      <c r="I2" t="s">
        <v>2</v>
      </c>
    </row>
    <row r="3" spans="1:9" x14ac:dyDescent="0.3">
      <c r="A3" t="s">
        <v>3</v>
      </c>
      <c r="B3">
        <f>G18</f>
        <v>5.1514168990337845</v>
      </c>
      <c r="C3">
        <f>H18</f>
        <v>3.0639189661194548</v>
      </c>
      <c r="E3" t="s">
        <v>40</v>
      </c>
      <c r="F3">
        <v>1907.4</v>
      </c>
      <c r="H3">
        <f t="shared" ref="H3:H10" si="0">C3/B3</f>
        <v>0.59477208429667827</v>
      </c>
      <c r="I3">
        <f>F3/E3</f>
        <v>0.42349963365083598</v>
      </c>
    </row>
    <row r="4" spans="1:9" x14ac:dyDescent="0.3">
      <c r="A4" t="s">
        <v>4</v>
      </c>
      <c r="B4">
        <f>G17</f>
        <v>3.6365994423189152</v>
      </c>
      <c r="C4">
        <f>H17</f>
        <v>3.0345791128187214</v>
      </c>
      <c r="E4" t="s">
        <v>41</v>
      </c>
      <c r="F4">
        <v>1871.9</v>
      </c>
      <c r="H4">
        <f t="shared" si="0"/>
        <v>0.83445514441472024</v>
      </c>
      <c r="I4">
        <f>F4/E4</f>
        <v>0.59489607830674385</v>
      </c>
    </row>
    <row r="5" spans="1:9" x14ac:dyDescent="0.3">
      <c r="A5" t="s">
        <v>5</v>
      </c>
      <c r="B5">
        <f t="shared" ref="B5:C10" si="1">I23</f>
        <v>5.1890279489008488</v>
      </c>
      <c r="C5">
        <f t="shared" si="1"/>
        <v>1.5319594830597274</v>
      </c>
      <c r="E5" t="s">
        <v>42</v>
      </c>
      <c r="F5">
        <v>963.1</v>
      </c>
      <c r="H5">
        <f t="shared" si="0"/>
        <v>0.2952305322202457</v>
      </c>
      <c r="I5">
        <f t="shared" ref="I5:I10" si="2">F5/E5</f>
        <v>0.21128490884759668</v>
      </c>
    </row>
    <row r="6" spans="1:9" x14ac:dyDescent="0.3">
      <c r="A6" t="s">
        <v>6</v>
      </c>
      <c r="B6">
        <f t="shared" si="1"/>
        <v>3.862265741521302</v>
      </c>
      <c r="C6">
        <f t="shared" si="1"/>
        <v>1.5172895564093607</v>
      </c>
      <c r="E6" t="s">
        <v>43</v>
      </c>
      <c r="F6">
        <v>955.3</v>
      </c>
      <c r="H6">
        <f t="shared" si="0"/>
        <v>0.39284960123218188</v>
      </c>
      <c r="I6">
        <f t="shared" si="2"/>
        <v>0.28337090650213576</v>
      </c>
    </row>
    <row r="7" spans="1:9" x14ac:dyDescent="0.3">
      <c r="A7" t="s">
        <v>7</v>
      </c>
      <c r="B7">
        <f t="shared" si="1"/>
        <v>3.9750988911224949</v>
      </c>
      <c r="C7">
        <f t="shared" si="1"/>
        <v>0.75864477820468035</v>
      </c>
      <c r="E7" t="s">
        <v>44</v>
      </c>
      <c r="F7">
        <v>481.4</v>
      </c>
      <c r="H7">
        <f t="shared" si="0"/>
        <v>0.19084928425276307</v>
      </c>
      <c r="I7">
        <f t="shared" si="2"/>
        <v>0.1371041239462292</v>
      </c>
    </row>
    <row r="8" spans="1:9" x14ac:dyDescent="0.3">
      <c r="A8" t="s">
        <v>8</v>
      </c>
      <c r="B8">
        <f t="shared" si="1"/>
        <v>5.2191167887945005</v>
      </c>
      <c r="C8">
        <f t="shared" si="1"/>
        <v>0.30639189661194549</v>
      </c>
      <c r="E8" t="s">
        <v>45</v>
      </c>
      <c r="F8">
        <v>192.3</v>
      </c>
      <c r="H8">
        <f t="shared" si="0"/>
        <v>5.8705698494766811E-2</v>
      </c>
      <c r="I8">
        <f t="shared" si="2"/>
        <v>4.2293481129585642E-2</v>
      </c>
    </row>
    <row r="9" spans="1:9" x14ac:dyDescent="0.3">
      <c r="A9" t="s">
        <v>9</v>
      </c>
      <c r="B9">
        <f t="shared" si="1"/>
        <v>3.8609688087672658</v>
      </c>
      <c r="C9">
        <f t="shared" si="1"/>
        <v>0.15172895564093608</v>
      </c>
      <c r="E9" t="s">
        <v>46</v>
      </c>
      <c r="F9">
        <v>96.7</v>
      </c>
      <c r="H9">
        <f t="shared" si="0"/>
        <v>3.9298156280464812E-2</v>
      </c>
      <c r="I9">
        <f t="shared" si="2"/>
        <v>2.6929932048568563E-2</v>
      </c>
    </row>
    <row r="10" spans="1:9" x14ac:dyDescent="0.3">
      <c r="A10" t="s">
        <v>47</v>
      </c>
      <c r="B10">
        <f t="shared" si="1"/>
        <v>5.2251345567732308</v>
      </c>
      <c r="C10">
        <f t="shared" si="1"/>
        <v>6.1278379322389109E-2</v>
      </c>
      <c r="E10" t="s">
        <v>48</v>
      </c>
      <c r="F10">
        <v>39.6</v>
      </c>
      <c r="H10">
        <f t="shared" si="0"/>
        <v>1.1727617472157774E-2</v>
      </c>
      <c r="I10">
        <f t="shared" si="2"/>
        <v>8.7682394880765225E-3</v>
      </c>
    </row>
    <row r="12" spans="1:9" x14ac:dyDescent="0.3">
      <c r="A12" t="s">
        <v>33</v>
      </c>
      <c r="B12" s="1">
        <v>154.21</v>
      </c>
    </row>
    <row r="13" spans="1:9" x14ac:dyDescent="0.3">
      <c r="A13" t="s">
        <v>10</v>
      </c>
      <c r="B13">
        <v>286.3</v>
      </c>
    </row>
    <row r="16" spans="1:9" x14ac:dyDescent="0.3">
      <c r="A16" t="s">
        <v>11</v>
      </c>
      <c r="B16" t="s">
        <v>31</v>
      </c>
      <c r="C16" t="s">
        <v>21</v>
      </c>
      <c r="D16" t="s">
        <v>12</v>
      </c>
      <c r="E16" t="s">
        <v>13</v>
      </c>
      <c r="F16" t="s">
        <v>22</v>
      </c>
      <c r="G16" t="s">
        <v>32</v>
      </c>
      <c r="H16" t="s">
        <v>14</v>
      </c>
    </row>
    <row r="17" spans="1:10" x14ac:dyDescent="0.3">
      <c r="A17" t="s">
        <v>15</v>
      </c>
      <c r="B17" s="3">
        <v>14.02</v>
      </c>
      <c r="C17" s="3">
        <v>21.72</v>
      </c>
      <c r="D17">
        <v>25</v>
      </c>
      <c r="E17">
        <f>B17/D17/$B$12</f>
        <v>3.6365994423189153E-3</v>
      </c>
      <c r="F17">
        <f>C17/D17/$B$13</f>
        <v>3.0345791128187213E-3</v>
      </c>
      <c r="G17">
        <f>E17*1000</f>
        <v>3.6365994423189152</v>
      </c>
      <c r="H17">
        <f>1000*F17</f>
        <v>3.0345791128187214</v>
      </c>
    </row>
    <row r="18" spans="1:10" x14ac:dyDescent="0.3">
      <c r="A18" t="s">
        <v>16</v>
      </c>
      <c r="B18" s="3">
        <v>19.86</v>
      </c>
      <c r="C18" s="3">
        <v>21.93</v>
      </c>
      <c r="D18">
        <v>25</v>
      </c>
      <c r="E18">
        <f>B18/D18/$B$12</f>
        <v>5.1514168990337847E-3</v>
      </c>
      <c r="F18">
        <f>C18/D18/$B$13</f>
        <v>3.0639189661194549E-3</v>
      </c>
      <c r="G18">
        <f>E18*1000</f>
        <v>5.1514168990337845</v>
      </c>
      <c r="H18">
        <f>1000*F18</f>
        <v>3.0639189661194548</v>
      </c>
    </row>
    <row r="19" spans="1:10" x14ac:dyDescent="0.3">
      <c r="A19" t="s">
        <v>17</v>
      </c>
      <c r="B19" s="3">
        <v>15.76</v>
      </c>
      <c r="D19">
        <v>25</v>
      </c>
      <c r="E19">
        <f>B19/D19/$B$12</f>
        <v>4.0879320407236882E-3</v>
      </c>
      <c r="G19">
        <f>E19*1000</f>
        <v>4.0879320407236879</v>
      </c>
    </row>
    <row r="20" spans="1:10" x14ac:dyDescent="0.3">
      <c r="A20" t="s">
        <v>18</v>
      </c>
      <c r="B20" s="3">
        <v>20.149999999999999</v>
      </c>
      <c r="D20">
        <v>25</v>
      </c>
      <c r="E20">
        <f>B20/D20/$B$12</f>
        <v>5.2266389987679135E-3</v>
      </c>
      <c r="G20">
        <f>E20*1000</f>
        <v>5.2266389987679132</v>
      </c>
    </row>
    <row r="22" spans="1:10" x14ac:dyDescent="0.3">
      <c r="A22" t="s">
        <v>19</v>
      </c>
      <c r="B22" t="s">
        <v>20</v>
      </c>
      <c r="C22" t="s">
        <v>25</v>
      </c>
      <c r="D22" t="s">
        <v>26</v>
      </c>
      <c r="E22" t="s">
        <v>27</v>
      </c>
      <c r="F22" t="s">
        <v>28</v>
      </c>
      <c r="G22" t="s">
        <v>24</v>
      </c>
      <c r="H22" t="s">
        <v>23</v>
      </c>
      <c r="I22" t="s">
        <v>29</v>
      </c>
      <c r="J22" t="s">
        <v>30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5.1890279489008491E-3</v>
      </c>
      <c r="H23">
        <f t="shared" ref="H23:H28" si="4">(D23*$F$18+C23*$F$17)/B23</f>
        <v>1.5319594830597275E-3</v>
      </c>
      <c r="I23">
        <f>G23*1000</f>
        <v>5.1890279489008488</v>
      </c>
      <c r="J23">
        <f>H23*1000</f>
        <v>1.5319594830597274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3.862265741521302E-3</v>
      </c>
      <c r="H24">
        <f t="shared" si="4"/>
        <v>1.5172895564093607E-3</v>
      </c>
      <c r="I24">
        <f t="shared" ref="I24:J28" si="5">G24*1000</f>
        <v>3.862265741521302</v>
      </c>
      <c r="J24">
        <f t="shared" si="5"/>
        <v>1.5172895564093607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3.9750988911224951E-3</v>
      </c>
      <c r="H25">
        <f t="shared" si="4"/>
        <v>7.5864477820468033E-4</v>
      </c>
      <c r="I25">
        <f t="shared" si="5"/>
        <v>3.9750988911224949</v>
      </c>
      <c r="J25">
        <f t="shared" si="5"/>
        <v>0.75864477820468035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5.2191167887945004E-3</v>
      </c>
      <c r="H26">
        <f t="shared" si="4"/>
        <v>3.0639189661194548E-4</v>
      </c>
      <c r="I26">
        <f t="shared" si="5"/>
        <v>5.2191167887945005</v>
      </c>
      <c r="J26">
        <f t="shared" si="5"/>
        <v>0.30639189661194549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3.8609688087672656E-3</v>
      </c>
      <c r="H27">
        <f t="shared" si="4"/>
        <v>1.5172895564093608E-4</v>
      </c>
      <c r="I27">
        <f t="shared" si="5"/>
        <v>3.8609688087672658</v>
      </c>
      <c r="J27">
        <f t="shared" si="5"/>
        <v>0.15172895564093608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5.225134556773231E-3</v>
      </c>
      <c r="H28">
        <f t="shared" si="4"/>
        <v>6.127837932238911E-5</v>
      </c>
      <c r="I28">
        <f t="shared" si="5"/>
        <v>5.2251345567732308</v>
      </c>
      <c r="J28">
        <f t="shared" si="5"/>
        <v>6.1278379322389109E-2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ArPyrrolidine (3ab)</vt:lpstr>
      <vt:lpstr>ArPiperidine (3ac)</vt:lpstr>
      <vt:lpstr>ArMorpholine (3af)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Dalland, Daniel</dc:creator>
  <cp:lastModifiedBy>Dalland, Daniel</cp:lastModifiedBy>
  <dcterms:created xsi:type="dcterms:W3CDTF">2024-03-04T10:51:51Z</dcterms:created>
  <dcterms:modified xsi:type="dcterms:W3CDTF">2026-01-12T13:14:11Z</dcterms:modified>
</cp:coreProperties>
</file>
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E46095977C64ADACA410A9303D7A60286F947567" xr6:coauthVersionLast="47" xr6:coauthVersionMax="47" xr10:uidLastSave="{8F29A11E-B537-40B0-AFC5-D8E77A970B14}"/>
  <bookViews>
    <workbookView xWindow="29505" yWindow="1845" windowWidth="13635" windowHeight="10515" firstSheet="1" activeTab="2" xr2:uid="{00000000-000D-0000-FFFF-FFFF00000000}"/>
  </bookViews>
  <sheets>
    <sheet name="C3_E1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4" i="2"/>
  <c r="C23" i="2"/>
  <c r="C22" i="2"/>
  <c r="C21" i="2"/>
  <c r="C20" i="2"/>
  <c r="C19" i="2"/>
  <c r="C18" i="2"/>
  <c r="C17" i="2"/>
  <c r="G6" i="2" s="1"/>
  <c r="C16" i="2"/>
  <c r="G5" i="2" s="1"/>
  <c r="C15" i="2"/>
  <c r="C14" i="2"/>
  <c r="G4" i="2" s="1"/>
  <c r="C13" i="2"/>
  <c r="G12" i="2"/>
  <c r="C12" i="2"/>
  <c r="G11" i="2"/>
  <c r="C11" i="2"/>
  <c r="G10" i="2"/>
  <c r="C10" i="2"/>
  <c r="G9" i="2"/>
  <c r="C9" i="2"/>
  <c r="G8" i="2"/>
  <c r="C8" i="2"/>
  <c r="E2" i="2" s="1"/>
  <c r="G7" i="2"/>
  <c r="E5" i="2"/>
  <c r="E4" i="2"/>
  <c r="G3" i="2"/>
  <c r="E3" i="2"/>
  <c r="G2" i="2"/>
  <c r="H14" i="1"/>
  <c r="I14" i="1" s="1"/>
  <c r="J14" i="1" s="1"/>
  <c r="D14" i="1"/>
  <c r="E14" i="1" s="1"/>
  <c r="F14" i="1" s="1"/>
  <c r="H13" i="1"/>
  <c r="I13" i="1" s="1"/>
  <c r="J13" i="1" s="1"/>
  <c r="D13" i="1"/>
  <c r="E13" i="1" s="1"/>
  <c r="F13" i="1" s="1"/>
  <c r="I12" i="1"/>
  <c r="J12" i="1" s="1"/>
  <c r="H12" i="1"/>
  <c r="D12" i="1"/>
  <c r="E12" i="1" s="1"/>
  <c r="F12" i="1" s="1"/>
  <c r="K12" i="1" s="1"/>
  <c r="H11" i="1"/>
  <c r="I11" i="1" s="1"/>
  <c r="J11" i="1" s="1"/>
  <c r="D11" i="1"/>
  <c r="E11" i="1" s="1"/>
  <c r="F11" i="1" s="1"/>
  <c r="K11" i="1" s="1"/>
  <c r="I10" i="1"/>
  <c r="J10" i="1" s="1"/>
  <c r="H10" i="1"/>
  <c r="D10" i="1"/>
  <c r="E10" i="1" s="1"/>
  <c r="F10" i="1" s="1"/>
  <c r="K10" i="1" s="1"/>
  <c r="H9" i="1"/>
  <c r="I9" i="1" s="1"/>
  <c r="J9" i="1" s="1"/>
  <c r="D9" i="1"/>
  <c r="E9" i="1" s="1"/>
  <c r="F9" i="1" s="1"/>
  <c r="K9" i="1" s="1"/>
  <c r="H8" i="1"/>
  <c r="I8" i="1" s="1"/>
  <c r="J8" i="1" s="1"/>
  <c r="D8" i="1"/>
  <c r="E8" i="1" s="1"/>
  <c r="F8" i="1" s="1"/>
  <c r="K8" i="1" s="1"/>
  <c r="H7" i="1"/>
  <c r="I7" i="1" s="1"/>
  <c r="J7" i="1" s="1"/>
  <c r="D7" i="1"/>
  <c r="E7" i="1" s="1"/>
  <c r="F7" i="1" s="1"/>
  <c r="K7" i="1" s="1"/>
  <c r="H6" i="1"/>
  <c r="I6" i="1" s="1"/>
  <c r="J6" i="1" s="1"/>
  <c r="D6" i="1"/>
  <c r="E6" i="1" s="1"/>
  <c r="F6" i="1" s="1"/>
  <c r="J5" i="1"/>
  <c r="I5" i="1"/>
  <c r="H5" i="1"/>
  <c r="D5" i="1"/>
  <c r="E5" i="1" s="1"/>
  <c r="F5" i="1" s="1"/>
  <c r="K5" i="1" s="1"/>
  <c r="H4" i="1"/>
  <c r="I4" i="1" s="1"/>
  <c r="J4" i="1" s="1"/>
  <c r="D4" i="1"/>
  <c r="E4" i="1" s="1"/>
  <c r="F4" i="1" s="1"/>
  <c r="K4" i="1" s="1"/>
  <c r="K14" i="1" l="1"/>
  <c r="K6" i="1"/>
  <c r="K13" i="1"/>
</calcChain>
</file>

<file path=xl/sharedStrings.xml><?xml version="1.0" encoding="utf-8"?>
<sst xmlns="http://schemas.openxmlformats.org/spreadsheetml/2006/main" count="81" uniqueCount="62">
  <si>
    <t>filename</t>
  </si>
  <si>
    <t>Biphenyl</t>
  </si>
  <si>
    <t>4-SO2Me-ArOPh</t>
  </si>
  <si>
    <t>Ratio of integral with IS</t>
  </si>
  <si>
    <t>concentrations</t>
  </si>
  <si>
    <t>Product</t>
  </si>
  <si>
    <t>Compound</t>
  </si>
  <si>
    <t>Initial concentration / mM</t>
  </si>
  <si>
    <t>Pyrrolidine</t>
  </si>
  <si>
    <t>C3_E1-S0</t>
  </si>
  <si>
    <t>Ar-4SO2Me-Oph</t>
  </si>
  <si>
    <t>C3_E1-S1</t>
  </si>
  <si>
    <t>C3_E1-S2</t>
  </si>
  <si>
    <t>C3_E1-S3</t>
  </si>
  <si>
    <t>C3_E1-S4</t>
  </si>
  <si>
    <t>C3_E1-S5</t>
  </si>
  <si>
    <t>C3_E1-S6</t>
  </si>
  <si>
    <t>C3_E1-S7</t>
  </si>
  <si>
    <t>C3_E1-S8</t>
  </si>
  <si>
    <t>C3_E1-S9</t>
  </si>
  <si>
    <t>Phenol</t>
  </si>
  <si>
    <t>C3_E1-S10</t>
  </si>
  <si>
    <t>CC 4SO2Me-ArOPh 254 nm</t>
  </si>
  <si>
    <t>CC Product 254 nm</t>
  </si>
  <si>
    <t>V1:</t>
  </si>
  <si>
    <t>V2:</t>
  </si>
  <si>
    <t> 83.64</t>
  </si>
  <si>
    <t>V1</t>
  </si>
  <si>
    <t>S0</t>
  </si>
  <si>
    <t>V3: </t>
  </si>
  <si>
    <t>V2</t>
  </si>
  <si>
    <t>S1</t>
  </si>
  <si>
    <t>Phenol:</t>
  </si>
  <si>
    <t> mg</t>
  </si>
  <si>
    <t>V3</t>
  </si>
  <si>
    <t>S2</t>
  </si>
  <si>
    <t>BP:</t>
  </si>
  <si>
    <t>V4</t>
  </si>
  <si>
    <t>S3</t>
  </si>
  <si>
    <t>DMSO:</t>
  </si>
  <si>
    <t>S4</t>
  </si>
  <si>
    <t>HPLC</t>
  </si>
  <si>
    <t>sample</t>
  </si>
  <si>
    <t>S5</t>
  </si>
  <si>
    <t>S6</t>
  </si>
  <si>
    <t>S7</t>
  </si>
  <si>
    <t>S8</t>
  </si>
  <si>
    <t>V3:</t>
  </si>
  <si>
    <t>S9</t>
  </si>
  <si>
    <t>Start:</t>
  </si>
  <si>
    <t>S10</t>
  </si>
  <si>
    <t>S1:</t>
  </si>
  <si>
    <t>S3:</t>
  </si>
  <si>
    <t>S4:</t>
  </si>
  <si>
    <t>S5:</t>
  </si>
  <si>
    <t>S6:</t>
  </si>
  <si>
    <t>S7:</t>
  </si>
  <si>
    <t>S8:</t>
  </si>
  <si>
    <t>S9: </t>
  </si>
  <si>
    <t>S10:</t>
  </si>
  <si>
    <t>Time / min</t>
  </si>
  <si>
    <t>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</si>
</sst>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HPLC'!$A$2:$A$12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1.533333333333307</c:v>
                </c:pt>
                <c:pt idx="2">
                  <c:v>2.8833333333331979</c:v>
                </c:pt>
                <c:pt idx="3">
                  <c:v>8.1166666666666032</c:v>
                </c:pt>
                <c:pt idx="4">
                  <c:v>9.0333333333332</c:v>
                </c:pt>
                <c:pt idx="5">
                  <c:v>11.21666666666661</c:v>
                </c:pt>
                <c:pt idx="6">
                  <c:v>12.34999999999985</c:v>
                </c:pt>
                <c:pt idx="7">
                  <c:v>14.46666666666664</c:v>
                </c:pt>
                <c:pt idx="8">
                  <c:v>17.349999999999991</c:v>
                </c:pt>
                <c:pt idx="9">
                  <c:v>18.283333333333211</c:v>
                </c:pt>
                <c:pt idx="10">
                  <c:v>20.999999999999929</c:v>
                </c:pt>
              </c:numCache>
            </c:numRef>
          </c:xVal>
          <c:yVal>
            <c:numRef>
              <c:f>'Concentration vs time HPLC'!$B$2:$B$12</c:f>
              <c:numCache>
                <c:formatCode>General</c:formatCode>
                <c:ptCount val="11"/>
                <c:pt idx="0">
                  <c:v>109.66956868209451</c:v>
                </c:pt>
                <c:pt idx="1">
                  <c:v>88.813151475278929</c:v>
                </c:pt>
                <c:pt idx="2">
                  <c:v>83.904922951679609</c:v>
                </c:pt>
                <c:pt idx="3">
                  <c:v>50.904921955525133</c:v>
                </c:pt>
                <c:pt idx="4">
                  <c:v>42.388734362492293</c:v>
                </c:pt>
                <c:pt idx="5">
                  <c:v>30.286592501106149</c:v>
                </c:pt>
                <c:pt idx="6">
                  <c:v>25.589130387269169</c:v>
                </c:pt>
                <c:pt idx="7">
                  <c:v>20.4391026388118</c:v>
                </c:pt>
                <c:pt idx="8">
                  <c:v>5.6195911726786942</c:v>
                </c:pt>
                <c:pt idx="9">
                  <c:v>2.432990605523746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8-44C9-9089-6F909075A32E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HPLC'!$A$2:$A$12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1.533333333333307</c:v>
                </c:pt>
                <c:pt idx="2">
                  <c:v>2.8833333333331979</c:v>
                </c:pt>
                <c:pt idx="3">
                  <c:v>8.1166666666666032</c:v>
                </c:pt>
                <c:pt idx="4">
                  <c:v>9.0333333333332</c:v>
                </c:pt>
                <c:pt idx="5">
                  <c:v>11.21666666666661</c:v>
                </c:pt>
                <c:pt idx="6">
                  <c:v>12.34999999999985</c:v>
                </c:pt>
                <c:pt idx="7">
                  <c:v>14.46666666666664</c:v>
                </c:pt>
                <c:pt idx="8">
                  <c:v>17.349999999999991</c:v>
                </c:pt>
                <c:pt idx="9">
                  <c:v>18.283333333333211</c:v>
                </c:pt>
                <c:pt idx="10">
                  <c:v>20.999999999999929</c:v>
                </c:pt>
              </c:numCache>
            </c:numRef>
          </c:xVal>
          <c:yVal>
            <c:numRef>
              <c:f>'Concentration vs time HPLC'!$C$2:$C$12</c:f>
              <c:numCache>
                <c:formatCode>General</c:formatCode>
                <c:ptCount val="11"/>
                <c:pt idx="0">
                  <c:v>0</c:v>
                </c:pt>
                <c:pt idx="1">
                  <c:v>20.8564172068156</c:v>
                </c:pt>
                <c:pt idx="2">
                  <c:v>25.76464573041493</c:v>
                </c:pt>
                <c:pt idx="3">
                  <c:v>58.083047714374942</c:v>
                </c:pt>
                <c:pt idx="4">
                  <c:v>66.599235307407781</c:v>
                </c:pt>
                <c:pt idx="5">
                  <c:v>77.036146650444564</c:v>
                </c:pt>
                <c:pt idx="6">
                  <c:v>81.733608764281527</c:v>
                </c:pt>
                <c:pt idx="7">
                  <c:v>86.883636512738946</c:v>
                </c:pt>
                <c:pt idx="8">
                  <c:v>100.38646135255451</c:v>
                </c:pt>
                <c:pt idx="9">
                  <c:v>103.5730619197094</c:v>
                </c:pt>
                <c:pt idx="10">
                  <c:v>106.0060525252331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8-44C9-9089-6F909075A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66607"/>
        <c:axId val="2026340207"/>
      </c:scatterChart>
      <c:valAx>
        <c:axId val="202636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340207"/>
        <c:crosses val="autoZero"/>
        <c:crossBetween val="midCat"/>
      </c:valAx>
      <c:valAx>
        <c:axId val="202634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366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110490</xdr:colOff>
      <xdr:row>0</xdr:row>
      <xdr:rowOff>38106</xdr:rowOff>
    </xdr:from>
    <xdr:to>
      <xdr:col>10</xdr:col>
      <xdr:colOff>415290</xdr:colOff>
      <xdr:row>15</xdr:row>
      <xdr:rowOff>64776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3C9C7E-71CE-779E-6FDC-2567BBFC4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HPL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HPL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workbookViewId="0">
      <selection activeCell="A12" sqref="A12:M14"/>
    </sheetView>
  </sheetViews>
  <sheetFormatPr defaultRowHeight="14.4" x14ac:dyDescent="0.3"/>
  <cols>
    <col min="1" max="1" width="23.44140625" bestFit="1" customWidth="1"/>
    <col min="3" max="3" width="14.44140625" bestFit="1" customWidth="1"/>
    <col min="8" max="8" width="19" bestFit="1" customWidth="1"/>
    <col min="9" max="9" width="13.33203125" bestFit="1" customWidth="1"/>
    <col min="15" max="15" width="14.6640625" bestFit="1" customWidth="1"/>
  </cols>
  <sheetData>
    <row r="1" spans="1:16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O2" t="s">
        <v>6</v>
      </c>
      <c r="P2" t="s">
        <v>7</v>
      </c>
    </row>
    <row r="3" spans="1:16" x14ac:dyDescent="0.3">
      <c r="B3">
        <v>4.2965454545454502</v>
      </c>
      <c r="C3">
        <v>1.788</v>
      </c>
      <c r="G3">
        <v>0.82790909090909104</v>
      </c>
      <c r="I3">
        <v>0</v>
      </c>
      <c r="O3" t="s">
        <v>8</v>
      </c>
      <c r="P3">
        <v>37.161413522163592</v>
      </c>
    </row>
    <row r="4" spans="1:16" x14ac:dyDescent="0.3">
      <c r="A4" s="5" t="s">
        <v>9</v>
      </c>
      <c r="B4" s="5">
        <v>371.3</v>
      </c>
      <c r="C4" s="5">
        <v>1653.9</v>
      </c>
      <c r="D4" s="5">
        <f t="shared" ref="D4:D14" si="0">C4/B4</f>
        <v>4.4543495825478052</v>
      </c>
      <c r="E4" s="5">
        <f t="shared" ref="E4:E14" si="1">D4/$B$15</f>
        <v>7.6508924468358037</v>
      </c>
      <c r="F4" s="5">
        <f>E4*$P$5</f>
        <v>102.42277574483047</v>
      </c>
      <c r="G4" s="5">
        <v>0</v>
      </c>
      <c r="H4" s="5">
        <f t="shared" ref="H4:H14" si="2">G4/B4</f>
        <v>0</v>
      </c>
      <c r="I4" s="5">
        <f t="shared" ref="I4:I14" si="3">H4/$B$16</f>
        <v>0</v>
      </c>
      <c r="J4" s="5">
        <f>I4*$P$5</f>
        <v>0</v>
      </c>
      <c r="K4" s="5">
        <f t="shared" ref="K4:K14" si="4">SUM(F4,J4)</f>
        <v>102.42277574483047</v>
      </c>
      <c r="L4" s="5">
        <v>371.3</v>
      </c>
      <c r="M4" s="5">
        <v>102.4227757448304</v>
      </c>
      <c r="O4" t="s">
        <v>10</v>
      </c>
      <c r="P4">
        <v>102.7464700069327</v>
      </c>
    </row>
    <row r="5" spans="1:16" x14ac:dyDescent="0.3">
      <c r="A5" s="5" t="s">
        <v>11</v>
      </c>
      <c r="B5" s="5">
        <v>401.1</v>
      </c>
      <c r="C5" s="5">
        <v>1483.8</v>
      </c>
      <c r="D5" s="5">
        <f t="shared" si="0"/>
        <v>3.6993268511593116</v>
      </c>
      <c r="E5" s="5">
        <f t="shared" si="1"/>
        <v>6.3540481813110805</v>
      </c>
      <c r="F5" s="5">
        <f>E5*$P$5</f>
        <v>85.061874345838589</v>
      </c>
      <c r="G5" s="5">
        <v>423.5</v>
      </c>
      <c r="H5" s="5">
        <f t="shared" si="2"/>
        <v>1.0558464223385688</v>
      </c>
      <c r="I5" s="5">
        <f t="shared" si="3"/>
        <v>1.4326274387226172</v>
      </c>
      <c r="J5" s="5">
        <f>I5*$P$5</f>
        <v>19.178635682280756</v>
      </c>
      <c r="K5" s="5">
        <f t="shared" si="4"/>
        <v>104.24051002811935</v>
      </c>
      <c r="L5" s="5">
        <v>401.1</v>
      </c>
      <c r="M5" s="5">
        <v>104.4509751659221</v>
      </c>
      <c r="O5" t="s">
        <v>1</v>
      </c>
      <c r="P5">
        <v>13.38703640869892</v>
      </c>
    </row>
    <row r="6" spans="1:16" x14ac:dyDescent="0.3">
      <c r="A6" s="5" t="s">
        <v>12</v>
      </c>
      <c r="B6" s="5">
        <v>487.6</v>
      </c>
      <c r="C6" s="5">
        <v>1654.3</v>
      </c>
      <c r="D6" s="5">
        <f t="shared" si="0"/>
        <v>3.392739950779327</v>
      </c>
      <c r="E6" s="5">
        <f t="shared" si="1"/>
        <v>5.827447527961743</v>
      </c>
      <c r="F6" s="5">
        <f>E6*$P$5</f>
        <v>78.012252226606378</v>
      </c>
      <c r="G6" s="5">
        <v>617.4</v>
      </c>
      <c r="H6" s="5">
        <f t="shared" si="2"/>
        <v>1.2662018047579982</v>
      </c>
      <c r="I6" s="5">
        <f t="shared" si="3"/>
        <v>1.7180485817611915</v>
      </c>
      <c r="J6" s="5">
        <f>I6*$P$5</f>
        <v>22.999578915950615</v>
      </c>
      <c r="K6" s="5">
        <f t="shared" si="4"/>
        <v>101.01183114255699</v>
      </c>
      <c r="L6" s="5">
        <v>487.6</v>
      </c>
      <c r="M6" s="5">
        <v>101.264227070304</v>
      </c>
    </row>
    <row r="7" spans="1:16" x14ac:dyDescent="0.3">
      <c r="A7" s="6" t="s">
        <v>13</v>
      </c>
      <c r="B7" s="6">
        <v>566</v>
      </c>
      <c r="C7" s="6">
        <v>1233.8</v>
      </c>
      <c r="D7" s="6">
        <f t="shared" si="0"/>
        <v>2.1798586572438161</v>
      </c>
      <c r="E7" s="6">
        <f t="shared" si="1"/>
        <v>3.7441749523253449</v>
      </c>
      <c r="F7" s="6">
        <f>E7*$P$12</f>
        <v>49.831438852933914</v>
      </c>
      <c r="G7" s="6">
        <v>1711</v>
      </c>
      <c r="H7" s="6">
        <f t="shared" si="2"/>
        <v>3.0229681978798588</v>
      </c>
      <c r="I7" s="6">
        <f t="shared" si="3"/>
        <v>4.1017207569604599</v>
      </c>
      <c r="J7" s="6">
        <f>I7*$P$12</f>
        <v>54.590036441898718</v>
      </c>
      <c r="K7" s="6">
        <f t="shared" si="4"/>
        <v>104.42147529483263</v>
      </c>
      <c r="L7" s="6">
        <v>566</v>
      </c>
      <c r="M7" s="6">
        <v>105.0205429101072</v>
      </c>
    </row>
    <row r="8" spans="1:16" x14ac:dyDescent="0.3">
      <c r="A8" s="6" t="s">
        <v>14</v>
      </c>
      <c r="B8" s="6">
        <v>269.3</v>
      </c>
      <c r="C8" s="6">
        <v>498.7</v>
      </c>
      <c r="D8" s="6">
        <f t="shared" si="0"/>
        <v>1.8518380987746006</v>
      </c>
      <c r="E8" s="6">
        <f t="shared" si="1"/>
        <v>3.1807593589395404</v>
      </c>
      <c r="F8" s="6">
        <f>E8*$P$12</f>
        <v>42.332908456228623</v>
      </c>
      <c r="G8" s="6">
        <v>952.3</v>
      </c>
      <c r="H8" s="6">
        <f t="shared" si="2"/>
        <v>3.5362049758633489</v>
      </c>
      <c r="I8" s="6">
        <f t="shared" si="3"/>
        <v>4.7981071585662809</v>
      </c>
      <c r="J8" s="6">
        <f>I8*$P$12</f>
        <v>63.858282939857702</v>
      </c>
      <c r="K8" s="6">
        <f t="shared" si="4"/>
        <v>106.19119139608632</v>
      </c>
      <c r="L8" s="6">
        <v>269.3</v>
      </c>
      <c r="M8" s="6">
        <v>106.8919681636019</v>
      </c>
    </row>
    <row r="9" spans="1:16" x14ac:dyDescent="0.3">
      <c r="A9" s="6" t="s">
        <v>15</v>
      </c>
      <c r="B9" s="6">
        <v>1100.5</v>
      </c>
      <c r="C9" s="6">
        <v>1476.5</v>
      </c>
      <c r="D9" s="6">
        <f t="shared" si="0"/>
        <v>1.3416628805088595</v>
      </c>
      <c r="E9" s="6">
        <f t="shared" si="1"/>
        <v>2.3044707669338016</v>
      </c>
      <c r="F9" s="6">
        <f>E9*$P$20</f>
        <v>30.328437314563647</v>
      </c>
      <c r="G9" s="6">
        <v>4564.5</v>
      </c>
      <c r="H9" s="6">
        <f t="shared" si="2"/>
        <v>4.1476601544752389</v>
      </c>
      <c r="I9" s="6">
        <f t="shared" si="3"/>
        <v>5.6277614036299033</v>
      </c>
      <c r="J9" s="6">
        <f>I9*$P$20</f>
        <v>74.065252378275559</v>
      </c>
      <c r="K9" s="6">
        <f t="shared" si="4"/>
        <v>104.3936896928392</v>
      </c>
      <c r="L9" s="6">
        <v>1100.5</v>
      </c>
      <c r="M9" s="6">
        <v>105.2064770989108</v>
      </c>
    </row>
    <row r="10" spans="1:16" x14ac:dyDescent="0.3">
      <c r="A10" s="7" t="s">
        <v>16</v>
      </c>
      <c r="B10" s="7">
        <v>114.3</v>
      </c>
      <c r="C10" s="7">
        <v>115.3</v>
      </c>
      <c r="D10" s="7">
        <f t="shared" si="0"/>
        <v>1.0087489063867017</v>
      </c>
      <c r="E10" s="7">
        <f t="shared" si="1"/>
        <v>1.7326501312035409</v>
      </c>
      <c r="F10" s="7">
        <f>E10*$P$20</f>
        <v>22.802880230151594</v>
      </c>
      <c r="G10" s="7">
        <v>447.6</v>
      </c>
      <c r="H10" s="7">
        <f t="shared" si="2"/>
        <v>3.9160104986876645</v>
      </c>
      <c r="I10" s="7">
        <f t="shared" si="3"/>
        <v>5.3134470809873333</v>
      </c>
      <c r="J10" s="7">
        <f>I10*$P$20</f>
        <v>69.928657387305748</v>
      </c>
      <c r="K10" s="7">
        <f t="shared" si="4"/>
        <v>92.731537617457349</v>
      </c>
      <c r="L10" s="7">
        <v>114.3</v>
      </c>
      <c r="M10" s="7">
        <v>93.498930291117773</v>
      </c>
      <c r="O10" t="s">
        <v>8</v>
      </c>
      <c r="P10">
        <v>107.88332285914321</v>
      </c>
    </row>
    <row r="11" spans="1:16" x14ac:dyDescent="0.3">
      <c r="A11" s="7" t="s">
        <v>17</v>
      </c>
      <c r="B11" s="7">
        <v>170.4</v>
      </c>
      <c r="C11" s="7">
        <v>150.19999999999999</v>
      </c>
      <c r="D11" s="7">
        <f t="shared" si="0"/>
        <v>0.88145539906103276</v>
      </c>
      <c r="E11" s="7">
        <f t="shared" si="1"/>
        <v>1.5140078994521344</v>
      </c>
      <c r="F11" s="7">
        <f>E11*$P$20</f>
        <v>19.925396464622313</v>
      </c>
      <c r="G11" s="7">
        <v>776</v>
      </c>
      <c r="H11" s="7">
        <f t="shared" si="2"/>
        <v>4.5539906103286381</v>
      </c>
      <c r="I11" s="7">
        <f t="shared" si="3"/>
        <v>6.1790917372166057</v>
      </c>
      <c r="J11" s="7">
        <f>I11*$P$20</f>
        <v>81.321142842032557</v>
      </c>
      <c r="K11" s="7">
        <f t="shared" si="4"/>
        <v>101.24653930665487</v>
      </c>
      <c r="L11" s="7">
        <v>170.4</v>
      </c>
      <c r="M11" s="7">
        <v>102.1389523968281</v>
      </c>
      <c r="O11" t="s">
        <v>10</v>
      </c>
      <c r="P11">
        <v>102.147974459249</v>
      </c>
    </row>
    <row r="12" spans="1:16" x14ac:dyDescent="0.3">
      <c r="A12" s="8" t="s">
        <v>18</v>
      </c>
      <c r="B12" s="8">
        <v>858.4</v>
      </c>
      <c r="C12" s="8">
        <v>211.3</v>
      </c>
      <c r="D12" s="8">
        <f t="shared" si="0"/>
        <v>0.24615563839701773</v>
      </c>
      <c r="E12" s="8">
        <f t="shared" si="1"/>
        <v>0.42280253932843992</v>
      </c>
      <c r="F12" s="8">
        <f>E12*$P$28</f>
        <v>5.5000784182105162</v>
      </c>
      <c r="G12" s="8">
        <v>4587.6000000000004</v>
      </c>
      <c r="H12" s="8">
        <f t="shared" si="2"/>
        <v>5.3443616029822936</v>
      </c>
      <c r="I12" s="8">
        <f t="shared" si="3"/>
        <v>7.2515082808443605</v>
      </c>
      <c r="J12" s="8">
        <f>I12*$P$28</f>
        <v>94.332130214488785</v>
      </c>
      <c r="K12" s="8">
        <f t="shared" si="4"/>
        <v>99.832208632699306</v>
      </c>
      <c r="L12" s="8">
        <v>858.4</v>
      </c>
      <c r="M12" s="8">
        <v>100.8674034773028</v>
      </c>
      <c r="O12" t="s">
        <v>1</v>
      </c>
      <c r="P12">
        <v>13.309057265602871</v>
      </c>
    </row>
    <row r="13" spans="1:16" x14ac:dyDescent="0.3">
      <c r="A13" s="8" t="s">
        <v>19</v>
      </c>
      <c r="B13" s="8">
        <v>351.4</v>
      </c>
      <c r="C13" s="8">
        <v>38</v>
      </c>
      <c r="D13" s="8">
        <f t="shared" si="0"/>
        <v>0.10813887307911213</v>
      </c>
      <c r="E13" s="8">
        <f t="shared" si="1"/>
        <v>0.18574179505172125</v>
      </c>
      <c r="F13" s="8">
        <f>E13*$P$28</f>
        <v>2.4162448029434889</v>
      </c>
      <c r="G13" s="8">
        <v>1966.1</v>
      </c>
      <c r="H13" s="8">
        <f t="shared" si="2"/>
        <v>5.5950483779169042</v>
      </c>
      <c r="I13" s="8">
        <f t="shared" si="3"/>
        <v>7.5916531586389473</v>
      </c>
      <c r="J13" s="8">
        <f>I13*$P$28</f>
        <v>98.756946357727642</v>
      </c>
      <c r="K13" s="8">
        <f t="shared" si="4"/>
        <v>101.17319116067114</v>
      </c>
      <c r="L13" s="8">
        <v>351.4</v>
      </c>
      <c r="M13" s="8">
        <v>102.25694365842401</v>
      </c>
      <c r="O13" t="s">
        <v>20</v>
      </c>
      <c r="P13">
        <v>0</v>
      </c>
    </row>
    <row r="14" spans="1:16" x14ac:dyDescent="0.3">
      <c r="A14" s="8" t="s">
        <v>21</v>
      </c>
      <c r="B14" s="8">
        <v>434.8</v>
      </c>
      <c r="C14" s="8">
        <v>0</v>
      </c>
      <c r="D14" s="8">
        <f t="shared" si="0"/>
        <v>0</v>
      </c>
      <c r="E14" s="8">
        <f t="shared" si="1"/>
        <v>0</v>
      </c>
      <c r="F14" s="8">
        <f>E14*$P$28</f>
        <v>0</v>
      </c>
      <c r="G14" s="8">
        <v>2496</v>
      </c>
      <c r="H14" s="8">
        <f t="shared" si="2"/>
        <v>5.7405703771849126</v>
      </c>
      <c r="I14" s="8">
        <f t="shared" si="3"/>
        <v>7.7891049893960824</v>
      </c>
      <c r="J14" s="8">
        <f>I14*$P$28</f>
        <v>101.32552258886483</v>
      </c>
      <c r="K14" s="8">
        <f t="shared" si="4"/>
        <v>101.32552258886483</v>
      </c>
      <c r="L14" s="8">
        <v>434.8</v>
      </c>
      <c r="M14" s="8">
        <v>102.43746248010061</v>
      </c>
    </row>
    <row r="15" spans="1:16" x14ac:dyDescent="0.3">
      <c r="A15" t="s">
        <v>22</v>
      </c>
      <c r="B15">
        <v>0.58220000000000005</v>
      </c>
    </row>
    <row r="16" spans="1:16" x14ac:dyDescent="0.3">
      <c r="A16" t="s">
        <v>23</v>
      </c>
      <c r="B16" s="4">
        <v>0.73699999999999999</v>
      </c>
    </row>
    <row r="18" spans="15:16" x14ac:dyDescent="0.3">
      <c r="O18" t="s">
        <v>8</v>
      </c>
      <c r="P18">
        <v>106.68069862554739</v>
      </c>
    </row>
    <row r="19" spans="15:16" x14ac:dyDescent="0.3">
      <c r="O19" t="s">
        <v>10</v>
      </c>
      <c r="P19">
        <v>101.0092847503883</v>
      </c>
    </row>
    <row r="20" spans="15:16" x14ac:dyDescent="0.3">
      <c r="O20" t="s">
        <v>1</v>
      </c>
      <c r="P20">
        <v>13.160695179881561</v>
      </c>
    </row>
    <row r="21" spans="15:16" x14ac:dyDescent="0.3">
      <c r="O21" t="s">
        <v>20</v>
      </c>
      <c r="P21">
        <v>126.7429002068147</v>
      </c>
    </row>
    <row r="26" spans="15:16" x14ac:dyDescent="0.3">
      <c r="O26" t="s">
        <v>8</v>
      </c>
      <c r="P26">
        <v>246.1696644132208</v>
      </c>
    </row>
    <row r="27" spans="15:16" x14ac:dyDescent="0.3">
      <c r="O27" t="s">
        <v>10</v>
      </c>
      <c r="P27">
        <v>99.842112188744068</v>
      </c>
    </row>
    <row r="28" spans="15:16" x14ac:dyDescent="0.3">
      <c r="O28" t="s">
        <v>1</v>
      </c>
      <c r="P28">
        <v>13.00862200815205</v>
      </c>
    </row>
    <row r="29" spans="15:16" x14ac:dyDescent="0.3">
      <c r="O29" t="s">
        <v>20</v>
      </c>
      <c r="P29">
        <v>125.2783731005178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G7" sqref="G7:G9"/>
    </sheetView>
  </sheetViews>
  <sheetFormatPr defaultRowHeight="14.4" x14ac:dyDescent="0.3"/>
  <sheetData>
    <row r="1" spans="1:7" x14ac:dyDescent="0.3">
      <c r="A1" s="1" t="s">
        <v>24</v>
      </c>
      <c r="B1">
        <v>43.56</v>
      </c>
    </row>
    <row r="2" spans="1:7" x14ac:dyDescent="0.3">
      <c r="A2" s="1" t="s">
        <v>25</v>
      </c>
      <c r="B2" t="s">
        <v>26</v>
      </c>
      <c r="D2" t="s">
        <v>27</v>
      </c>
      <c r="E2" s="3">
        <f>C8</f>
        <v>0</v>
      </c>
      <c r="F2" t="s">
        <v>28</v>
      </c>
      <c r="G2">
        <f>0</f>
        <v>0</v>
      </c>
    </row>
    <row r="3" spans="1:7" x14ac:dyDescent="0.3">
      <c r="A3" s="1" t="s">
        <v>29</v>
      </c>
      <c r="B3">
        <v>169.75</v>
      </c>
      <c r="D3" t="s">
        <v>30</v>
      </c>
      <c r="E3" s="3">
        <f>C9</f>
        <v>6.9499999999999682</v>
      </c>
      <c r="F3" t="s">
        <v>31</v>
      </c>
      <c r="G3" s="3">
        <f>C13</f>
        <v>1.5333333333333066</v>
      </c>
    </row>
    <row r="4" spans="1:7" x14ac:dyDescent="0.3">
      <c r="A4" s="1" t="s">
        <v>32</v>
      </c>
      <c r="B4" t="s">
        <v>33</v>
      </c>
      <c r="D4" t="s">
        <v>34</v>
      </c>
      <c r="E4" s="3">
        <f>C10</f>
        <v>10.233333333333228</v>
      </c>
      <c r="F4" t="s">
        <v>35</v>
      </c>
      <c r="G4" s="3">
        <f>C14</f>
        <v>2.8833333333331979</v>
      </c>
    </row>
    <row r="5" spans="1:7" x14ac:dyDescent="0.3">
      <c r="A5" s="1" t="s">
        <v>36</v>
      </c>
      <c r="B5">
        <v>34.03</v>
      </c>
      <c r="D5" t="s">
        <v>37</v>
      </c>
      <c r="E5" s="3">
        <f>C11</f>
        <v>16.266666666666598</v>
      </c>
      <c r="F5" t="s">
        <v>38</v>
      </c>
      <c r="G5" s="3">
        <f>C16</f>
        <v>8.1166666666666032</v>
      </c>
    </row>
    <row r="6" spans="1:7" x14ac:dyDescent="0.3">
      <c r="A6" s="1" t="s">
        <v>39</v>
      </c>
      <c r="B6">
        <v>15</v>
      </c>
      <c r="F6" t="s">
        <v>40</v>
      </c>
      <c r="G6" s="3">
        <f>C17</f>
        <v>9.0333333333332</v>
      </c>
    </row>
    <row r="7" spans="1:7" x14ac:dyDescent="0.3">
      <c r="A7" s="1" t="s">
        <v>41</v>
      </c>
      <c r="B7" t="s">
        <v>42</v>
      </c>
      <c r="F7" t="s">
        <v>43</v>
      </c>
      <c r="G7" s="3">
        <f>C19</f>
        <v>11.216666666666608</v>
      </c>
    </row>
    <row r="8" spans="1:7" x14ac:dyDescent="0.3">
      <c r="A8" s="1" t="s">
        <v>24</v>
      </c>
      <c r="B8" s="2">
        <v>0.54083333333333339</v>
      </c>
      <c r="C8" s="3">
        <f t="shared" ref="C8:C25" si="0">(B8-$B$8)*86400/60</f>
        <v>0</v>
      </c>
      <c r="F8" t="s">
        <v>44</v>
      </c>
      <c r="G8" s="3">
        <f>C20</f>
        <v>12.349999999999852</v>
      </c>
    </row>
    <row r="9" spans="1:7" x14ac:dyDescent="0.3">
      <c r="A9" s="1" t="s">
        <v>25</v>
      </c>
      <c r="B9" s="2">
        <v>0.54565972222222225</v>
      </c>
      <c r="C9" s="3">
        <f t="shared" si="0"/>
        <v>6.9499999999999682</v>
      </c>
      <c r="F9" t="s">
        <v>45</v>
      </c>
      <c r="G9" s="3">
        <f>C21</f>
        <v>14.466666666666637</v>
      </c>
    </row>
    <row r="10" spans="1:7" x14ac:dyDescent="0.3">
      <c r="A10" s="1" t="s">
        <v>32</v>
      </c>
      <c r="B10" s="2">
        <v>0.5479398148148148</v>
      </c>
      <c r="C10" s="3">
        <f t="shared" si="0"/>
        <v>10.233333333333228</v>
      </c>
      <c r="F10" t="s">
        <v>46</v>
      </c>
      <c r="G10" s="3">
        <f>C23</f>
        <v>17.349999999999991</v>
      </c>
    </row>
    <row r="11" spans="1:7" x14ac:dyDescent="0.3">
      <c r="A11" s="1" t="s">
        <v>47</v>
      </c>
      <c r="B11" s="2">
        <v>0.55212962962962964</v>
      </c>
      <c r="C11" s="3">
        <f t="shared" si="0"/>
        <v>16.266666666666598</v>
      </c>
      <c r="F11" t="s">
        <v>48</v>
      </c>
      <c r="G11" s="3">
        <f>C24</f>
        <v>18.283333333333207</v>
      </c>
    </row>
    <row r="12" spans="1:7" x14ac:dyDescent="0.3">
      <c r="A12" s="1" t="s">
        <v>49</v>
      </c>
      <c r="B12" s="2">
        <v>0.52173611111111107</v>
      </c>
      <c r="C12" s="3">
        <f t="shared" si="0"/>
        <v>-27.500000000000146</v>
      </c>
      <c r="F12" t="s">
        <v>50</v>
      </c>
      <c r="G12" s="3">
        <f>C25</f>
        <v>20.999999999999925</v>
      </c>
    </row>
    <row r="13" spans="1:7" x14ac:dyDescent="0.3">
      <c r="A13" s="1" t="s">
        <v>51</v>
      </c>
      <c r="B13" s="2">
        <v>0.54189814814814818</v>
      </c>
      <c r="C13" s="3">
        <f t="shared" si="0"/>
        <v>1.5333333333333066</v>
      </c>
    </row>
    <row r="14" spans="1:7" x14ac:dyDescent="0.3">
      <c r="A14" s="1" t="s">
        <v>35</v>
      </c>
      <c r="B14" s="2">
        <v>0.54283564814814811</v>
      </c>
      <c r="C14" s="3">
        <f t="shared" si="0"/>
        <v>2.8833333333331979</v>
      </c>
    </row>
    <row r="15" spans="1:7" x14ac:dyDescent="0.3">
      <c r="C15" s="3">
        <f t="shared" si="0"/>
        <v>-778.80000000000007</v>
      </c>
    </row>
    <row r="16" spans="1:7" x14ac:dyDescent="0.3">
      <c r="A16" s="1" t="s">
        <v>52</v>
      </c>
      <c r="B16" s="2">
        <v>0.54646990740740742</v>
      </c>
      <c r="C16" s="3">
        <f t="shared" si="0"/>
        <v>8.1166666666666032</v>
      </c>
    </row>
    <row r="17" spans="1:3" x14ac:dyDescent="0.3">
      <c r="A17" s="1" t="s">
        <v>53</v>
      </c>
      <c r="B17" s="2">
        <v>0.54710648148148144</v>
      </c>
      <c r="C17" s="3">
        <f t="shared" si="0"/>
        <v>9.0333333333332</v>
      </c>
    </row>
    <row r="18" spans="1:3" x14ac:dyDescent="0.3">
      <c r="C18" s="3">
        <f t="shared" si="0"/>
        <v>-778.80000000000007</v>
      </c>
    </row>
    <row r="19" spans="1:3" x14ac:dyDescent="0.3">
      <c r="A19" s="1" t="s">
        <v>54</v>
      </c>
      <c r="B19" s="2">
        <v>0.5486226851851852</v>
      </c>
      <c r="C19" s="3">
        <f t="shared" si="0"/>
        <v>11.216666666666608</v>
      </c>
    </row>
    <row r="20" spans="1:3" x14ac:dyDescent="0.3">
      <c r="A20" s="1" t="s">
        <v>55</v>
      </c>
      <c r="B20" s="2">
        <v>0.54940972222222217</v>
      </c>
      <c r="C20" s="3">
        <f t="shared" si="0"/>
        <v>12.349999999999852</v>
      </c>
    </row>
    <row r="21" spans="1:3" x14ac:dyDescent="0.3">
      <c r="A21" s="1" t="s">
        <v>56</v>
      </c>
      <c r="B21" s="2">
        <v>0.55087962962962966</v>
      </c>
      <c r="C21" s="3">
        <f t="shared" si="0"/>
        <v>14.466666666666637</v>
      </c>
    </row>
    <row r="22" spans="1:3" x14ac:dyDescent="0.3">
      <c r="C22" s="3">
        <f t="shared" si="0"/>
        <v>-778.80000000000007</v>
      </c>
    </row>
    <row r="23" spans="1:3" x14ac:dyDescent="0.3">
      <c r="A23" s="1" t="s">
        <v>57</v>
      </c>
      <c r="B23" s="2">
        <v>0.5528819444444445</v>
      </c>
      <c r="C23" s="3">
        <f t="shared" si="0"/>
        <v>17.349999999999991</v>
      </c>
    </row>
    <row r="24" spans="1:3" x14ac:dyDescent="0.3">
      <c r="A24" s="1" t="s">
        <v>58</v>
      </c>
      <c r="B24" s="2">
        <v>0.55353009259259256</v>
      </c>
      <c r="C24" s="3">
        <f t="shared" si="0"/>
        <v>18.283333333333207</v>
      </c>
    </row>
    <row r="25" spans="1:3" x14ac:dyDescent="0.3">
      <c r="A25" s="1" t="s">
        <v>59</v>
      </c>
      <c r="B25" s="2">
        <v>0.55541666666666667</v>
      </c>
      <c r="C25" s="3">
        <f t="shared" si="0"/>
        <v>20.999999999999925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tabSelected="1" workbookViewId="0">
      <selection activeCell="L12" sqref="L12"/>
    </sheetView>
  </sheetViews>
  <sheetFormatPr defaultRowHeight="14.4" x14ac:dyDescent="0.3"/>
  <sheetData>
    <row r="1" spans="1:3" x14ac:dyDescent="0.3">
      <c r="A1" t="s">
        <v>60</v>
      </c>
      <c r="B1" t="s">
        <v>61</v>
      </c>
      <c r="C1" t="s">
        <v>5</v>
      </c>
    </row>
    <row r="2" spans="1:3" x14ac:dyDescent="0.3">
      <c r="A2">
        <v>0</v>
      </c>
      <c r="B2">
        <v>109.66956868209451</v>
      </c>
      <c r="C2">
        <v>0</v>
      </c>
    </row>
    <row r="3" spans="1:3" x14ac:dyDescent="0.3">
      <c r="A3" s="3">
        <v>1.533333333333307</v>
      </c>
      <c r="B3">
        <v>88.813151475278929</v>
      </c>
      <c r="C3">
        <v>20.8564172068156</v>
      </c>
    </row>
    <row r="4" spans="1:3" x14ac:dyDescent="0.3">
      <c r="A4" s="3">
        <v>2.8833333333331979</v>
      </c>
      <c r="B4">
        <v>83.904922951679609</v>
      </c>
      <c r="C4">
        <v>25.76464573041493</v>
      </c>
    </row>
    <row r="5" spans="1:3" x14ac:dyDescent="0.3">
      <c r="A5" s="3">
        <v>8.1166666666666032</v>
      </c>
      <c r="B5">
        <v>50.904921955525133</v>
      </c>
      <c r="C5">
        <v>58.083047714374942</v>
      </c>
    </row>
    <row r="6" spans="1:3" x14ac:dyDescent="0.3">
      <c r="A6" s="3">
        <v>9.0333333333332</v>
      </c>
      <c r="B6">
        <v>42.388734362492293</v>
      </c>
      <c r="C6">
        <v>66.599235307407781</v>
      </c>
    </row>
    <row r="7" spans="1:3" x14ac:dyDescent="0.3">
      <c r="A7" s="3">
        <v>11.21666666666661</v>
      </c>
      <c r="B7">
        <v>30.286592501106149</v>
      </c>
      <c r="C7">
        <v>77.036146650444564</v>
      </c>
    </row>
    <row r="8" spans="1:3" x14ac:dyDescent="0.3">
      <c r="A8" s="3">
        <v>12.34999999999985</v>
      </c>
      <c r="B8">
        <v>25.589130387269169</v>
      </c>
      <c r="C8">
        <v>81.733608764281527</v>
      </c>
    </row>
    <row r="9" spans="1:3" x14ac:dyDescent="0.3">
      <c r="A9" s="3">
        <v>14.46666666666664</v>
      </c>
      <c r="B9">
        <v>20.4391026388118</v>
      </c>
      <c r="C9">
        <v>86.883636512738946</v>
      </c>
    </row>
    <row r="10" spans="1:3" x14ac:dyDescent="0.3">
      <c r="A10" s="3">
        <v>17.349999999999991</v>
      </c>
      <c r="B10">
        <v>5.6195911726786942</v>
      </c>
      <c r="C10">
        <v>100.38646135255451</v>
      </c>
    </row>
    <row r="11" spans="1:3" x14ac:dyDescent="0.3">
      <c r="A11" s="3">
        <v>18.283333333333211</v>
      </c>
      <c r="B11">
        <v>2.432990605523746</v>
      </c>
      <c r="C11">
        <v>103.5730619197094</v>
      </c>
    </row>
    <row r="12" spans="1:3" x14ac:dyDescent="0.3">
      <c r="A12" s="3">
        <v>20.999999999999929</v>
      </c>
      <c r="B12">
        <v>0</v>
      </c>
      <c r="C12">
        <v>106.0060525252331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C3_E1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2025-02-25T16:51:26Z</dcterms:created>
  <dcterms:modified xsi:type="dcterms:W3CDTF">2026-01-12T11:11:44Z</dcterms:modified>
</cp:coreProperties>
</file>
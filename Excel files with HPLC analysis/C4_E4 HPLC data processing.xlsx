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8F70C2076F122805070E722939C2ABCE8712D851" xr6:coauthVersionLast="47" xr6:coauthVersionMax="47" xr10:uidLastSave="{DB7DBD59-4A34-483C-8792-D75B09CA0C45}"/>
  <bookViews>
    <workbookView xWindow="2904" yWindow="2796" windowWidth="17280" windowHeight="8880" firstSheet="1" activeTab="2" xr2:uid="{00000000-000D-0000-FFFF-FFFF00000000}"/>
  </bookViews>
  <sheets>
    <sheet name="C4_E4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2" l="1"/>
  <c r="H12" i="2" s="1"/>
  <c r="C18" i="2"/>
  <c r="H11" i="2" s="1"/>
  <c r="C17" i="2"/>
  <c r="C16" i="2"/>
  <c r="C15" i="2"/>
  <c r="H14" i="2"/>
  <c r="C14" i="2"/>
  <c r="H13" i="2"/>
  <c r="C13" i="2"/>
  <c r="H7" i="2" s="1"/>
  <c r="C12" i="2"/>
  <c r="C11" i="2"/>
  <c r="H6" i="2" s="1"/>
  <c r="H10" i="2"/>
  <c r="C10" i="2"/>
  <c r="H5" i="2" s="1"/>
  <c r="H9" i="2"/>
  <c r="C9" i="2"/>
  <c r="H8" i="2"/>
  <c r="C8" i="2"/>
  <c r="H4" i="2" s="1"/>
  <c r="C7" i="2"/>
  <c r="H3" i="2" s="1"/>
  <c r="C6" i="2"/>
  <c r="C5" i="2"/>
  <c r="C4" i="2"/>
  <c r="F4" i="2" s="1"/>
  <c r="C3" i="2"/>
  <c r="F3" i="2" s="1"/>
  <c r="H2" i="2"/>
  <c r="C2" i="2"/>
  <c r="F2" i="2" s="1"/>
  <c r="H1" i="2"/>
  <c r="F1" i="2"/>
  <c r="C1" i="2"/>
  <c r="H15" i="1"/>
  <c r="I15" i="1" s="1"/>
  <c r="J15" i="1" s="1"/>
  <c r="D15" i="1"/>
  <c r="E15" i="1" s="1"/>
  <c r="F15" i="1" s="1"/>
  <c r="K15" i="1" s="1"/>
  <c r="H14" i="1"/>
  <c r="I14" i="1" s="1"/>
  <c r="J14" i="1" s="1"/>
  <c r="D14" i="1"/>
  <c r="E14" i="1" s="1"/>
  <c r="F14" i="1" s="1"/>
  <c r="K14" i="1" s="1"/>
  <c r="I13" i="1"/>
  <c r="J13" i="1" s="1"/>
  <c r="H13" i="1"/>
  <c r="E13" i="1"/>
  <c r="F13" i="1" s="1"/>
  <c r="K13" i="1" s="1"/>
  <c r="D13" i="1"/>
  <c r="H12" i="1"/>
  <c r="I12" i="1" s="1"/>
  <c r="J12" i="1" s="1"/>
  <c r="D12" i="1"/>
  <c r="E12" i="1" s="1"/>
  <c r="F12" i="1" s="1"/>
  <c r="I11" i="1"/>
  <c r="J11" i="1" s="1"/>
  <c r="H11" i="1"/>
  <c r="D11" i="1"/>
  <c r="E11" i="1" s="1"/>
  <c r="F11" i="1" s="1"/>
  <c r="K11" i="1" s="1"/>
  <c r="I10" i="1"/>
  <c r="J10" i="1" s="1"/>
  <c r="H10" i="1"/>
  <c r="D10" i="1"/>
  <c r="E10" i="1" s="1"/>
  <c r="F10" i="1" s="1"/>
  <c r="H9" i="1"/>
  <c r="I9" i="1" s="1"/>
  <c r="J9" i="1" s="1"/>
  <c r="D9" i="1"/>
  <c r="E9" i="1" s="1"/>
  <c r="F9" i="1" s="1"/>
  <c r="K9" i="1" s="1"/>
  <c r="I8" i="1"/>
  <c r="J8" i="1" s="1"/>
  <c r="H8" i="1"/>
  <c r="D8" i="1"/>
  <c r="E8" i="1" s="1"/>
  <c r="F8" i="1" s="1"/>
  <c r="K8" i="1" s="1"/>
  <c r="H7" i="1"/>
  <c r="I7" i="1" s="1"/>
  <c r="J7" i="1" s="1"/>
  <c r="D7" i="1"/>
  <c r="E7" i="1" s="1"/>
  <c r="F7" i="1" s="1"/>
  <c r="K7" i="1" s="1"/>
  <c r="H6" i="1"/>
  <c r="I6" i="1" s="1"/>
  <c r="J6" i="1" s="1"/>
  <c r="D6" i="1"/>
  <c r="E6" i="1" s="1"/>
  <c r="F6" i="1" s="1"/>
  <c r="K6" i="1" s="1"/>
  <c r="H5" i="1"/>
  <c r="I5" i="1" s="1"/>
  <c r="J5" i="1" s="1"/>
  <c r="D5" i="1"/>
  <c r="E5" i="1" s="1"/>
  <c r="F5" i="1" s="1"/>
  <c r="K5" i="1" s="1"/>
  <c r="H4" i="1"/>
  <c r="I4" i="1" s="1"/>
  <c r="J4" i="1" s="1"/>
  <c r="D4" i="1"/>
  <c r="E4" i="1" s="1"/>
  <c r="F4" i="1" s="1"/>
  <c r="K4" i="1" s="1"/>
  <c r="K10" i="1" l="1"/>
  <c r="K12" i="1"/>
</calcChain>
</file>

<file path=xl/sharedStrings.xml><?xml version="1.0" encoding="utf-8"?>
<sst xmlns="http://schemas.openxmlformats.org/spreadsheetml/2006/main" count="93" uniqueCount="62">
  <si>
    <t>filename</t>
  </si>
  <si>
    <t>Biphenyl</t>
  </si>
  <si>
    <t>4SO2MeArOPh</t>
  </si>
  <si>
    <t>Ratio of integral with IS</t>
  </si>
  <si>
    <t>concentrations</t>
  </si>
  <si>
    <t>Product</t>
  </si>
  <si>
    <t>Compound</t>
  </si>
  <si>
    <t>initial concentration / mM</t>
  </si>
  <si>
    <t>4-Me-piperidine</t>
  </si>
  <si>
    <t>C4_E4-S01</t>
  </si>
  <si>
    <t>Ar-4SO2Me-Oph</t>
  </si>
  <si>
    <t>C4_E4-S1</t>
  </si>
  <si>
    <t>C4_E4-S2</t>
  </si>
  <si>
    <t>C4_E4-S3</t>
  </si>
  <si>
    <t>C4_E4-S4</t>
  </si>
  <si>
    <t>C4_E4-S5</t>
  </si>
  <si>
    <t>C4_E4-S6</t>
  </si>
  <si>
    <t>C4_E4-S7</t>
  </si>
  <si>
    <t>C4_E4-S8</t>
  </si>
  <si>
    <t>C4_E4-S9</t>
  </si>
  <si>
    <t>Phenol</t>
  </si>
  <si>
    <t>C4_E4-S10</t>
  </si>
  <si>
    <t>C4_E4-S11</t>
  </si>
  <si>
    <t>CC 4SO2ArOPh</t>
  </si>
  <si>
    <t>CC Product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</si>
  <si>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</si>
  <si>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</si>
  <si>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</si>
  <si>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</si>
  <si>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</si>
  <si>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</si>
  <si>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</si>
  <si>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</si>
  <si>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</si>
  <si>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16:09:55 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</si>
  <si>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</si>
  <si>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</si>
  <si>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</si>
  <si>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</si>
  <si>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</si>
  <si>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</si>
  <si>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</si>
  <si>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</si>
  <si>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</si>
  <si>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</si>
  <si>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S8</t>
  </si>
  <si>
    <t>S4:</t>
  </si>
  <si>
    <t>S9</t>
  </si>
  <si>
    <t>S5:</t>
  </si>
  <si>
    <t>S10</t>
  </si>
  <si>
    <t>S11</t>
  </si>
  <si>
    <t>S6:</t>
  </si>
  <si>
    <t>S12</t>
  </si>
  <si>
    <t>S7:</t>
  </si>
  <si>
    <t>S13</t>
  </si>
  <si>
    <t>S8:</t>
  </si>
  <si>
    <t>S9:</t>
  </si>
  <si>
    <t>S10:</t>
  </si>
  <si>
    <t>S11: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</si>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</sst>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  <font>
      <sz val="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21" fontId="1" fillId="0" borderId="0" xfId="0" applyNumberFormat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HPLC'!$A$2:$A$13</c:f>
              <c:numCache>
                <c:formatCode>General</c:formatCode>
                <c:ptCount val="12"/>
                <c:pt idx="0">
                  <c:v>0</c:v>
                </c:pt>
                <c:pt idx="1">
                  <c:v>11.450000000000029</c:v>
                </c:pt>
                <c:pt idx="2">
                  <c:v>47.183333333333408</c:v>
                </c:pt>
                <c:pt idx="3">
                  <c:v>130.8333333333334</c:v>
                </c:pt>
                <c:pt idx="4">
                  <c:v>151.99999999999989</c:v>
                </c:pt>
                <c:pt idx="5">
                  <c:v>247.09999999999991</c:v>
                </c:pt>
                <c:pt idx="6">
                  <c:v>255.41666666666671</c:v>
                </c:pt>
                <c:pt idx="7">
                  <c:v>315.18333333333339</c:v>
                </c:pt>
                <c:pt idx="8">
                  <c:v>527.05000000000007</c:v>
                </c:pt>
                <c:pt idx="9">
                  <c:v>529.65</c:v>
                </c:pt>
                <c:pt idx="10">
                  <c:v>618.56666666666683</c:v>
                </c:pt>
                <c:pt idx="11">
                  <c:v>637.01666666666677</c:v>
                </c:pt>
              </c:numCache>
            </c:numRef>
          </c:xVal>
          <c:yVal>
            <c:numRef>
              <c:f>'Concentration vs time HPLC'!$B$2:$B$13</c:f>
              <c:numCache>
                <c:formatCode>General</c:formatCode>
                <c:ptCount val="12"/>
                <c:pt idx="0">
                  <c:v>106.48193026635251</c:v>
                </c:pt>
                <c:pt idx="1">
                  <c:v>104.9352327444462</c:v>
                </c:pt>
                <c:pt idx="2">
                  <c:v>103.3616022939928</c:v>
                </c:pt>
                <c:pt idx="3">
                  <c:v>94.819330547140481</c:v>
                </c:pt>
                <c:pt idx="4">
                  <c:v>90.949454737829797</c:v>
                </c:pt>
                <c:pt idx="5">
                  <c:v>64.084666654329226</c:v>
                </c:pt>
                <c:pt idx="6">
                  <c:v>62.484649128188877</c:v>
                </c:pt>
                <c:pt idx="7">
                  <c:v>53.615728916577488</c:v>
                </c:pt>
                <c:pt idx="8">
                  <c:v>39.389387107082122</c:v>
                </c:pt>
                <c:pt idx="9">
                  <c:v>37.723913463294068</c:v>
                </c:pt>
                <c:pt idx="10">
                  <c:v>12.69302626619875</c:v>
                </c:pt>
                <c:pt idx="11">
                  <c:v>10.591268954899199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A9-49E4-B4D5-7190D0298644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HPLC'!$A$2:$A$13</c:f>
              <c:numCache>
                <c:formatCode>General</c:formatCode>
                <c:ptCount val="12"/>
                <c:pt idx="0">
                  <c:v>0</c:v>
                </c:pt>
                <c:pt idx="1">
                  <c:v>11.450000000000029</c:v>
                </c:pt>
                <c:pt idx="2">
                  <c:v>47.183333333333408</c:v>
                </c:pt>
                <c:pt idx="3">
                  <c:v>130.8333333333334</c:v>
                </c:pt>
                <c:pt idx="4">
                  <c:v>151.99999999999989</c:v>
                </c:pt>
                <c:pt idx="5">
                  <c:v>247.09999999999991</c:v>
                </c:pt>
                <c:pt idx="6">
                  <c:v>255.41666666666671</c:v>
                </c:pt>
                <c:pt idx="7">
                  <c:v>315.18333333333339</c:v>
                </c:pt>
                <c:pt idx="8">
                  <c:v>527.05000000000007</c:v>
                </c:pt>
                <c:pt idx="9">
                  <c:v>529.65</c:v>
                </c:pt>
                <c:pt idx="10">
                  <c:v>618.56666666666683</c:v>
                </c:pt>
                <c:pt idx="11">
                  <c:v>637.01666666666677</c:v>
                </c:pt>
              </c:numCache>
            </c:numRef>
          </c:xVal>
          <c:yVal>
            <c:numRef>
              <c:f>'Concentration vs time HPLC'!$C$2:$C$13</c:f>
              <c:numCache>
                <c:formatCode>General</c:formatCode>
                <c:ptCount val="12"/>
                <c:pt idx="0">
                  <c:v>0</c:v>
                </c:pt>
                <c:pt idx="1">
                  <c:v>1.5270997633997101</c:v>
                </c:pt>
                <c:pt idx="2">
                  <c:v>5.3569864052095504</c:v>
                </c:pt>
                <c:pt idx="3">
                  <c:v>11.33265418717375</c:v>
                </c:pt>
                <c:pt idx="4">
                  <c:v>13.249508972399569</c:v>
                </c:pt>
                <c:pt idx="5">
                  <c:v>40.395629959459797</c:v>
                </c:pt>
                <c:pt idx="6">
                  <c:v>41.873243769701908</c:v>
                </c:pt>
                <c:pt idx="7">
                  <c:v>48.956489804254431</c:v>
                </c:pt>
                <c:pt idx="8">
                  <c:v>64.278014049661053</c:v>
                </c:pt>
                <c:pt idx="9">
                  <c:v>64.910397833167607</c:v>
                </c:pt>
                <c:pt idx="10">
                  <c:v>89.503863757546981</c:v>
                </c:pt>
                <c:pt idx="11">
                  <c:v>92.011555628797623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A9-49E4-B4D5-7190D0298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176015"/>
        <c:axId val="1454174575"/>
      </c:scatterChart>
      <c:valAx>
        <c:axId val="145417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037379702537182"/>
              <c:y val="0.77277704870224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74575"/>
        <c:crosses val="autoZero"/>
        <c:crossBetween val="midCat"/>
      </c:valAx>
      <c:valAx>
        <c:axId val="145417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17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6</xdr:rowOff>
    </xdr:from>
    <xdr:to>
      <xdr:col>12</xdr:col>
      <xdr:colOff>160020</xdr:colOff>
      <xdr:row>15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E32423-6CE1-4B22-7E11-FF08E025C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E16" sqref="E16:K20"/>
    </sheetView>
  </sheetViews>
  <sheetFormatPr defaultRowHeight="14.4" x14ac:dyDescent="0.3"/>
  <cols>
    <col min="1" max="1" width="10.109375" bestFit="1" customWidth="1"/>
    <col min="13" max="13" width="9.77734375" bestFit="1" customWidth="1"/>
    <col min="14" max="14" width="21.55468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7.0141351773188596</v>
      </c>
      <c r="C3">
        <v>1.59794725821568</v>
      </c>
      <c r="G3">
        <v>2.7866542596083401</v>
      </c>
      <c r="I3">
        <v>0</v>
      </c>
      <c r="M3" t="s">
        <v>8</v>
      </c>
      <c r="N3">
        <v>29.78109974646263</v>
      </c>
    </row>
    <row r="4" spans="1:14" x14ac:dyDescent="0.3">
      <c r="A4" t="s">
        <v>9</v>
      </c>
      <c r="B4">
        <v>324.08770751953199</v>
      </c>
      <c r="C4">
        <v>1713.87854003906</v>
      </c>
      <c r="D4">
        <f t="shared" ref="D4:D15" si="0">C4/B4</f>
        <v>5.2883170212056516</v>
      </c>
      <c r="E4">
        <f t="shared" ref="E4:E15" si="1">D4/$B$20</f>
        <v>9.0833339422975801</v>
      </c>
      <c r="F4" s="5">
        <f>E4*$N$5</f>
        <v>106.48193026635253</v>
      </c>
      <c r="G4">
        <v>0</v>
      </c>
      <c r="H4">
        <f t="shared" ref="H4:H15" si="2">G4/B4</f>
        <v>0</v>
      </c>
      <c r="I4">
        <f t="shared" ref="I4:I15" si="3">H4/$B$21</f>
        <v>0</v>
      </c>
      <c r="J4" s="5">
        <f>I4*$N$5</f>
        <v>0</v>
      </c>
      <c r="K4">
        <f t="shared" ref="K4:K15" si="4">SUM(F4,J4)</f>
        <v>106.48193026635253</v>
      </c>
      <c r="M4" t="s">
        <v>10</v>
      </c>
      <c r="N4">
        <v>106.5869574301334</v>
      </c>
    </row>
    <row r="5" spans="1:14" x14ac:dyDescent="0.3">
      <c r="A5" t="s">
        <v>11</v>
      </c>
      <c r="B5">
        <v>393.07507324218801</v>
      </c>
      <c r="C5">
        <v>2048.51147460938</v>
      </c>
      <c r="D5">
        <f t="shared" si="0"/>
        <v>5.2115018581888473</v>
      </c>
      <c r="E5">
        <f t="shared" si="1"/>
        <v>8.9513944661436735</v>
      </c>
      <c r="F5" s="5">
        <f>E5*$N$5</f>
        <v>104.9352327444462</v>
      </c>
      <c r="G5">
        <v>32.228420257568402</v>
      </c>
      <c r="H5">
        <f t="shared" si="2"/>
        <v>8.1990496094651324E-2</v>
      </c>
      <c r="I5">
        <f t="shared" si="3"/>
        <v>0.13026770907952229</v>
      </c>
      <c r="J5" s="5">
        <f>I5*$N$5</f>
        <v>1.5270997633997101</v>
      </c>
      <c r="K5">
        <f t="shared" si="4"/>
        <v>106.4623325078459</v>
      </c>
      <c r="M5" t="s">
        <v>1</v>
      </c>
      <c r="N5">
        <v>11.72278052780899</v>
      </c>
    </row>
    <row r="6" spans="1:14" x14ac:dyDescent="0.3">
      <c r="A6" t="s">
        <v>12</v>
      </c>
      <c r="B6">
        <v>120.40347290039099</v>
      </c>
      <c r="C6">
        <v>618.07305908203205</v>
      </c>
      <c r="D6">
        <f t="shared" si="0"/>
        <v>5.1333490986041559</v>
      </c>
      <c r="E6">
        <f t="shared" si="1"/>
        <v>8.8171575036141459</v>
      </c>
      <c r="F6" s="5">
        <f>E6*$N$5</f>
        <v>103.36160229399283</v>
      </c>
      <c r="G6">
        <v>34.630252838134801</v>
      </c>
      <c r="H6">
        <f t="shared" si="2"/>
        <v>0.28761838843954429</v>
      </c>
      <c r="I6">
        <f t="shared" si="3"/>
        <v>0.45697233625602846</v>
      </c>
      <c r="J6" s="5">
        <f>I6*$N$5</f>
        <v>5.3569864052095522</v>
      </c>
      <c r="K6">
        <f t="shared" si="4"/>
        <v>108.71858869920239</v>
      </c>
    </row>
    <row r="7" spans="1:14" x14ac:dyDescent="0.3">
      <c r="A7" t="s">
        <v>13</v>
      </c>
      <c r="B7">
        <v>124.902069091797</v>
      </c>
      <c r="C7">
        <v>588.17706298828205</v>
      </c>
      <c r="D7">
        <f t="shared" si="0"/>
        <v>4.709105840000138</v>
      </c>
      <c r="E7">
        <f t="shared" si="1"/>
        <v>8.0884676056340385</v>
      </c>
      <c r="F7" s="5">
        <f>E7*$N$5</f>
        <v>94.81933054714051</v>
      </c>
      <c r="G7">
        <v>75.997161865234403</v>
      </c>
      <c r="H7">
        <f t="shared" si="2"/>
        <v>0.60845398653388316</v>
      </c>
      <c r="I7">
        <f t="shared" si="3"/>
        <v>0.96672066497280462</v>
      </c>
      <c r="J7" s="5">
        <f>I7*$N$5</f>
        <v>11.332654187173752</v>
      </c>
      <c r="K7">
        <f t="shared" si="4"/>
        <v>106.15198473431425</v>
      </c>
    </row>
    <row r="8" spans="1:14" x14ac:dyDescent="0.3">
      <c r="A8" t="s">
        <v>14</v>
      </c>
      <c r="B8">
        <v>389.8212890625</v>
      </c>
      <c r="C8">
        <v>1776.0458984375</v>
      </c>
      <c r="D8">
        <f t="shared" si="0"/>
        <v>4.5560515761178628</v>
      </c>
      <c r="E8">
        <f t="shared" si="1"/>
        <v>7.8255781108173519</v>
      </c>
      <c r="F8" s="6">
        <f>E8*$N$12</f>
        <v>90.949454737829782</v>
      </c>
      <c r="G8">
        <v>279.71026611328102</v>
      </c>
      <c r="H8">
        <f t="shared" si="2"/>
        <v>0.71753460870741492</v>
      </c>
      <c r="I8">
        <f t="shared" si="3"/>
        <v>1.1400295657887114</v>
      </c>
      <c r="J8" s="6">
        <f>I8*$N$12</f>
        <v>13.249508972399566</v>
      </c>
      <c r="K8">
        <f t="shared" si="4"/>
        <v>104.19896371022935</v>
      </c>
    </row>
    <row r="9" spans="1:14" x14ac:dyDescent="0.3">
      <c r="A9" t="s">
        <v>15</v>
      </c>
      <c r="B9">
        <v>250.75495910644599</v>
      </c>
      <c r="C9">
        <v>804.9931640625</v>
      </c>
      <c r="D9">
        <f t="shared" si="0"/>
        <v>3.2102781413817572</v>
      </c>
      <c r="E9">
        <f t="shared" si="1"/>
        <v>5.5140469621809638</v>
      </c>
      <c r="F9" s="6">
        <f>E9*$N$12</f>
        <v>64.084666654329212</v>
      </c>
      <c r="G9">
        <v>548.56359863281295</v>
      </c>
      <c r="H9">
        <f t="shared" si="2"/>
        <v>2.1876480552472208</v>
      </c>
      <c r="I9">
        <f t="shared" si="3"/>
        <v>3.4757674852990483</v>
      </c>
      <c r="J9" s="6">
        <f>I9*$N$12</f>
        <v>40.395629959459797</v>
      </c>
      <c r="K9">
        <f t="shared" si="4"/>
        <v>104.48029661378901</v>
      </c>
    </row>
    <row r="10" spans="1:14" x14ac:dyDescent="0.3">
      <c r="A10" t="s">
        <v>16</v>
      </c>
      <c r="B10">
        <v>85.803970336914105</v>
      </c>
      <c r="C10">
        <v>272.22424316406301</v>
      </c>
      <c r="D10">
        <f t="shared" si="0"/>
        <v>3.1726299155523834</v>
      </c>
      <c r="E10">
        <f t="shared" si="1"/>
        <v>5.4493815107392356</v>
      </c>
      <c r="F10" s="7">
        <f>E10*$N$20</f>
        <v>62.484649128188885</v>
      </c>
      <c r="G10">
        <v>197.21711730957099</v>
      </c>
      <c r="H10">
        <f t="shared" si="2"/>
        <v>2.2984614410637052</v>
      </c>
      <c r="I10">
        <f t="shared" si="3"/>
        <v>3.6518294265390931</v>
      </c>
      <c r="J10" s="7">
        <f>I10*$N$20</f>
        <v>41.873243769701908</v>
      </c>
      <c r="K10">
        <f t="shared" si="4"/>
        <v>104.35789289789079</v>
      </c>
      <c r="M10" t="s">
        <v>8</v>
      </c>
      <c r="N10">
        <v>102.11695512708791</v>
      </c>
    </row>
    <row r="11" spans="1:14" x14ac:dyDescent="0.3">
      <c r="A11" t="s">
        <v>17</v>
      </c>
      <c r="B11">
        <v>495.29876708984398</v>
      </c>
      <c r="C11">
        <v>1348.35900878906</v>
      </c>
      <c r="D11">
        <f t="shared" si="0"/>
        <v>2.7223144864894775</v>
      </c>
      <c r="E11">
        <f t="shared" si="1"/>
        <v>4.6759094580719296</v>
      </c>
      <c r="F11" s="7">
        <f>E11*$N$20</f>
        <v>53.615728916577488</v>
      </c>
      <c r="G11">
        <v>1331.00024414063</v>
      </c>
      <c r="H11">
        <f t="shared" si="2"/>
        <v>2.6872674284270834</v>
      </c>
      <c r="I11">
        <f t="shared" si="3"/>
        <v>4.2695701118955887</v>
      </c>
      <c r="J11" s="7">
        <f>I11*$N$20</f>
        <v>48.956489804254431</v>
      </c>
      <c r="K11">
        <f t="shared" si="4"/>
        <v>102.57221872083193</v>
      </c>
      <c r="M11" t="s">
        <v>10</v>
      </c>
      <c r="N11">
        <v>105.6713121027645</v>
      </c>
    </row>
    <row r="12" spans="1:14" x14ac:dyDescent="0.3">
      <c r="A12" t="s">
        <v>18</v>
      </c>
      <c r="B12">
        <v>123.560661315918</v>
      </c>
      <c r="C12">
        <v>247.11865234375</v>
      </c>
      <c r="D12">
        <f t="shared" si="0"/>
        <v>1.9999783888491891</v>
      </c>
      <c r="E12">
        <f t="shared" si="1"/>
        <v>3.4352085002562505</v>
      </c>
      <c r="F12" s="7">
        <f>E12*$N$20</f>
        <v>39.389387107082122</v>
      </c>
      <c r="G12">
        <v>435.956634521485</v>
      </c>
      <c r="H12">
        <f t="shared" si="2"/>
        <v>3.528280197585199</v>
      </c>
      <c r="I12">
        <f t="shared" si="3"/>
        <v>5.6057835995951688</v>
      </c>
      <c r="J12" s="7">
        <f>I12*$N$20</f>
        <v>64.278014049661053</v>
      </c>
      <c r="K12">
        <f t="shared" si="4"/>
        <v>103.66740115674318</v>
      </c>
      <c r="M12" t="s">
        <v>1</v>
      </c>
      <c r="N12">
        <v>11.622074874201269</v>
      </c>
    </row>
    <row r="13" spans="1:14" x14ac:dyDescent="0.3">
      <c r="A13" t="s">
        <v>19</v>
      </c>
      <c r="B13">
        <v>128.18705749511699</v>
      </c>
      <c r="C13">
        <v>249.96240234375</v>
      </c>
      <c r="D13">
        <f t="shared" si="0"/>
        <v>1.9499815911857699</v>
      </c>
      <c r="E13">
        <f t="shared" si="1"/>
        <v>3.349332860161061</v>
      </c>
      <c r="F13" s="8">
        <f>E13*$N$28</f>
        <v>37.723913463294082</v>
      </c>
      <c r="G13">
        <v>464.97195434570301</v>
      </c>
      <c r="H13">
        <f t="shared" si="2"/>
        <v>3.627292516355757</v>
      </c>
      <c r="I13">
        <f t="shared" si="3"/>
        <v>5.7630958315153435</v>
      </c>
      <c r="J13" s="8">
        <f>I13*$N$28</f>
        <v>64.910397833167636</v>
      </c>
      <c r="K13">
        <f t="shared" si="4"/>
        <v>102.63431129646172</v>
      </c>
      <c r="M13" t="s">
        <v>20</v>
      </c>
      <c r="N13">
        <v>0</v>
      </c>
    </row>
    <row r="14" spans="1:14" x14ac:dyDescent="0.3">
      <c r="A14" t="s">
        <v>21</v>
      </c>
      <c r="B14">
        <v>218.50221252441401</v>
      </c>
      <c r="C14">
        <v>143.36224365234401</v>
      </c>
      <c r="D14">
        <f t="shared" si="0"/>
        <v>0.65611346446354935</v>
      </c>
      <c r="E14">
        <f t="shared" si="1"/>
        <v>1.1269554525310019</v>
      </c>
      <c r="F14" s="8">
        <f>E14*$N$28</f>
        <v>12.693026266198752</v>
      </c>
      <c r="G14">
        <v>1092.86352539063</v>
      </c>
      <c r="H14">
        <f t="shared" si="2"/>
        <v>5.0016130855815506</v>
      </c>
      <c r="I14">
        <f t="shared" si="3"/>
        <v>7.9466366151597567</v>
      </c>
      <c r="J14" s="8">
        <f>I14*$N$28</f>
        <v>89.503863757547009</v>
      </c>
      <c r="K14">
        <f t="shared" si="4"/>
        <v>102.19689002374577</v>
      </c>
    </row>
    <row r="15" spans="1:14" x14ac:dyDescent="0.3">
      <c r="A15" t="s">
        <v>22</v>
      </c>
      <c r="B15">
        <v>216.54725646972699</v>
      </c>
      <c r="C15">
        <v>118.553520202637</v>
      </c>
      <c r="D15">
        <f t="shared" si="0"/>
        <v>0.54747181809348211</v>
      </c>
      <c r="E15">
        <f t="shared" si="1"/>
        <v>0.9403500826064618</v>
      </c>
      <c r="F15" s="8">
        <f>E15*$N$28</f>
        <v>10.591268954899206</v>
      </c>
      <c r="G15">
        <v>1113.43115234375</v>
      </c>
      <c r="H15">
        <f t="shared" si="2"/>
        <v>5.1417467507809604</v>
      </c>
      <c r="I15">
        <f t="shared" si="3"/>
        <v>8.1692830485874808</v>
      </c>
      <c r="J15" s="8">
        <f>I15*$N$28</f>
        <v>92.011555628797652</v>
      </c>
      <c r="K15">
        <f t="shared" si="4"/>
        <v>102.60282458369686</v>
      </c>
    </row>
    <row r="17" spans="1:14" x14ac:dyDescent="0.3">
      <c r="C17" s="9"/>
    </row>
    <row r="18" spans="1:14" x14ac:dyDescent="0.3">
      <c r="M18" t="s">
        <v>8</v>
      </c>
      <c r="N18">
        <v>100.7488991164995</v>
      </c>
    </row>
    <row r="19" spans="1:14" x14ac:dyDescent="0.3">
      <c r="M19" t="s">
        <v>10</v>
      </c>
      <c r="N19">
        <v>104.2556385401417</v>
      </c>
    </row>
    <row r="20" spans="1:14" x14ac:dyDescent="0.3">
      <c r="A20" t="s">
        <v>23</v>
      </c>
      <c r="B20">
        <v>0.58220000000000005</v>
      </c>
      <c r="M20" t="s">
        <v>1</v>
      </c>
      <c r="N20">
        <v>11.46637448764576</v>
      </c>
    </row>
    <row r="21" spans="1:14" x14ac:dyDescent="0.3">
      <c r="A21" t="s">
        <v>24</v>
      </c>
      <c r="B21">
        <v>0.62939999999999996</v>
      </c>
      <c r="M21" t="s">
        <v>20</v>
      </c>
      <c r="N21">
        <v>152.31898113297689</v>
      </c>
    </row>
    <row r="26" spans="1:14" x14ac:dyDescent="0.3">
      <c r="M26" t="s">
        <v>8</v>
      </c>
      <c r="N26">
        <v>248.75657166442389</v>
      </c>
    </row>
    <row r="27" spans="1:14" x14ac:dyDescent="0.3">
      <c r="M27" t="s">
        <v>10</v>
      </c>
      <c r="N27">
        <v>102.40752274626971</v>
      </c>
    </row>
    <row r="28" spans="1:14" x14ac:dyDescent="0.3">
      <c r="M28" t="s">
        <v>1</v>
      </c>
      <c r="N28">
        <v>11.26311269686108</v>
      </c>
    </row>
    <row r="29" spans="1:14" x14ac:dyDescent="0.3">
      <c r="M29" t="s">
        <v>20</v>
      </c>
      <c r="N29">
        <v>149.61885748805801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A20" sqref="A20:A21"/>
    </sheetView>
  </sheetViews>
  <sheetFormatPr defaultRowHeight="14.4" x14ac:dyDescent="0.3"/>
  <sheetData>
    <row r="1" spans="1:12" x14ac:dyDescent="0.3">
      <c r="A1" s="1" t="s">
        <v>25</v>
      </c>
      <c r="B1" s="2">
        <v>0.49711805555555549</v>
      </c>
      <c r="C1" s="3">
        <f t="shared" ref="C1:C19" si="0">(B1-$B$1)*86400/60</f>
        <v>0</v>
      </c>
      <c r="E1" t="s">
        <v>26</v>
      </c>
      <c r="F1" s="3">
        <f>C1</f>
        <v>0</v>
      </c>
      <c r="G1" t="s">
        <v>27</v>
      </c>
      <c r="H1" s="3">
        <f>C1</f>
        <v>0</v>
      </c>
      <c r="J1" s="1" t="s">
        <v>25</v>
      </c>
      <c r="K1" s="2">
        <v>0.49711805555555549</v>
      </c>
      <c r="L1" s="2"/>
    </row>
    <row r="2" spans="1:12" x14ac:dyDescent="0.3">
      <c r="A2" s="1" t="s">
        <v>28</v>
      </c>
      <c r="B2" s="2">
        <v>0.60124999999999995</v>
      </c>
      <c r="C2" s="3">
        <f t="shared" si="0"/>
        <v>149.95000000000002</v>
      </c>
      <c r="E2" t="s">
        <v>29</v>
      </c>
      <c r="F2" s="3">
        <f>C2</f>
        <v>149.95000000000002</v>
      </c>
      <c r="G2" t="s">
        <v>30</v>
      </c>
      <c r="H2" s="3">
        <f>C6</f>
        <v>11.450000000000111</v>
      </c>
      <c r="J2" s="1" t="s">
        <v>28</v>
      </c>
      <c r="K2" s="2">
        <v>0.60124999999999995</v>
      </c>
      <c r="L2" s="2"/>
    </row>
    <row r="3" spans="1:12" x14ac:dyDescent="0.3">
      <c r="A3" s="1" t="s">
        <v>31</v>
      </c>
      <c r="B3" s="2">
        <v>0.67283564814814811</v>
      </c>
      <c r="C3" s="3">
        <f t="shared" si="0"/>
        <v>253.03333333333336</v>
      </c>
      <c r="E3" t="s">
        <v>32</v>
      </c>
      <c r="F3" s="3">
        <f>C3</f>
        <v>253.03333333333336</v>
      </c>
      <c r="G3" t="s">
        <v>33</v>
      </c>
      <c r="H3" s="3">
        <f>C7</f>
        <v>47.183333333333486</v>
      </c>
      <c r="J3" s="1" t="s">
        <v>31</v>
      </c>
      <c r="K3" s="2">
        <v>0.67283564814814811</v>
      </c>
      <c r="L3" s="2" t="s">
        <v>34</v>
      </c>
    </row>
    <row r="4" spans="1:12" x14ac:dyDescent="0.3">
      <c r="A4" s="1" t="s">
        <v>35</v>
      </c>
      <c r="B4" s="2">
        <v>0.86373842592592598</v>
      </c>
      <c r="C4" s="3">
        <f t="shared" si="0"/>
        <v>527.93333333333351</v>
      </c>
      <c r="E4" t="s">
        <v>36</v>
      </c>
      <c r="F4" s="3">
        <f>C4</f>
        <v>527.93333333333351</v>
      </c>
      <c r="G4" t="s">
        <v>37</v>
      </c>
      <c r="H4" s="3">
        <f>C8</f>
        <v>130.83333333333346</v>
      </c>
      <c r="J4" s="1" t="s">
        <v>35</v>
      </c>
      <c r="K4" s="2">
        <v>0.86373842592592598</v>
      </c>
      <c r="L4" s="2"/>
    </row>
    <row r="5" spans="1:12" x14ac:dyDescent="0.3">
      <c r="A5" s="1" t="s">
        <v>38</v>
      </c>
      <c r="B5" s="2">
        <v>0.46568287037037043</v>
      </c>
      <c r="C5" s="3">
        <f t="shared" si="0"/>
        <v>-45.266666666666495</v>
      </c>
      <c r="G5" t="s">
        <v>39</v>
      </c>
      <c r="H5" s="3">
        <f>C10</f>
        <v>152.00000000000003</v>
      </c>
      <c r="J5" s="1" t="s">
        <v>38</v>
      </c>
      <c r="K5" s="2">
        <v>0.46568287037037043</v>
      </c>
      <c r="L5" s="2"/>
    </row>
    <row r="6" spans="1:12" x14ac:dyDescent="0.3">
      <c r="A6" s="1" t="s">
        <v>40</v>
      </c>
      <c r="B6" s="2">
        <v>0.50506944444444446</v>
      </c>
      <c r="C6" s="3">
        <f t="shared" si="0"/>
        <v>11.450000000000111</v>
      </c>
      <c r="G6" t="s">
        <v>41</v>
      </c>
      <c r="H6" s="3">
        <f>C11</f>
        <v>247.10000000000002</v>
      </c>
      <c r="J6" s="1" t="s">
        <v>40</v>
      </c>
      <c r="K6" s="2">
        <v>0.50506944444444446</v>
      </c>
      <c r="L6" s="2"/>
    </row>
    <row r="7" spans="1:12" x14ac:dyDescent="0.3">
      <c r="A7" s="1" t="s">
        <v>33</v>
      </c>
      <c r="B7" s="2">
        <v>0.5298842592592593</v>
      </c>
      <c r="C7" s="3">
        <f t="shared" si="0"/>
        <v>47.183333333333486</v>
      </c>
      <c r="G7" t="s">
        <v>42</v>
      </c>
      <c r="H7" s="3">
        <f>C13</f>
        <v>255.41666666666683</v>
      </c>
      <c r="J7" s="1" t="s">
        <v>33</v>
      </c>
      <c r="K7" s="2">
        <v>0.5298842592592593</v>
      </c>
      <c r="L7" s="2"/>
    </row>
    <row r="8" spans="1:12" x14ac:dyDescent="0.3">
      <c r="A8" s="1" t="s">
        <v>43</v>
      </c>
      <c r="B8" s="2">
        <v>0.58797453703703706</v>
      </c>
      <c r="C8" s="3">
        <f t="shared" si="0"/>
        <v>130.83333333333346</v>
      </c>
      <c r="G8" t="s">
        <v>44</v>
      </c>
      <c r="H8" s="3">
        <f>C14</f>
        <v>315.18333333333351</v>
      </c>
      <c r="J8" s="1" t="s">
        <v>43</v>
      </c>
      <c r="K8" s="2">
        <v>0.58797453703703706</v>
      </c>
      <c r="L8" s="2"/>
    </row>
    <row r="9" spans="1:12" x14ac:dyDescent="0.3">
      <c r="C9" s="3">
        <f t="shared" si="0"/>
        <v>-715.84999999999991</v>
      </c>
      <c r="G9" t="s">
        <v>45</v>
      </c>
      <c r="H9" s="3">
        <f>C15</f>
        <v>527.05000000000007</v>
      </c>
    </row>
    <row r="10" spans="1:12" x14ac:dyDescent="0.3">
      <c r="A10" s="1" t="s">
        <v>46</v>
      </c>
      <c r="B10" s="2">
        <v>0.60267361111111106</v>
      </c>
      <c r="C10" s="3">
        <f t="shared" si="0"/>
        <v>152.00000000000003</v>
      </c>
      <c r="G10" t="s">
        <v>47</v>
      </c>
      <c r="H10" s="3">
        <f>C17</f>
        <v>529.65000000000009</v>
      </c>
      <c r="J10" s="1" t="s">
        <v>46</v>
      </c>
      <c r="K10" s="2">
        <v>0.60267361111111106</v>
      </c>
      <c r="L10" s="2"/>
    </row>
    <row r="11" spans="1:12" x14ac:dyDescent="0.3">
      <c r="A11" s="1" t="s">
        <v>48</v>
      </c>
      <c r="B11" s="2">
        <v>0.66871527777777773</v>
      </c>
      <c r="C11" s="3">
        <f t="shared" si="0"/>
        <v>247.10000000000002</v>
      </c>
      <c r="G11" t="s">
        <v>49</v>
      </c>
      <c r="H11" s="3">
        <f>C18</f>
        <v>618.56666666666683</v>
      </c>
      <c r="J11" s="1" t="s">
        <v>48</v>
      </c>
      <c r="K11" s="2">
        <v>0.66871527777777773</v>
      </c>
      <c r="L11" s="2"/>
    </row>
    <row r="12" spans="1:12" x14ac:dyDescent="0.3">
      <c r="B12" s="2"/>
      <c r="C12" s="3">
        <f t="shared" si="0"/>
        <v>-715.84999999999991</v>
      </c>
      <c r="G12" t="s">
        <v>50</v>
      </c>
      <c r="H12" s="3">
        <f>C19</f>
        <v>637.01666666666677</v>
      </c>
      <c r="K12" s="2"/>
      <c r="L12" s="2"/>
    </row>
    <row r="13" spans="1:12" x14ac:dyDescent="0.3">
      <c r="A13" s="1" t="s">
        <v>51</v>
      </c>
      <c r="B13" s="2">
        <v>0.67449074074074078</v>
      </c>
      <c r="C13" s="3">
        <f t="shared" si="0"/>
        <v>255.41666666666683</v>
      </c>
      <c r="G13" t="s">
        <v>52</v>
      </c>
      <c r="H13" s="3">
        <f>C20</f>
        <v>0</v>
      </c>
      <c r="J13" s="1" t="s">
        <v>51</v>
      </c>
      <c r="K13" s="2">
        <v>0.67449074074074078</v>
      </c>
    </row>
    <row r="14" spans="1:12" x14ac:dyDescent="0.3">
      <c r="A14" s="1" t="s">
        <v>53</v>
      </c>
      <c r="B14" s="2">
        <v>0.71599537037037042</v>
      </c>
      <c r="C14" s="3">
        <f t="shared" si="0"/>
        <v>315.18333333333351</v>
      </c>
      <c r="G14" t="s">
        <v>54</v>
      </c>
      <c r="H14" s="3">
        <f>C21</f>
        <v>0</v>
      </c>
      <c r="J14" s="1" t="s">
        <v>53</v>
      </c>
      <c r="K14" s="2">
        <v>0.71599537037037042</v>
      </c>
      <c r="L14" s="2"/>
    </row>
    <row r="15" spans="1:12" x14ac:dyDescent="0.3">
      <c r="A15" s="1" t="s">
        <v>55</v>
      </c>
      <c r="B15" s="2">
        <v>0.86312500000000003</v>
      </c>
      <c r="C15" s="3">
        <f t="shared" si="0"/>
        <v>527.05000000000007</v>
      </c>
      <c r="J15" s="1" t="s">
        <v>55</v>
      </c>
      <c r="K15" s="2">
        <v>0.86312500000000003</v>
      </c>
      <c r="L15" s="2"/>
    </row>
    <row r="16" spans="1:12" x14ac:dyDescent="0.3">
      <c r="C16" s="3">
        <f t="shared" si="0"/>
        <v>-715.84999999999991</v>
      </c>
      <c r="L16" s="2"/>
    </row>
    <row r="17" spans="1:12" x14ac:dyDescent="0.3">
      <c r="A17" s="1" t="s">
        <v>56</v>
      </c>
      <c r="B17" s="2">
        <v>0.86493055555555554</v>
      </c>
      <c r="C17" s="3">
        <f t="shared" si="0"/>
        <v>529.65000000000009</v>
      </c>
      <c r="J17" s="1" t="s">
        <v>56</v>
      </c>
      <c r="K17" s="2">
        <v>0.86493055555555554</v>
      </c>
    </row>
    <row r="18" spans="1:12" x14ac:dyDescent="0.3">
      <c r="A18" s="1" t="s">
        <v>57</v>
      </c>
      <c r="B18" s="2">
        <v>0.92667824074074079</v>
      </c>
      <c r="C18" s="3">
        <f t="shared" si="0"/>
        <v>618.56666666666683</v>
      </c>
      <c r="J18" s="1" t="s">
        <v>57</v>
      </c>
      <c r="K18" s="2">
        <v>0.92667824074074079</v>
      </c>
      <c r="L18" s="2"/>
    </row>
    <row r="19" spans="1:12" x14ac:dyDescent="0.3">
      <c r="A19" s="1" t="s">
        <v>58</v>
      </c>
      <c r="B19" s="2">
        <v>0.93949074074074079</v>
      </c>
      <c r="C19" s="3">
        <f t="shared" si="0"/>
        <v>637.01666666666677</v>
      </c>
      <c r="J19" s="1" t="s">
        <v>58</v>
      </c>
      <c r="K19" s="2">
        <v>0.93949074074074079</v>
      </c>
      <c r="L19" s="2"/>
    </row>
    <row r="20" spans="1:12" x14ac:dyDescent="0.3">
      <c r="A20" s="1"/>
      <c r="B20" s="4"/>
      <c r="C20" s="3"/>
      <c r="J20" s="1"/>
      <c r="K20" s="4"/>
      <c r="L20" s="2"/>
    </row>
    <row r="21" spans="1:12" x14ac:dyDescent="0.3">
      <c r="B21" s="2"/>
      <c r="C21" s="3"/>
      <c r="J21" s="1"/>
      <c r="K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abSelected="1" topLeftCell="A4" workbookViewId="0">
      <selection activeCell="N7" sqref="N7"/>
    </sheetView>
  </sheetViews>
  <sheetFormatPr defaultRowHeight="14.4" x14ac:dyDescent="0.3"/>
  <sheetData>
    <row r="1" spans="1:3" x14ac:dyDescent="0.3">
      <c r="A1" t="s">
        <v>59</v>
      </c>
      <c r="B1" t="s">
        <v>60</v>
      </c>
      <c r="C1" t="s">
        <v>61</v>
      </c>
    </row>
    <row r="2" spans="1:3" x14ac:dyDescent="0.3">
      <c r="A2">
        <v>0</v>
      </c>
      <c r="B2" s="5">
        <v>106.48193026635251</v>
      </c>
      <c r="C2">
        <v>0</v>
      </c>
    </row>
    <row r="3" spans="1:3" x14ac:dyDescent="0.3">
      <c r="A3">
        <v>11.450000000000029</v>
      </c>
      <c r="B3" s="5">
        <v>104.9352327444462</v>
      </c>
      <c r="C3">
        <v>1.5270997633997101</v>
      </c>
    </row>
    <row r="4" spans="1:3" x14ac:dyDescent="0.3">
      <c r="A4">
        <v>47.183333333333408</v>
      </c>
      <c r="B4" s="5">
        <v>103.3616022939928</v>
      </c>
      <c r="C4">
        <v>5.3569864052095504</v>
      </c>
    </row>
    <row r="5" spans="1:3" x14ac:dyDescent="0.3">
      <c r="A5">
        <v>130.8333333333334</v>
      </c>
      <c r="B5" s="5">
        <v>94.819330547140481</v>
      </c>
      <c r="C5">
        <v>11.33265418717375</v>
      </c>
    </row>
    <row r="6" spans="1:3" x14ac:dyDescent="0.3">
      <c r="A6">
        <v>151.99999999999989</v>
      </c>
      <c r="B6" s="6">
        <v>90.949454737829797</v>
      </c>
      <c r="C6">
        <v>13.249508972399569</v>
      </c>
    </row>
    <row r="7" spans="1:3" x14ac:dyDescent="0.3">
      <c r="A7">
        <v>247.09999999999991</v>
      </c>
      <c r="B7" s="6">
        <v>64.084666654329226</v>
      </c>
      <c r="C7">
        <v>40.395629959459797</v>
      </c>
    </row>
    <row r="8" spans="1:3" x14ac:dyDescent="0.3">
      <c r="A8">
        <v>255.41666666666671</v>
      </c>
      <c r="B8" s="7">
        <v>62.484649128188877</v>
      </c>
      <c r="C8">
        <v>41.873243769701908</v>
      </c>
    </row>
    <row r="9" spans="1:3" x14ac:dyDescent="0.3">
      <c r="A9">
        <v>315.18333333333339</v>
      </c>
      <c r="B9" s="7">
        <v>53.615728916577488</v>
      </c>
      <c r="C9">
        <v>48.956489804254431</v>
      </c>
    </row>
    <row r="10" spans="1:3" x14ac:dyDescent="0.3">
      <c r="A10">
        <v>527.05000000000007</v>
      </c>
      <c r="B10" s="7">
        <v>39.389387107082122</v>
      </c>
      <c r="C10">
        <v>64.278014049661053</v>
      </c>
    </row>
    <row r="11" spans="1:3" x14ac:dyDescent="0.3">
      <c r="A11">
        <v>529.65</v>
      </c>
      <c r="B11" s="8">
        <v>37.723913463294068</v>
      </c>
      <c r="C11">
        <v>64.910397833167607</v>
      </c>
    </row>
    <row r="12" spans="1:3" x14ac:dyDescent="0.3">
      <c r="A12">
        <v>618.56666666666683</v>
      </c>
      <c r="B12" s="8">
        <v>12.69302626619875</v>
      </c>
      <c r="C12">
        <v>89.503863757546981</v>
      </c>
    </row>
    <row r="13" spans="1:3" x14ac:dyDescent="0.3">
      <c r="A13">
        <v>637.01666666666677</v>
      </c>
      <c r="B13" s="8">
        <v>10.591268954899199</v>
      </c>
      <c r="C13">
        <v>92.011555628797623</v>
      </c>
    </row>
    <row r="14" spans="1:3" x14ac:dyDescent="0.3">
      <c r="B14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C4_E4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2025-03-06T08:01:39Z</dcterms:created>
  <dcterms:modified xsi:type="dcterms:W3CDTF">2026-01-12T11:22:29Z</dcterms:modified>
</cp:coreProperties>
</file>
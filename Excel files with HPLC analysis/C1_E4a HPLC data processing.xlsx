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0275FBC34666C4935A6A40D6A5EDCADD41D23FEB" xr6:coauthVersionLast="47" xr6:coauthVersionMax="47" xr10:uidLastSave="{EE0BE568-925E-4F05-A8E1-CC3A41EBF3F8}"/>
  <bookViews>
    <workbookView xWindow="-108" yWindow="-108" windowWidth="23256" windowHeight="12456" activeTab="2" xr2:uid="{00000000-000D-0000-FFFF-FFFF00000000}"/>
  </bookViews>
  <sheets>
    <sheet name="C1_E4a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C18" i="2"/>
  <c r="C17" i="2"/>
  <c r="D17" i="2" s="1"/>
  <c r="C16" i="2"/>
  <c r="D16" i="2" s="1"/>
  <c r="C15" i="2"/>
  <c r="K11" i="2" s="1"/>
  <c r="K14" i="2"/>
  <c r="J14" i="2"/>
  <c r="D14" i="2"/>
  <c r="C14" i="2"/>
  <c r="K10" i="2" s="1"/>
  <c r="K13" i="2"/>
  <c r="J13" i="2"/>
  <c r="C13" i="2"/>
  <c r="D13" i="2" s="1"/>
  <c r="K12" i="2"/>
  <c r="J12" i="2"/>
  <c r="C12" i="2"/>
  <c r="D12" i="2" s="1"/>
  <c r="J11" i="2"/>
  <c r="C11" i="2"/>
  <c r="K7" i="2" s="1"/>
  <c r="J10" i="2"/>
  <c r="D10" i="2"/>
  <c r="C10" i="2"/>
  <c r="K6" i="2" s="1"/>
  <c r="K9" i="2"/>
  <c r="J9" i="2"/>
  <c r="C9" i="2"/>
  <c r="D9" i="2" s="1"/>
  <c r="K8" i="2"/>
  <c r="J8" i="2"/>
  <c r="C8" i="2"/>
  <c r="D8" i="2" s="1"/>
  <c r="J7" i="2"/>
  <c r="C7" i="2"/>
  <c r="D7" i="2" s="1"/>
  <c r="J6" i="2"/>
  <c r="D6" i="2"/>
  <c r="C6" i="2"/>
  <c r="D2" i="2" s="1"/>
  <c r="H2" i="2" s="1"/>
  <c r="I2" i="2" s="1"/>
  <c r="K5" i="2"/>
  <c r="J5" i="2"/>
  <c r="D5" i="2"/>
  <c r="H5" i="2" s="1"/>
  <c r="C5" i="2"/>
  <c r="J4" i="2"/>
  <c r="C4" i="2"/>
  <c r="D4" i="2" s="1"/>
  <c r="H4" i="2" s="1"/>
  <c r="K3" i="2"/>
  <c r="J3" i="2"/>
  <c r="D3" i="2"/>
  <c r="H3" i="2" s="1"/>
  <c r="C3" i="2"/>
  <c r="K2" i="2"/>
  <c r="C2" i="2"/>
  <c r="K20" i="1"/>
  <c r="K19" i="1"/>
  <c r="K18" i="1"/>
  <c r="K17" i="1"/>
  <c r="H16" i="1"/>
  <c r="I16" i="1" s="1"/>
  <c r="J16" i="1" s="1"/>
  <c r="E16" i="1"/>
  <c r="F16" i="1" s="1"/>
  <c r="D16" i="1"/>
  <c r="I15" i="1"/>
  <c r="J15" i="1" s="1"/>
  <c r="H15" i="1"/>
  <c r="D15" i="1"/>
  <c r="E15" i="1" s="1"/>
  <c r="F15" i="1" s="1"/>
  <c r="K15" i="1" s="1"/>
  <c r="I14" i="1"/>
  <c r="J14" i="1" s="1"/>
  <c r="H14" i="1"/>
  <c r="E14" i="1"/>
  <c r="F14" i="1" s="1"/>
  <c r="K14" i="1" s="1"/>
  <c r="D14" i="1"/>
  <c r="H13" i="1"/>
  <c r="I13" i="1" s="1"/>
  <c r="J13" i="1" s="1"/>
  <c r="K13" i="1" s="1"/>
  <c r="F13" i="1"/>
  <c r="E13" i="1"/>
  <c r="D13" i="1"/>
  <c r="H12" i="1"/>
  <c r="I12" i="1" s="1"/>
  <c r="J12" i="1" s="1"/>
  <c r="D12" i="1"/>
  <c r="E12" i="1" s="1"/>
  <c r="F12" i="1" s="1"/>
  <c r="K12" i="1" s="1"/>
  <c r="I11" i="1"/>
  <c r="J11" i="1" s="1"/>
  <c r="H11" i="1"/>
  <c r="D11" i="1"/>
  <c r="E11" i="1" s="1"/>
  <c r="F11" i="1" s="1"/>
  <c r="I10" i="1"/>
  <c r="J10" i="1" s="1"/>
  <c r="H10" i="1"/>
  <c r="D10" i="1"/>
  <c r="E10" i="1" s="1"/>
  <c r="F10" i="1" s="1"/>
  <c r="K10" i="1" s="1"/>
  <c r="I9" i="1"/>
  <c r="J9" i="1" s="1"/>
  <c r="H9" i="1"/>
  <c r="F9" i="1"/>
  <c r="K9" i="1" s="1"/>
  <c r="E9" i="1"/>
  <c r="D9" i="1"/>
  <c r="J8" i="1"/>
  <c r="I8" i="1"/>
  <c r="H8" i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K6" i="1" s="1"/>
  <c r="H5" i="1"/>
  <c r="I5" i="1" s="1"/>
  <c r="J5" i="1" s="1"/>
  <c r="D5" i="1"/>
  <c r="E5" i="1" s="1"/>
  <c r="F5" i="1" s="1"/>
  <c r="K5" i="1" s="1"/>
  <c r="J4" i="1"/>
  <c r="I4" i="1"/>
  <c r="H4" i="1"/>
  <c r="E4" i="1"/>
  <c r="F4" i="1" s="1"/>
  <c r="K4" i="1" s="1"/>
  <c r="D4" i="1"/>
  <c r="I3" i="2" l="1"/>
  <c r="K11" i="1"/>
  <c r="I5" i="2"/>
  <c r="I4" i="2"/>
  <c r="K16" i="1"/>
  <c r="D15" i="2"/>
  <c r="D11" i="2"/>
  <c r="K4" i="2"/>
</calcChain>
</file>

<file path=xl/sharedStrings.xml><?xml version="1.0" encoding="utf-8"?>
<sst xmlns="http://schemas.openxmlformats.org/spreadsheetml/2006/main" count="67" uniqueCount="51">
  <si>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</si>
  <si>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</si>
  <si>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</si>
  <si>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</si>
  <si>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</si>
  <si>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</si>
  <si>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</si>
  <si>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</si>
  <si>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</si>
  <si>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C1_E4a-S02</t>
  </si>
  <si>
    <t>Ar-4SO2Me-Oph</t>
  </si>
  <si>
    <t>C1_E4a-S1</t>
  </si>
  <si>
    <t>C1_E4a-S2</t>
  </si>
  <si>
    <t>C1_E4a-S3</t>
  </si>
  <si>
    <t>C1_E4a-S4</t>
  </si>
  <si>
    <t>C1_E4a-S5</t>
  </si>
  <si>
    <t>C1_E4a-S6</t>
  </si>
  <si>
    <t>C1_E4a-S7</t>
  </si>
  <si>
    <t>C1_E4a-S8</t>
  </si>
  <si>
    <t>C1_E4a-S9</t>
  </si>
  <si>
    <t>Phenol</t>
  </si>
  <si>
    <t>C1_E4a-S10</t>
  </si>
  <si>
    <t>C1_E4a-S11</t>
  </si>
  <si>
    <t>C1_E4a-S122</t>
  </si>
  <si>
    <t>CC 4SO2ArOPh</t>
  </si>
  <si>
    <t>CC Product</t>
  </si>
  <si>
    <t>time since V1</t>
  </si>
  <si>
    <t>Time since IR</t>
  </si>
  <si>
    <t>V1:</t>
  </si>
  <si>
    <t>V1</t>
  </si>
  <si>
    <t>S0</t>
  </si>
  <si>
    <t>V2:</t>
  </si>
  <si>
    <t>V2</t>
  </si>
  <si>
    <t>Phenol:</t>
  </si>
  <si>
    <t>V3:</t>
  </si>
  <si>
    <t>V3</t>
  </si>
  <si>
    <t>Start:</t>
  </si>
  <si>
    <t>S1:</t>
  </si>
  <si>
    <t>S2:</t>
  </si>
  <si>
    <t>S3:</t>
  </si>
  <si>
    <t>S4:</t>
  </si>
  <si>
    <t>S5:</t>
  </si>
  <si>
    <t>S6:</t>
  </si>
  <si>
    <t>S7:</t>
  </si>
  <si>
    <t>S8:</t>
  </si>
  <si>
    <t>S9: </t>
  </si>
  <si>
    <t>S10:</t>
  </si>
  <si>
    <t>S11:</t>
  </si>
  <si>
    <t>S12:</t>
  </si>
  <si>
    <t>Time / min</t>
  </si>
  <si>
    <t>4SO2Me-ArOPh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</si>
</sst>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9.1499999910593033</c:v>
                </c:pt>
                <c:pt idx="2">
                  <c:v>24.16666665812954</c:v>
                </c:pt>
                <c:pt idx="3">
                  <c:v>113.49999999278231</c:v>
                </c:pt>
                <c:pt idx="4">
                  <c:v>132.6999999966938</c:v>
                </c:pt>
                <c:pt idx="5">
                  <c:v>142.91666666278621</c:v>
                </c:pt>
                <c:pt idx="6">
                  <c:v>160.0666666589677</c:v>
                </c:pt>
                <c:pt idx="7">
                  <c:v>162.96666666632521</c:v>
                </c:pt>
                <c:pt idx="8">
                  <c:v>183.14999999245629</c:v>
                </c:pt>
                <c:pt idx="9">
                  <c:v>210.0499999942258</c:v>
                </c:pt>
                <c:pt idx="10">
                  <c:v>217.6500000001397</c:v>
                </c:pt>
                <c:pt idx="11">
                  <c:v>231.76666666637169</c:v>
                </c:pt>
                <c:pt idx="12">
                  <c:v>251.7999999993481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101.5</c:v>
                </c:pt>
                <c:pt idx="1">
                  <c:v>92.135266622084814</c:v>
                </c:pt>
                <c:pt idx="2">
                  <c:v>82.323126009449723</c:v>
                </c:pt>
                <c:pt idx="3">
                  <c:v>64.72315688015648</c:v>
                </c:pt>
                <c:pt idx="4">
                  <c:v>58.455917837933598</c:v>
                </c:pt>
                <c:pt idx="5">
                  <c:v>45.145445460301723</c:v>
                </c:pt>
                <c:pt idx="6">
                  <c:v>33.090798667728002</c:v>
                </c:pt>
                <c:pt idx="7">
                  <c:v>30.83521729503255</c:v>
                </c:pt>
                <c:pt idx="8">
                  <c:v>23.240333893686088</c:v>
                </c:pt>
                <c:pt idx="9">
                  <c:v>16.714276724368201</c:v>
                </c:pt>
                <c:pt idx="10">
                  <c:v>13.27499901924673</c:v>
                </c:pt>
                <c:pt idx="11">
                  <c:v>5.023072197897184</c:v>
                </c:pt>
                <c:pt idx="12">
                  <c:v>2.0854437059499928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BF-42F4-A1A9-6E90CBBF958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9.1499999910593033</c:v>
                </c:pt>
                <c:pt idx="2">
                  <c:v>24.16666665812954</c:v>
                </c:pt>
                <c:pt idx="3">
                  <c:v>113.49999999278231</c:v>
                </c:pt>
                <c:pt idx="4">
                  <c:v>132.6999999966938</c:v>
                </c:pt>
                <c:pt idx="5">
                  <c:v>142.91666666278621</c:v>
                </c:pt>
                <c:pt idx="6">
                  <c:v>160.0666666589677</c:v>
                </c:pt>
                <c:pt idx="7">
                  <c:v>162.96666666632521</c:v>
                </c:pt>
                <c:pt idx="8">
                  <c:v>183.14999999245629</c:v>
                </c:pt>
                <c:pt idx="9">
                  <c:v>210.0499999942258</c:v>
                </c:pt>
                <c:pt idx="10">
                  <c:v>217.6500000001397</c:v>
                </c:pt>
                <c:pt idx="11">
                  <c:v>231.76666666637169</c:v>
                </c:pt>
                <c:pt idx="12">
                  <c:v>251.7999999993481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9.4082429972506247</c:v>
                </c:pt>
                <c:pt idx="2">
                  <c:v>19.058565141445708</c:v>
                </c:pt>
                <c:pt idx="3">
                  <c:v>37.029949851888311</c:v>
                </c:pt>
                <c:pt idx="4">
                  <c:v>41.479449282804843</c:v>
                </c:pt>
                <c:pt idx="5">
                  <c:v>54.95545053343281</c:v>
                </c:pt>
                <c:pt idx="6">
                  <c:v>67.13614005426804</c:v>
                </c:pt>
                <c:pt idx="7">
                  <c:v>67.89901089126343</c:v>
                </c:pt>
                <c:pt idx="8">
                  <c:v>75.603691886227111</c:v>
                </c:pt>
                <c:pt idx="9">
                  <c:v>81.489822853520991</c:v>
                </c:pt>
                <c:pt idx="10">
                  <c:v>82.981074548398979</c:v>
                </c:pt>
                <c:pt idx="11">
                  <c:v>90.83438544346582</c:v>
                </c:pt>
                <c:pt idx="12">
                  <c:v>94.605489162221659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BF-42F4-A1A9-6E90CBBF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197808"/>
        <c:axId val="1659200688"/>
      </c:scatterChart>
      <c:valAx>
        <c:axId val="165919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00688"/>
        <c:crosses val="autoZero"/>
        <c:crossBetween val="midCat"/>
      </c:valAx>
      <c:valAx>
        <c:axId val="16592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9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49530</xdr:rowOff>
    </xdr:from>
    <xdr:to>
      <xdr:col>10</xdr:col>
      <xdr:colOff>586740</xdr:colOff>
      <xdr:row>15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47621-285E-20E3-BAD2-D469E3105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zoomScale="69" workbookViewId="0">
      <selection activeCell="N2" sqref="N2:N29"/>
    </sheetView>
  </sheetViews>
  <sheetFormatPr defaultRowHeight="14.4" x14ac:dyDescent="0.3"/>
  <cols>
    <col min="1" max="1" width="11" bestFit="1" customWidth="1"/>
    <col min="3" max="3" width="14.33203125" bestFit="1" customWidth="1"/>
    <col min="9" max="9" width="13.33203125" bestFit="1" customWidth="1"/>
    <col min="13" max="13" width="11" bestFit="1" customWidth="1"/>
    <col min="14" max="14" width="17.88671875" bestFit="1" customWidth="1"/>
    <col min="15" max="15" width="24.4414062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N2" t="s">
        <v>6</v>
      </c>
      <c r="O2" t="s">
        <v>7</v>
      </c>
    </row>
    <row r="3" spans="1:15" x14ac:dyDescent="0.3">
      <c r="B3">
        <v>4.1063374943203401</v>
      </c>
      <c r="C3">
        <v>1.7823345740636201</v>
      </c>
      <c r="G3">
        <v>2.7448439041773498</v>
      </c>
      <c r="N3" t="s">
        <v>8</v>
      </c>
      <c r="O3">
        <v>43.037799861579948</v>
      </c>
    </row>
    <row r="4" spans="1:15" x14ac:dyDescent="0.3">
      <c r="A4" s="6" t="s">
        <v>9</v>
      </c>
      <c r="B4" s="6">
        <v>84.646987915039105</v>
      </c>
      <c r="C4" s="6">
        <v>523.48376464843795</v>
      </c>
      <c r="D4" s="6">
        <f t="shared" ref="D4:D16" si="0">C4/B4</f>
        <v>6.1843165072083019</v>
      </c>
      <c r="E4" s="6">
        <f t="shared" ref="E4:E16" si="1">D4/$B$17</f>
        <v>10.62232309723171</v>
      </c>
      <c r="F4" s="6">
        <f>E4*$O$5</f>
        <v>90.314923823344103</v>
      </c>
      <c r="G4" s="6">
        <v>0</v>
      </c>
      <c r="H4" s="6">
        <f t="shared" ref="H4:H16" si="2">G4/B4</f>
        <v>0</v>
      </c>
      <c r="I4" s="6">
        <f t="shared" ref="I4:I16" si="3">H4/$B$18</f>
        <v>0</v>
      </c>
      <c r="J4" s="6">
        <f>I4*$O$5</f>
        <v>0</v>
      </c>
      <c r="K4" s="6">
        <f t="shared" ref="K4:K20" si="4">SUM(F4,J4)</f>
        <v>90.314923823344103</v>
      </c>
      <c r="L4" s="6">
        <v>84.646987915039105</v>
      </c>
      <c r="M4">
        <v>96.395311875236558</v>
      </c>
      <c r="N4" t="s">
        <v>10</v>
      </c>
      <c r="O4">
        <v>100.1241334621123</v>
      </c>
    </row>
    <row r="5" spans="1:15" x14ac:dyDescent="0.3">
      <c r="A5" s="6" t="s">
        <v>11</v>
      </c>
      <c r="B5" s="6">
        <v>158.96130371093801</v>
      </c>
      <c r="C5" s="6">
        <v>1002.88122558594</v>
      </c>
      <c r="D5" s="6">
        <f t="shared" si="0"/>
        <v>6.3089645226464786</v>
      </c>
      <c r="E5" s="6">
        <f t="shared" si="1"/>
        <v>10.836421371773408</v>
      </c>
      <c r="F5" s="6">
        <f>E5*$O$5</f>
        <v>92.135266622084814</v>
      </c>
      <c r="G5" s="6">
        <v>110.70995330810599</v>
      </c>
      <c r="H5" s="6">
        <f t="shared" si="2"/>
        <v>0.69645851363565614</v>
      </c>
      <c r="I5" s="6">
        <f t="shared" si="3"/>
        <v>1.1065435551885228</v>
      </c>
      <c r="J5" s="6">
        <f>I5*$O$5</f>
        <v>9.4082429972506247</v>
      </c>
      <c r="K5" s="6">
        <f t="shared" si="4"/>
        <v>101.54350961933544</v>
      </c>
      <c r="L5" s="6">
        <v>158.96130371093801</v>
      </c>
      <c r="M5">
        <v>108.37985422883</v>
      </c>
      <c r="N5" t="s">
        <v>1</v>
      </c>
      <c r="O5">
        <v>8.502370243932905</v>
      </c>
    </row>
    <row r="6" spans="1:15" x14ac:dyDescent="0.3">
      <c r="A6" s="6" t="s">
        <v>12</v>
      </c>
      <c r="B6" s="6">
        <v>228.581954956055</v>
      </c>
      <c r="C6" s="6">
        <v>1288.53430175781</v>
      </c>
      <c r="D6" s="6">
        <f t="shared" si="0"/>
        <v>5.6370779662179871</v>
      </c>
      <c r="E6" s="6">
        <f t="shared" si="1"/>
        <v>9.682373696698706</v>
      </c>
      <c r="F6" s="6">
        <f>E6*$O$5</f>
        <v>82.323126009449723</v>
      </c>
      <c r="G6" s="6">
        <v>322.491943359375</v>
      </c>
      <c r="H6" s="6">
        <f t="shared" si="2"/>
        <v>1.4108372790029478</v>
      </c>
      <c r="I6" s="6">
        <f t="shared" si="3"/>
        <v>2.2415590705480581</v>
      </c>
      <c r="J6" s="6">
        <f>I6*$O$5</f>
        <v>19.058565141445708</v>
      </c>
      <c r="K6" s="6">
        <f t="shared" si="4"/>
        <v>101.38169115089543</v>
      </c>
      <c r="L6" s="6">
        <v>228.581954956055</v>
      </c>
      <c r="M6">
        <v>108.2071414470205</v>
      </c>
    </row>
    <row r="7" spans="1:15" x14ac:dyDescent="0.3">
      <c r="A7" s="6" t="s">
        <v>13</v>
      </c>
      <c r="B7" s="6">
        <v>182.273849487305</v>
      </c>
      <c r="C7" s="6">
        <v>807.82305908203205</v>
      </c>
      <c r="D7" s="6">
        <f t="shared" si="0"/>
        <v>4.4319196711665176</v>
      </c>
      <c r="E7" s="6">
        <f t="shared" si="1"/>
        <v>7.6123663194203317</v>
      </c>
      <c r="F7" s="6">
        <f>E7*$O$5</f>
        <v>64.72315688015648</v>
      </c>
      <c r="G7" s="6">
        <v>499.64807128906301</v>
      </c>
      <c r="H7" s="6">
        <f t="shared" si="2"/>
        <v>2.7411944867267559</v>
      </c>
      <c r="I7" s="6">
        <f t="shared" si="3"/>
        <v>4.3552502172334862</v>
      </c>
      <c r="J7" s="6">
        <f>I7*$O$5</f>
        <v>37.029949851888311</v>
      </c>
      <c r="K7" s="6">
        <f t="shared" si="4"/>
        <v>101.75310673204478</v>
      </c>
      <c r="L7" s="6">
        <v>182.273849487305</v>
      </c>
      <c r="M7">
        <v>108.603562318174</v>
      </c>
    </row>
    <row r="8" spans="1:15" x14ac:dyDescent="0.3">
      <c r="A8" s="5" t="s">
        <v>14</v>
      </c>
      <c r="B8" s="5">
        <v>250.17108154296901</v>
      </c>
      <c r="C8" s="5">
        <v>1011.82543945313</v>
      </c>
      <c r="D8" s="6">
        <f t="shared" si="0"/>
        <v>4.0445339773587712</v>
      </c>
      <c r="E8" s="6">
        <f t="shared" si="1"/>
        <v>6.9469838154564938</v>
      </c>
      <c r="F8" s="5">
        <f>E8*$O$12</f>
        <v>58.455917837933605</v>
      </c>
      <c r="G8" s="5">
        <v>776.18389892578102</v>
      </c>
      <c r="H8" s="6">
        <f t="shared" si="2"/>
        <v>3.1026123968387802</v>
      </c>
      <c r="I8" s="6">
        <f t="shared" si="3"/>
        <v>4.9294763216377193</v>
      </c>
      <c r="J8" s="5">
        <f>I8*$O$12</f>
        <v>41.479449282804843</v>
      </c>
      <c r="K8" s="5">
        <f t="shared" si="4"/>
        <v>99.935367120738448</v>
      </c>
      <c r="L8" s="5">
        <v>250.17108154296901</v>
      </c>
      <c r="M8">
        <v>107.7763374743673</v>
      </c>
    </row>
    <row r="9" spans="1:15" x14ac:dyDescent="0.3">
      <c r="A9" s="5" t="s">
        <v>15</v>
      </c>
      <c r="B9" s="5">
        <v>347.06091308593801</v>
      </c>
      <c r="C9" s="5">
        <v>1084.07580566406</v>
      </c>
      <c r="D9" s="6">
        <f t="shared" si="0"/>
        <v>3.1235894472381132</v>
      </c>
      <c r="E9" s="6">
        <f t="shared" si="1"/>
        <v>5.3651484837480465</v>
      </c>
      <c r="F9" s="5">
        <f>E9*$O$12</f>
        <v>45.145445460301723</v>
      </c>
      <c r="G9" s="5">
        <v>1426.62890625</v>
      </c>
      <c r="H9" s="6">
        <f t="shared" si="2"/>
        <v>4.1106009131507788</v>
      </c>
      <c r="I9" s="6">
        <f t="shared" si="3"/>
        <v>6.5309833383393379</v>
      </c>
      <c r="J9" s="5">
        <f>I9*$O$12</f>
        <v>54.95545053343281</v>
      </c>
      <c r="K9" s="5">
        <f t="shared" si="4"/>
        <v>100.10089599373453</v>
      </c>
      <c r="L9" s="5">
        <v>347.06091308593801</v>
      </c>
      <c r="M9">
        <v>106.7658953961601</v>
      </c>
    </row>
    <row r="10" spans="1:15" x14ac:dyDescent="0.3">
      <c r="A10" s="5" t="s">
        <v>16</v>
      </c>
      <c r="B10" s="5">
        <v>368.01480102539102</v>
      </c>
      <c r="C10" s="5">
        <v>842.58270263671898</v>
      </c>
      <c r="D10" s="6">
        <f t="shared" si="0"/>
        <v>2.289534823841461</v>
      </c>
      <c r="E10" s="6">
        <f t="shared" si="1"/>
        <v>3.9325572377902112</v>
      </c>
      <c r="F10" s="5">
        <f>E10*$O$12</f>
        <v>33.090798667728002</v>
      </c>
      <c r="G10" s="5">
        <v>1848.060546875</v>
      </c>
      <c r="H10" s="6">
        <f t="shared" si="2"/>
        <v>5.0217016862522703</v>
      </c>
      <c r="I10" s="6">
        <f t="shared" si="3"/>
        <v>7.978553680095759</v>
      </c>
      <c r="J10" s="5">
        <f>I10*$O$12</f>
        <v>67.13614005426804</v>
      </c>
      <c r="K10" s="5">
        <f t="shared" si="4"/>
        <v>100.22693872199605</v>
      </c>
      <c r="L10" s="5">
        <v>368.01480102539102</v>
      </c>
      <c r="M10">
        <v>106.9003304040332</v>
      </c>
      <c r="N10" t="s">
        <v>8</v>
      </c>
      <c r="O10">
        <v>129.84905524447919</v>
      </c>
    </row>
    <row r="11" spans="1:15" x14ac:dyDescent="0.3">
      <c r="A11" s="4" t="s">
        <v>17</v>
      </c>
      <c r="B11" s="4">
        <v>338.48767089843801</v>
      </c>
      <c r="C11" s="4">
        <v>731.18914794921898</v>
      </c>
      <c r="D11" s="6">
        <f t="shared" si="0"/>
        <v>2.1601647883021702</v>
      </c>
      <c r="E11" s="6">
        <f t="shared" si="1"/>
        <v>3.7103483138134146</v>
      </c>
      <c r="F11" s="4">
        <f>E11*$O$20</f>
        <v>30.835217295032553</v>
      </c>
      <c r="G11" s="4">
        <v>1740.60693359375</v>
      </c>
      <c r="H11" s="6">
        <f t="shared" si="2"/>
        <v>5.1423052691216418</v>
      </c>
      <c r="I11" s="6">
        <f t="shared" si="3"/>
        <v>8.1701704307620631</v>
      </c>
      <c r="J11" s="4">
        <f>I11*$O$20</f>
        <v>67.89901089126343</v>
      </c>
      <c r="K11" s="4">
        <f t="shared" si="4"/>
        <v>98.734228186295979</v>
      </c>
      <c r="L11" s="4">
        <v>338.48767089843801</v>
      </c>
      <c r="M11">
        <v>106.62577050301179</v>
      </c>
      <c r="N11" t="s">
        <v>10</v>
      </c>
      <c r="O11">
        <v>99.090256923647431</v>
      </c>
    </row>
    <row r="12" spans="1:15" x14ac:dyDescent="0.3">
      <c r="A12" s="4" t="s">
        <v>18</v>
      </c>
      <c r="B12" s="4">
        <v>438.07882690429699</v>
      </c>
      <c r="C12" s="4">
        <v>713.238037109375</v>
      </c>
      <c r="D12" s="6">
        <f t="shared" si="0"/>
        <v>1.6281043348967639</v>
      </c>
      <c r="E12" s="6">
        <f t="shared" si="1"/>
        <v>2.7964691427288968</v>
      </c>
      <c r="F12" s="4">
        <f>E12*$O$20</f>
        <v>23.240333893686092</v>
      </c>
      <c r="G12" s="4">
        <v>2508.35888671875</v>
      </c>
      <c r="H12" s="6">
        <f t="shared" si="2"/>
        <v>5.7258162975923232</v>
      </c>
      <c r="I12" s="6">
        <f t="shared" si="3"/>
        <v>9.0972613562000699</v>
      </c>
      <c r="J12" s="4">
        <f>I12*$O$20</f>
        <v>75.603691886227111</v>
      </c>
      <c r="K12" s="4">
        <f t="shared" si="4"/>
        <v>98.84402577991321</v>
      </c>
      <c r="L12" s="4">
        <v>438.07882690429699</v>
      </c>
      <c r="M12">
        <v>105.3386726866363</v>
      </c>
      <c r="N12" t="s">
        <v>1</v>
      </c>
      <c r="O12">
        <v>8.4145752157754821</v>
      </c>
    </row>
    <row r="13" spans="1:15" x14ac:dyDescent="0.3">
      <c r="A13" s="4" t="s">
        <v>19</v>
      </c>
      <c r="B13" s="4">
        <v>223.13932800293</v>
      </c>
      <c r="C13" s="4">
        <v>261.27844238281301</v>
      </c>
      <c r="D13" s="6">
        <f t="shared" si="0"/>
        <v>1.1709206293718972</v>
      </c>
      <c r="E13" s="6">
        <f t="shared" si="1"/>
        <v>2.011199981744928</v>
      </c>
      <c r="F13" s="4">
        <f>E13*$O$20</f>
        <v>16.714276724368201</v>
      </c>
      <c r="G13" s="4">
        <v>1377.12670898438</v>
      </c>
      <c r="H13" s="6">
        <f t="shared" si="2"/>
        <v>6.1716001446696893</v>
      </c>
      <c r="I13" s="6">
        <f t="shared" si="3"/>
        <v>9.8055293051631551</v>
      </c>
      <c r="J13" s="4">
        <f>I13*$O$20</f>
        <v>81.489822853520991</v>
      </c>
      <c r="K13" s="4">
        <f t="shared" si="4"/>
        <v>98.204099577889195</v>
      </c>
      <c r="L13" s="4">
        <v>223.13932800293</v>
      </c>
      <c r="M13">
        <v>104.65669948484999</v>
      </c>
      <c r="N13" t="s">
        <v>20</v>
      </c>
      <c r="O13">
        <v>0</v>
      </c>
    </row>
    <row r="14" spans="1:15" x14ac:dyDescent="0.3">
      <c r="A14" s="3" t="s">
        <v>21</v>
      </c>
      <c r="B14" s="3">
        <v>296.30230712890699</v>
      </c>
      <c r="C14" s="3">
        <v>280.529296875</v>
      </c>
      <c r="D14" s="6">
        <f t="shared" si="0"/>
        <v>0.94676717030406077</v>
      </c>
      <c r="E14" s="6">
        <f t="shared" si="1"/>
        <v>1.6261888875026806</v>
      </c>
      <c r="F14" s="3">
        <f>E14*$O$28</f>
        <v>13.274999019246732</v>
      </c>
      <c r="G14" s="3">
        <v>1895.73364257813</v>
      </c>
      <c r="H14" s="6">
        <f t="shared" si="2"/>
        <v>6.3979712508731392</v>
      </c>
      <c r="I14" s="6">
        <f t="shared" si="3"/>
        <v>10.165191056360248</v>
      </c>
      <c r="J14" s="3">
        <f>I14*$O$28</f>
        <v>82.981074548398979</v>
      </c>
      <c r="K14" s="3">
        <f t="shared" si="4"/>
        <v>96.256073567645714</v>
      </c>
      <c r="L14" s="3">
        <v>296.30230712890699</v>
      </c>
      <c r="M14">
        <v>104.4321890883765</v>
      </c>
    </row>
    <row r="15" spans="1:15" x14ac:dyDescent="0.3">
      <c r="A15" s="3" t="s">
        <v>22</v>
      </c>
      <c r="B15" s="3">
        <v>369.906341552735</v>
      </c>
      <c r="C15" s="3">
        <v>132.51647949218801</v>
      </c>
      <c r="D15" s="6">
        <f t="shared" si="0"/>
        <v>0.35824332974647327</v>
      </c>
      <c r="E15" s="6">
        <f t="shared" si="1"/>
        <v>0.61532691471396983</v>
      </c>
      <c r="F15" s="3">
        <f>E15*$O$28</f>
        <v>5.023072197897184</v>
      </c>
      <c r="G15" s="3">
        <v>2590.62939453125</v>
      </c>
      <c r="H15" s="6">
        <f t="shared" si="2"/>
        <v>7.0034738622125561</v>
      </c>
      <c r="I15" s="6">
        <f t="shared" si="3"/>
        <v>11.127222532908416</v>
      </c>
      <c r="J15" s="3">
        <f>I15*$O$28</f>
        <v>90.83438544346582</v>
      </c>
      <c r="K15" s="3">
        <f t="shared" si="4"/>
        <v>95.857457641362998</v>
      </c>
      <c r="L15" s="3">
        <v>369.906341552735</v>
      </c>
      <c r="M15">
        <v>102.25932471049509</v>
      </c>
    </row>
    <row r="16" spans="1:15" x14ac:dyDescent="0.3">
      <c r="A16" s="3" t="s">
        <v>23</v>
      </c>
      <c r="B16" s="3">
        <v>488.20645141601602</v>
      </c>
      <c r="C16" s="3">
        <v>72.612380981445298</v>
      </c>
      <c r="D16" s="6">
        <f t="shared" si="0"/>
        <v>0.14873294027728859</v>
      </c>
      <c r="E16" s="6">
        <f t="shared" si="1"/>
        <v>0.25546709082323699</v>
      </c>
      <c r="F16" s="3">
        <f>E16*$O$28</f>
        <v>2.0854437059499933</v>
      </c>
      <c r="G16" s="3">
        <v>3561.09106445313</v>
      </c>
      <c r="H16" s="6">
        <f t="shared" si="2"/>
        <v>7.2942318851469103</v>
      </c>
      <c r="I16" s="6">
        <f t="shared" si="3"/>
        <v>11.589183166741199</v>
      </c>
      <c r="J16" s="3">
        <f>I16*$O$28</f>
        <v>94.605489162221659</v>
      </c>
      <c r="K16" s="3">
        <f t="shared" si="4"/>
        <v>96.690932868171657</v>
      </c>
      <c r="L16" s="3">
        <v>488.20645141601602</v>
      </c>
      <c r="M16">
        <v>103.148463813007</v>
      </c>
    </row>
    <row r="17" spans="1:15" x14ac:dyDescent="0.3">
      <c r="A17" t="s">
        <v>24</v>
      </c>
      <c r="B17">
        <v>0.58220000000000005</v>
      </c>
      <c r="K17">
        <f t="shared" si="4"/>
        <v>0</v>
      </c>
    </row>
    <row r="18" spans="1:15" x14ac:dyDescent="0.3">
      <c r="A18" t="s">
        <v>25</v>
      </c>
      <c r="B18">
        <v>0.62939999999999996</v>
      </c>
      <c r="K18">
        <f t="shared" si="4"/>
        <v>0</v>
      </c>
      <c r="N18" t="s">
        <v>8</v>
      </c>
      <c r="O18">
        <v>128.2445532654589</v>
      </c>
    </row>
    <row r="19" spans="1:15" x14ac:dyDescent="0.3">
      <c r="K19">
        <f t="shared" si="4"/>
        <v>0</v>
      </c>
      <c r="N19" t="s">
        <v>10</v>
      </c>
      <c r="O19">
        <v>97.865831277759824</v>
      </c>
    </row>
    <row r="20" spans="1:15" x14ac:dyDescent="0.3">
      <c r="K20">
        <f t="shared" si="4"/>
        <v>0</v>
      </c>
      <c r="N20" t="s">
        <v>1</v>
      </c>
      <c r="O20">
        <v>8.3105990831736207</v>
      </c>
    </row>
    <row r="21" spans="1:15" x14ac:dyDescent="0.3">
      <c r="N21" t="s">
        <v>20</v>
      </c>
      <c r="O21">
        <v>140.49131167028099</v>
      </c>
    </row>
    <row r="26" spans="1:15" x14ac:dyDescent="0.3">
      <c r="N26" t="s">
        <v>8</v>
      </c>
      <c r="O26">
        <v>275.78610683747348</v>
      </c>
    </row>
    <row r="27" spans="1:15" x14ac:dyDescent="0.3">
      <c r="N27" t="s">
        <v>10</v>
      </c>
      <c r="O27">
        <v>96.130735758260769</v>
      </c>
    </row>
    <row r="28" spans="1:15" x14ac:dyDescent="0.3">
      <c r="N28" t="s">
        <v>1</v>
      </c>
      <c r="O28">
        <v>8.1632577379328879</v>
      </c>
    </row>
    <row r="29" spans="1:15" x14ac:dyDescent="0.3">
      <c r="N29" t="s">
        <v>20</v>
      </c>
      <c r="O29">
        <v>138.00049498559159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F25" sqref="F25"/>
    </sheetView>
  </sheetViews>
  <sheetFormatPr defaultRowHeight="14.4" x14ac:dyDescent="0.3"/>
  <cols>
    <col min="2" max="2" width="24.6640625" customWidth="1"/>
    <col min="3" max="3" width="11.6640625" bestFit="1" customWidth="1"/>
  </cols>
  <sheetData>
    <row r="1" spans="1:11" x14ac:dyDescent="0.3">
      <c r="C1" t="s">
        <v>26</v>
      </c>
      <c r="D1" t="s">
        <v>27</v>
      </c>
    </row>
    <row r="2" spans="1:11" x14ac:dyDescent="0.3">
      <c r="A2" s="1" t="s">
        <v>28</v>
      </c>
      <c r="B2" s="2">
        <v>45292.571851851862</v>
      </c>
      <c r="C2">
        <f t="shared" ref="C2:C18" si="0">(B2-$B$2)*86400/60</f>
        <v>0</v>
      </c>
      <c r="D2">
        <f t="shared" ref="D2:D18" si="1">C2-$C$6</f>
        <v>4.6166666771750897</v>
      </c>
      <c r="G2" t="s">
        <v>29</v>
      </c>
      <c r="H2">
        <f>D2</f>
        <v>4.6166666771750897</v>
      </c>
      <c r="I2">
        <f>H2-$H$2</f>
        <v>0</v>
      </c>
      <c r="J2" t="s">
        <v>30</v>
      </c>
      <c r="K2">
        <f>C2</f>
        <v>0</v>
      </c>
    </row>
    <row r="3" spans="1:11" x14ac:dyDescent="0.3">
      <c r="A3" s="1" t="s">
        <v>31</v>
      </c>
      <c r="B3" s="2">
        <v>45292.662534722222</v>
      </c>
      <c r="C3">
        <f t="shared" si="0"/>
        <v>130.58333331719041</v>
      </c>
      <c r="D3">
        <f t="shared" si="1"/>
        <v>135.1999999943655</v>
      </c>
      <c r="G3" t="s">
        <v>32</v>
      </c>
      <c r="H3">
        <f>D3</f>
        <v>135.1999999943655</v>
      </c>
      <c r="I3">
        <f>H3-$H$2</f>
        <v>130.58333331719041</v>
      </c>
      <c r="J3" t="str">
        <f t="shared" ref="J3:J14" si="2">A7</f>
        <v>S1:</v>
      </c>
      <c r="K3">
        <f t="shared" ref="K3:K14" si="3">C7</f>
        <v>9.1499999910593033</v>
      </c>
    </row>
    <row r="4" spans="1:11" x14ac:dyDescent="0.3">
      <c r="A4" s="1" t="s">
        <v>33</v>
      </c>
      <c r="B4" s="2">
        <v>45292.684062499997</v>
      </c>
      <c r="C4">
        <f t="shared" si="0"/>
        <v>161.58333331346512</v>
      </c>
      <c r="D4">
        <f t="shared" si="1"/>
        <v>166.19999999064021</v>
      </c>
      <c r="G4" t="s">
        <v>20</v>
      </c>
      <c r="H4">
        <f>D4</f>
        <v>166.19999999064021</v>
      </c>
      <c r="I4">
        <f>H4-$H$2</f>
        <v>161.58333331346512</v>
      </c>
      <c r="J4" t="str">
        <f t="shared" si="2"/>
        <v>S2:</v>
      </c>
      <c r="K4">
        <f t="shared" si="3"/>
        <v>24.166666647652164</v>
      </c>
    </row>
    <row r="5" spans="1:11" x14ac:dyDescent="0.3">
      <c r="A5" s="1" t="s">
        <v>34</v>
      </c>
      <c r="B5" s="2">
        <v>45292.721759259257</v>
      </c>
      <c r="C5">
        <f t="shared" si="0"/>
        <v>215.86666664807126</v>
      </c>
      <c r="D5">
        <f t="shared" si="1"/>
        <v>220.48333332524635</v>
      </c>
      <c r="G5" t="s">
        <v>35</v>
      </c>
      <c r="H5">
        <f>D5</f>
        <v>220.48333332524635</v>
      </c>
      <c r="I5">
        <f>H5-$H$2</f>
        <v>215.86666664807126</v>
      </c>
      <c r="J5" t="str">
        <f t="shared" si="2"/>
        <v>S3:</v>
      </c>
      <c r="K5">
        <f t="shared" si="3"/>
        <v>113.49999997182749</v>
      </c>
    </row>
    <row r="6" spans="1:11" x14ac:dyDescent="0.3">
      <c r="A6" s="1" t="s">
        <v>36</v>
      </c>
      <c r="B6" s="2">
        <v>45292.568645833337</v>
      </c>
      <c r="C6">
        <f t="shared" si="0"/>
        <v>-4.6166666771750897</v>
      </c>
      <c r="D6">
        <f t="shared" si="1"/>
        <v>0</v>
      </c>
      <c r="J6" t="str">
        <f t="shared" si="2"/>
        <v>S4:</v>
      </c>
      <c r="K6">
        <f t="shared" si="3"/>
        <v>132.69999998621643</v>
      </c>
    </row>
    <row r="7" spans="1:11" x14ac:dyDescent="0.3">
      <c r="A7" s="1" t="s">
        <v>37</v>
      </c>
      <c r="B7" s="2">
        <v>45292.578206018523</v>
      </c>
      <c r="C7">
        <f t="shared" si="0"/>
        <v>9.1499999910593033</v>
      </c>
      <c r="D7">
        <f t="shared" si="1"/>
        <v>13.766666668234393</v>
      </c>
      <c r="J7" t="str">
        <f t="shared" si="2"/>
        <v>S5:</v>
      </c>
      <c r="K7">
        <f t="shared" si="3"/>
        <v>142.91666665230878</v>
      </c>
    </row>
    <row r="8" spans="1:11" x14ac:dyDescent="0.3">
      <c r="A8" s="1" t="s">
        <v>38</v>
      </c>
      <c r="B8" s="2">
        <v>45292.588634259257</v>
      </c>
      <c r="C8">
        <f t="shared" si="0"/>
        <v>24.166666647652164</v>
      </c>
      <c r="D8">
        <f t="shared" si="1"/>
        <v>28.783333324827254</v>
      </c>
      <c r="J8" t="str">
        <f t="shared" si="2"/>
        <v>S6:</v>
      </c>
      <c r="K8">
        <f t="shared" si="3"/>
        <v>160.06666664849035</v>
      </c>
    </row>
    <row r="9" spans="1:11" x14ac:dyDescent="0.3">
      <c r="A9" s="1" t="s">
        <v>39</v>
      </c>
      <c r="B9" s="2">
        <v>45292.650671296287</v>
      </c>
      <c r="C9">
        <f t="shared" si="0"/>
        <v>113.49999997182749</v>
      </c>
      <c r="D9">
        <f t="shared" si="1"/>
        <v>118.11666664900258</v>
      </c>
      <c r="J9" t="str">
        <f t="shared" si="2"/>
        <v>S7:</v>
      </c>
      <c r="K9">
        <f t="shared" si="3"/>
        <v>162.9666666558478</v>
      </c>
    </row>
    <row r="10" spans="1:11" x14ac:dyDescent="0.3">
      <c r="A10" s="1" t="s">
        <v>40</v>
      </c>
      <c r="B10" s="2">
        <v>45292.664004629631</v>
      </c>
      <c r="C10">
        <f t="shared" si="0"/>
        <v>132.69999998621643</v>
      </c>
      <c r="D10">
        <f t="shared" si="1"/>
        <v>137.31666666339152</v>
      </c>
      <c r="J10" t="str">
        <f t="shared" si="2"/>
        <v>S8:</v>
      </c>
      <c r="K10">
        <f t="shared" si="3"/>
        <v>183.14999998197891</v>
      </c>
    </row>
    <row r="11" spans="1:11" x14ac:dyDescent="0.3">
      <c r="A11" s="1" t="s">
        <v>41</v>
      </c>
      <c r="B11" s="2">
        <v>45292.671099537038</v>
      </c>
      <c r="C11">
        <f t="shared" si="0"/>
        <v>142.91666665230878</v>
      </c>
      <c r="D11">
        <f t="shared" si="1"/>
        <v>147.53333332948387</v>
      </c>
      <c r="J11" t="str">
        <f t="shared" si="2"/>
        <v>S9: </v>
      </c>
      <c r="K11">
        <f t="shared" si="3"/>
        <v>210.04999998374842</v>
      </c>
    </row>
    <row r="12" spans="1:11" x14ac:dyDescent="0.3">
      <c r="A12" s="1" t="s">
        <v>42</v>
      </c>
      <c r="B12" s="2">
        <v>45292.683009259257</v>
      </c>
      <c r="C12">
        <f t="shared" si="0"/>
        <v>160.06666664849035</v>
      </c>
      <c r="D12">
        <f t="shared" si="1"/>
        <v>164.68333332566544</v>
      </c>
      <c r="J12" t="str">
        <f t="shared" si="2"/>
        <v>S10:</v>
      </c>
      <c r="K12">
        <f t="shared" si="3"/>
        <v>217.64999998966232</v>
      </c>
    </row>
    <row r="13" spans="1:11" x14ac:dyDescent="0.3">
      <c r="A13" s="1" t="s">
        <v>43</v>
      </c>
      <c r="B13" s="2">
        <v>45292.685023148151</v>
      </c>
      <c r="C13">
        <f t="shared" si="0"/>
        <v>162.9666666558478</v>
      </c>
      <c r="D13">
        <f t="shared" si="1"/>
        <v>167.58333333302289</v>
      </c>
      <c r="J13" t="str">
        <f t="shared" si="2"/>
        <v>S11:</v>
      </c>
      <c r="K13">
        <f t="shared" si="3"/>
        <v>231.76666665589437</v>
      </c>
    </row>
    <row r="14" spans="1:11" x14ac:dyDescent="0.3">
      <c r="A14" s="1" t="s">
        <v>44</v>
      </c>
      <c r="B14" s="2">
        <v>45292.69903935185</v>
      </c>
      <c r="C14">
        <f t="shared" si="0"/>
        <v>183.14999998197891</v>
      </c>
      <c r="D14">
        <f t="shared" si="1"/>
        <v>187.766666659154</v>
      </c>
      <c r="J14" t="str">
        <f t="shared" si="2"/>
        <v>S12:</v>
      </c>
      <c r="K14">
        <f t="shared" si="3"/>
        <v>251.79999999934807</v>
      </c>
    </row>
    <row r="15" spans="1:11" x14ac:dyDescent="0.3">
      <c r="A15" s="1" t="s">
        <v>45</v>
      </c>
      <c r="B15" s="2">
        <v>45292.717719907407</v>
      </c>
      <c r="C15">
        <f t="shared" si="0"/>
        <v>210.04999998374842</v>
      </c>
      <c r="D15">
        <f t="shared" si="1"/>
        <v>214.66666666092351</v>
      </c>
    </row>
    <row r="16" spans="1:11" x14ac:dyDescent="0.3">
      <c r="A16" s="1" t="s">
        <v>46</v>
      </c>
      <c r="B16" s="2">
        <v>45292.722997685189</v>
      </c>
      <c r="C16">
        <f t="shared" si="0"/>
        <v>217.64999998966232</v>
      </c>
      <c r="D16">
        <f t="shared" si="1"/>
        <v>222.26666666683741</v>
      </c>
    </row>
    <row r="17" spans="1:4" x14ac:dyDescent="0.3">
      <c r="A17" s="1" t="s">
        <v>47</v>
      </c>
      <c r="B17" s="2">
        <v>45292.732800925929</v>
      </c>
      <c r="C17">
        <f t="shared" si="0"/>
        <v>231.76666665589437</v>
      </c>
      <c r="D17">
        <f t="shared" si="1"/>
        <v>236.38333333306946</v>
      </c>
    </row>
    <row r="18" spans="1:4" x14ac:dyDescent="0.3">
      <c r="A18" s="1" t="s">
        <v>48</v>
      </c>
      <c r="B18" s="2">
        <v>45292.746712962973</v>
      </c>
      <c r="C18">
        <f t="shared" si="0"/>
        <v>251.79999999934807</v>
      </c>
      <c r="D18">
        <f t="shared" si="1"/>
        <v>256.41666667652316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activeCell="M10" sqref="M10"/>
    </sheetView>
  </sheetViews>
  <sheetFormatPr defaultRowHeight="14.4" x14ac:dyDescent="0.3"/>
  <sheetData>
    <row r="1" spans="1:3" x14ac:dyDescent="0.3">
      <c r="A1" t="s">
        <v>49</v>
      </c>
      <c r="B1" t="s">
        <v>50</v>
      </c>
      <c r="C1" t="s">
        <v>5</v>
      </c>
    </row>
    <row r="2" spans="1:3" x14ac:dyDescent="0.3">
      <c r="A2">
        <v>0</v>
      </c>
      <c r="B2">
        <v>101.5</v>
      </c>
      <c r="C2">
        <v>0</v>
      </c>
    </row>
    <row r="3" spans="1:3" x14ac:dyDescent="0.3">
      <c r="A3">
        <v>9.1499999910593033</v>
      </c>
      <c r="B3">
        <v>92.135266622084814</v>
      </c>
      <c r="C3">
        <v>9.4082429972506247</v>
      </c>
    </row>
    <row r="4" spans="1:3" x14ac:dyDescent="0.3">
      <c r="A4">
        <v>24.16666665812954</v>
      </c>
      <c r="B4">
        <v>82.323126009449723</v>
      </c>
      <c r="C4">
        <v>19.058565141445708</v>
      </c>
    </row>
    <row r="5" spans="1:3" x14ac:dyDescent="0.3">
      <c r="A5">
        <v>113.49999999278231</v>
      </c>
      <c r="B5">
        <v>64.72315688015648</v>
      </c>
      <c r="C5">
        <v>37.029949851888311</v>
      </c>
    </row>
    <row r="6" spans="1:3" x14ac:dyDescent="0.3">
      <c r="A6">
        <v>132.6999999966938</v>
      </c>
      <c r="B6">
        <v>58.455917837933598</v>
      </c>
      <c r="C6">
        <v>41.479449282804843</v>
      </c>
    </row>
    <row r="7" spans="1:3" x14ac:dyDescent="0.3">
      <c r="A7">
        <v>142.91666666278621</v>
      </c>
      <c r="B7">
        <v>45.145445460301723</v>
      </c>
      <c r="C7">
        <v>54.95545053343281</v>
      </c>
    </row>
    <row r="8" spans="1:3" x14ac:dyDescent="0.3">
      <c r="A8">
        <v>160.0666666589677</v>
      </c>
      <c r="B8">
        <v>33.090798667728002</v>
      </c>
      <c r="C8">
        <v>67.13614005426804</v>
      </c>
    </row>
    <row r="9" spans="1:3" x14ac:dyDescent="0.3">
      <c r="A9">
        <v>162.96666666632521</v>
      </c>
      <c r="B9">
        <v>30.83521729503255</v>
      </c>
      <c r="C9">
        <v>67.89901089126343</v>
      </c>
    </row>
    <row r="10" spans="1:3" x14ac:dyDescent="0.3">
      <c r="A10">
        <v>183.14999999245629</v>
      </c>
      <c r="B10">
        <v>23.240333893686088</v>
      </c>
      <c r="C10">
        <v>75.603691886227111</v>
      </c>
    </row>
    <row r="11" spans="1:3" x14ac:dyDescent="0.3">
      <c r="A11">
        <v>210.0499999942258</v>
      </c>
      <c r="B11">
        <v>16.714276724368201</v>
      </c>
      <c r="C11">
        <v>81.489822853520991</v>
      </c>
    </row>
    <row r="12" spans="1:3" x14ac:dyDescent="0.3">
      <c r="A12">
        <v>217.6500000001397</v>
      </c>
      <c r="B12">
        <v>13.27499901924673</v>
      </c>
      <c r="C12">
        <v>82.981074548398979</v>
      </c>
    </row>
    <row r="13" spans="1:3" x14ac:dyDescent="0.3">
      <c r="A13">
        <v>231.76666666637169</v>
      </c>
      <c r="B13">
        <v>5.023072197897184</v>
      </c>
      <c r="C13">
        <v>90.83438544346582</v>
      </c>
    </row>
    <row r="14" spans="1:3" x14ac:dyDescent="0.3">
      <c r="A14">
        <v>251.7999999993481</v>
      </c>
      <c r="B14">
        <v>2.0854437059499928</v>
      </c>
      <c r="C14">
        <v>94.605489162221659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C1_E4a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2024-12-19T19:09:35Z</dcterms:created>
  <dcterms:modified xsi:type="dcterms:W3CDTF">2026-01-12T10:50:41Z</dcterms:modified>
</cp:coreProperties>
</file>
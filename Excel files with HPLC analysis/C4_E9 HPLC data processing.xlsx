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4" documentId="11_65EE1CC0B93940754B1304C7BA27697F5AD27ECB" xr6:coauthVersionLast="47" xr6:coauthVersionMax="47" xr10:uidLastSave="{8E4FDDDE-E37C-475F-BB31-66B6125E6800}"/>
  <bookViews>
    <workbookView xWindow="3612" yWindow="2088" windowWidth="17280" windowHeight="8880" xr2:uid="{00000000-000D-0000-FFFF-FFFF00000000}"/>
  </bookViews>
  <sheets>
    <sheet name="C4_E9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22" i="2"/>
  <c r="C21" i="2"/>
  <c r="D21" i="2" s="1"/>
  <c r="D20" i="2"/>
  <c r="C20" i="2"/>
  <c r="C19" i="2"/>
  <c r="D19" i="2" s="1"/>
  <c r="C18" i="2"/>
  <c r="D18" i="2" s="1"/>
  <c r="L6" i="2" s="1"/>
  <c r="C17" i="2"/>
  <c r="D17" i="2" s="1"/>
  <c r="C16" i="2"/>
  <c r="H14" i="2" s="1"/>
  <c r="H15" i="2"/>
  <c r="C15" i="2"/>
  <c r="D15" i="2" s="1"/>
  <c r="C14" i="2"/>
  <c r="D14" i="2" s="1"/>
  <c r="L5" i="2" s="1"/>
  <c r="H13" i="2"/>
  <c r="C13" i="2"/>
  <c r="D13" i="2" s="1"/>
  <c r="H12" i="2"/>
  <c r="C12" i="2"/>
  <c r="H11" i="2"/>
  <c r="C11" i="2"/>
  <c r="D11" i="2" s="1"/>
  <c r="H10" i="2"/>
  <c r="C10" i="2"/>
  <c r="D10" i="2" s="1"/>
  <c r="L4" i="2" s="1"/>
  <c r="H9" i="2"/>
  <c r="C9" i="2"/>
  <c r="D9" i="2" s="1"/>
  <c r="H8" i="2"/>
  <c r="D8" i="2"/>
  <c r="C8" i="2"/>
  <c r="H7" i="2"/>
  <c r="D7" i="2"/>
  <c r="C7" i="2"/>
  <c r="C6" i="2"/>
  <c r="H6" i="2" s="1"/>
  <c r="C5" i="2"/>
  <c r="H5" i="2" s="1"/>
  <c r="C4" i="2"/>
  <c r="H4" i="2" s="1"/>
  <c r="H3" i="2"/>
  <c r="D3" i="2"/>
  <c r="C3" i="2"/>
  <c r="F2" i="2"/>
  <c r="C2" i="2"/>
  <c r="C1" i="2"/>
  <c r="D12" i="2" s="1"/>
  <c r="H21" i="1"/>
  <c r="I21" i="1" s="1"/>
  <c r="D21" i="1"/>
  <c r="E21" i="1" s="1"/>
  <c r="F21" i="1" s="1"/>
  <c r="J21" i="1" s="1"/>
  <c r="H20" i="1"/>
  <c r="I20" i="1" s="1"/>
  <c r="D20" i="1"/>
  <c r="E20" i="1" s="1"/>
  <c r="F20" i="1" s="1"/>
  <c r="J20" i="1" s="1"/>
  <c r="H19" i="1"/>
  <c r="I19" i="1" s="1"/>
  <c r="D19" i="1"/>
  <c r="E19" i="1" s="1"/>
  <c r="F19" i="1" s="1"/>
  <c r="J19" i="1" s="1"/>
  <c r="H18" i="1"/>
  <c r="I18" i="1" s="1"/>
  <c r="E18" i="1"/>
  <c r="F18" i="1" s="1"/>
  <c r="J18" i="1" s="1"/>
  <c r="D18" i="1"/>
  <c r="I17" i="1"/>
  <c r="H17" i="1"/>
  <c r="E17" i="1"/>
  <c r="F17" i="1" s="1"/>
  <c r="J17" i="1" s="1"/>
  <c r="D17" i="1"/>
  <c r="H16" i="1"/>
  <c r="I16" i="1" s="1"/>
  <c r="E16" i="1"/>
  <c r="F16" i="1" s="1"/>
  <c r="J16" i="1" s="1"/>
  <c r="D16" i="1"/>
  <c r="H15" i="1"/>
  <c r="I15" i="1" s="1"/>
  <c r="D15" i="1"/>
  <c r="E15" i="1" s="1"/>
  <c r="F15" i="1" s="1"/>
  <c r="J15" i="1" s="1"/>
  <c r="H14" i="1"/>
  <c r="I14" i="1" s="1"/>
  <c r="E14" i="1"/>
  <c r="F14" i="1" s="1"/>
  <c r="J14" i="1" s="1"/>
  <c r="D14" i="1"/>
  <c r="H13" i="1"/>
  <c r="I13" i="1" s="1"/>
  <c r="D13" i="1"/>
  <c r="E13" i="1" s="1"/>
  <c r="F13" i="1" s="1"/>
  <c r="J13" i="1" s="1"/>
  <c r="H12" i="1"/>
  <c r="I12" i="1" s="1"/>
  <c r="E12" i="1"/>
  <c r="F12" i="1" s="1"/>
  <c r="J12" i="1" s="1"/>
  <c r="D12" i="1"/>
  <c r="H11" i="1"/>
  <c r="I11" i="1" s="1"/>
  <c r="E11" i="1"/>
  <c r="F11" i="1" s="1"/>
  <c r="J11" i="1" s="1"/>
  <c r="D11" i="1"/>
  <c r="H10" i="1"/>
  <c r="I10" i="1" s="1"/>
  <c r="E10" i="1"/>
  <c r="F10" i="1" s="1"/>
  <c r="J10" i="1" s="1"/>
  <c r="D10" i="1"/>
  <c r="H9" i="1"/>
  <c r="I9" i="1" s="1"/>
  <c r="E9" i="1"/>
  <c r="F9" i="1" s="1"/>
  <c r="J9" i="1" s="1"/>
  <c r="D9" i="1"/>
  <c r="H8" i="1"/>
  <c r="I8" i="1" s="1"/>
  <c r="E8" i="1"/>
  <c r="F8" i="1" s="1"/>
  <c r="J8" i="1" s="1"/>
  <c r="D8" i="1"/>
  <c r="H7" i="1"/>
  <c r="I7" i="1" s="1"/>
  <c r="D7" i="1"/>
  <c r="E7" i="1" s="1"/>
  <c r="F7" i="1" s="1"/>
  <c r="J7" i="1" s="1"/>
  <c r="H6" i="1"/>
  <c r="I6" i="1" s="1"/>
  <c r="E6" i="1"/>
  <c r="F6" i="1" s="1"/>
  <c r="J6" i="1" s="1"/>
  <c r="D6" i="1"/>
  <c r="H5" i="1"/>
  <c r="I5" i="1" s="1"/>
  <c r="D5" i="1"/>
  <c r="E5" i="1" s="1"/>
  <c r="F5" i="1" s="1"/>
  <c r="H4" i="1"/>
  <c r="I4" i="1" s="1"/>
  <c r="E4" i="1"/>
  <c r="F4" i="1" s="1"/>
  <c r="J4" i="1" s="1"/>
  <c r="D4" i="1"/>
  <c r="I3" i="1"/>
  <c r="J3" i="1" s="1"/>
  <c r="J5" i="1" l="1"/>
  <c r="D5" i="2"/>
  <c r="D4" i="2"/>
  <c r="D1" i="2"/>
  <c r="D16" i="2"/>
  <c r="D6" i="2"/>
  <c r="D2" i="2"/>
  <c r="L3" i="2" s="1"/>
</calcChain>
</file>

<file path=xl/sharedStrings.xml><?xml version="1.0" encoding="utf-8"?>
<sst xmlns="http://schemas.openxmlformats.org/spreadsheetml/2006/main" count="93" uniqueCount="60">
  <si>
    <t>filename</t>
  </si>
  <si>
    <t>Biphenyl</t>
  </si>
  <si>
    <t>4-SO2Me-ArOPh</t>
  </si>
  <si>
    <t>Ratio of integral with IS</t>
  </si>
  <si>
    <t>concentrations</t>
  </si>
  <si>
    <t>Product</t>
  </si>
  <si>
    <t>MB</t>
  </si>
  <si>
    <t>Compound</t>
  </si>
  <si>
    <t>initial concentration / mM</t>
  </si>
  <si>
    <t>C4_E9-S02</t>
  </si>
  <si>
    <t>4-Me-piperidine</t>
  </si>
  <si>
    <t>C4_E9-S1</t>
  </si>
  <si>
    <t>Ar-4SO2Me-Oph</t>
  </si>
  <si>
    <t>C4_E9-S2</t>
  </si>
  <si>
    <t>C4_E9-S3</t>
  </si>
  <si>
    <t>Phenol</t>
  </si>
  <si>
    <t>C4_E9-S4</t>
  </si>
  <si>
    <t>C4_E9-S5</t>
  </si>
  <si>
    <t>C4_E9-S6</t>
  </si>
  <si>
    <t>C4_E9-S7</t>
  </si>
  <si>
    <t>C4_E9-S8</t>
  </si>
  <si>
    <t>C4_E9-S9</t>
  </si>
  <si>
    <t>C4_E9-S10</t>
  </si>
  <si>
    <t>C4_E9-S11</t>
  </si>
  <si>
    <t>C4_E9-S12</t>
  </si>
  <si>
    <t>C4_E9-S13</t>
  </si>
  <si>
    <t>C4_E9-S14</t>
  </si>
  <si>
    <t>C4_E9-S15</t>
  </si>
  <si>
    <t>C4_E9-S16</t>
  </si>
  <si>
    <t>C4_E9-S17</t>
  </si>
  <si>
    <t>CC254 4SO2MeArOPh</t>
  </si>
  <si>
    <t>CC254 Product</t>
  </si>
  <si>
    <t>ir:</t>
  </si>
  <si>
    <t>Amine:</t>
  </si>
  <si>
    <t>S1:</t>
  </si>
  <si>
    <t>V1</t>
  </si>
  <si>
    <t>S2:</t>
  </si>
  <si>
    <t>V2</t>
  </si>
  <si>
    <t>S3:</t>
  </si>
  <si>
    <t>V3</t>
  </si>
  <si>
    <t>S4:</t>
  </si>
  <si>
    <t>V4</t>
  </si>
  <si>
    <t>s5:</t>
  </si>
  <si>
    <t>S6:</t>
  </si>
  <si>
    <t>S7:</t>
  </si>
  <si>
    <t>V2:</t>
  </si>
  <si>
    <t>S8:</t>
  </si>
  <si>
    <t>S9:</t>
  </si>
  <si>
    <t>S10:</t>
  </si>
  <si>
    <t>S11:</t>
  </si>
  <si>
    <t>Phenol:</t>
  </si>
  <si>
    <t>S12:</t>
  </si>
  <si>
    <t>S13:</t>
  </si>
  <si>
    <t>S14:</t>
  </si>
  <si>
    <t>S15:</t>
  </si>
  <si>
    <t>V3:</t>
  </si>
  <si>
    <t>S16:</t>
  </si>
  <si>
    <t>S17:</t>
  </si>
  <si>
    <t>Time / min</t>
  </si>
  <si>
    <t>4SO2ArOPh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</si>
</sst>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vertical="center" wrapText="1"/>
    </xf>
    <xf numFmtId="0" fontId="0" fillId="5" borderId="0" xfId="0" applyFill="1"/>
    <xf numFmtId="0" fontId="0" fillId="6" borderId="0" xfId="0" applyFill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4SO2ArOPh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228.50000000093129</c:v>
                </c:pt>
                <c:pt idx="2">
                  <c:v>956.51666666613892</c:v>
                </c:pt>
                <c:pt idx="3">
                  <c:v>1001.3000000012109</c:v>
                </c:pt>
                <c:pt idx="4">
                  <c:v>1148.900000002468</c:v>
                </c:pt>
                <c:pt idx="5">
                  <c:v>1318.2999999972531</c:v>
                </c:pt>
                <c:pt idx="6">
                  <c:v>1361.0999999963681</c:v>
                </c:pt>
                <c:pt idx="7">
                  <c:v>1423.5166666691659</c:v>
                </c:pt>
                <c:pt idx="8">
                  <c:v>1634.28333332995</c:v>
                </c:pt>
                <c:pt idx="9">
                  <c:v>1656.2166666670239</c:v>
                </c:pt>
                <c:pt idx="10">
                  <c:v>1668.7333333259451</c:v>
                </c:pt>
                <c:pt idx="11">
                  <c:v>1827.716666660272</c:v>
                </c:pt>
                <c:pt idx="12">
                  <c:v>1834.8499999952039</c:v>
                </c:pt>
                <c:pt idx="13">
                  <c:v>1841.04999999865</c:v>
                </c:pt>
                <c:pt idx="14">
                  <c:v>2461.049999997485</c:v>
                </c:pt>
                <c:pt idx="15">
                  <c:v>2549.7166666667908</c:v>
                </c:pt>
              </c:numCache>
            </c:numRef>
          </c:xVal>
          <c:yVal>
            <c:numRef>
              <c:f>'Concentration vs time HPLC'!$B$2:$B$17</c:f>
              <c:numCache>
                <c:formatCode>General</c:formatCode>
                <c:ptCount val="16"/>
                <c:pt idx="0">
                  <c:v>112.5</c:v>
                </c:pt>
                <c:pt idx="1">
                  <c:v>103.64533633545651</c:v>
                </c:pt>
                <c:pt idx="2">
                  <c:v>89.029647645685841</c:v>
                </c:pt>
                <c:pt idx="3">
                  <c:v>87.957110468521719</c:v>
                </c:pt>
                <c:pt idx="4">
                  <c:v>86.328151053990553</c:v>
                </c:pt>
                <c:pt idx="5">
                  <c:v>84.665747338669803</c:v>
                </c:pt>
                <c:pt idx="6">
                  <c:v>79.848957340809449</c:v>
                </c:pt>
                <c:pt idx="7">
                  <c:v>72.698630998544928</c:v>
                </c:pt>
                <c:pt idx="8">
                  <c:v>56.73959912365271</c:v>
                </c:pt>
                <c:pt idx="9">
                  <c:v>54.554985959636532</c:v>
                </c:pt>
                <c:pt idx="10">
                  <c:v>54.164723636267873</c:v>
                </c:pt>
                <c:pt idx="11">
                  <c:v>47.517693522331527</c:v>
                </c:pt>
                <c:pt idx="12">
                  <c:v>46.057833732976178</c:v>
                </c:pt>
                <c:pt idx="13">
                  <c:v>44.581416538429181</c:v>
                </c:pt>
                <c:pt idx="14">
                  <c:v>3.1511318360687062</c:v>
                </c:pt>
                <c:pt idx="15">
                  <c:v>2.202971001807895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DF-4F78-8196-E8945DCB6AC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228.50000000093129</c:v>
                </c:pt>
                <c:pt idx="2">
                  <c:v>956.51666666613892</c:v>
                </c:pt>
                <c:pt idx="3">
                  <c:v>1001.3000000012109</c:v>
                </c:pt>
                <c:pt idx="4">
                  <c:v>1148.900000002468</c:v>
                </c:pt>
                <c:pt idx="5">
                  <c:v>1318.2999999972531</c:v>
                </c:pt>
                <c:pt idx="6">
                  <c:v>1361.0999999963681</c:v>
                </c:pt>
                <c:pt idx="7">
                  <c:v>1423.5166666691659</c:v>
                </c:pt>
                <c:pt idx="8">
                  <c:v>1634.28333332995</c:v>
                </c:pt>
                <c:pt idx="9">
                  <c:v>1656.2166666670239</c:v>
                </c:pt>
                <c:pt idx="10">
                  <c:v>1668.7333333259451</c:v>
                </c:pt>
                <c:pt idx="11">
                  <c:v>1827.716666660272</c:v>
                </c:pt>
                <c:pt idx="12">
                  <c:v>1834.8499999952039</c:v>
                </c:pt>
                <c:pt idx="13">
                  <c:v>1841.04999999865</c:v>
                </c:pt>
                <c:pt idx="14">
                  <c:v>2461.049999997485</c:v>
                </c:pt>
                <c:pt idx="15">
                  <c:v>2549.7166666667908</c:v>
                </c:pt>
              </c:numCache>
            </c:numRef>
          </c:xVal>
          <c:yVal>
            <c:numRef>
              <c:f>'Concentration vs time HPLC'!$C$2:$C$17</c:f>
              <c:numCache>
                <c:formatCode>General</c:formatCode>
                <c:ptCount val="16"/>
                <c:pt idx="0">
                  <c:v>0</c:v>
                </c:pt>
                <c:pt idx="1">
                  <c:v>8.9114939853887378</c:v>
                </c:pt>
                <c:pt idx="2">
                  <c:v>23.816342678245061</c:v>
                </c:pt>
                <c:pt idx="3">
                  <c:v>24.350709010505291</c:v>
                </c:pt>
                <c:pt idx="4">
                  <c:v>26.150400355818871</c:v>
                </c:pt>
                <c:pt idx="5">
                  <c:v>27.868529900919771</c:v>
                </c:pt>
                <c:pt idx="6">
                  <c:v>31.968382773004091</c:v>
                </c:pt>
                <c:pt idx="7">
                  <c:v>38.870445658559809</c:v>
                </c:pt>
                <c:pt idx="8">
                  <c:v>55.237860199540378</c:v>
                </c:pt>
                <c:pt idx="9">
                  <c:v>55.201914553721203</c:v>
                </c:pt>
                <c:pt idx="10">
                  <c:v>55.862953576380313</c:v>
                </c:pt>
                <c:pt idx="11">
                  <c:v>62.597221795458928</c:v>
                </c:pt>
                <c:pt idx="12">
                  <c:v>62.37857140757017</c:v>
                </c:pt>
                <c:pt idx="13">
                  <c:v>64.362344886686927</c:v>
                </c:pt>
                <c:pt idx="14">
                  <c:v>108.2354830445893</c:v>
                </c:pt>
                <c:pt idx="15">
                  <c:v>107.2939691976985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DF-4F78-8196-E8945DCB6AC8}"/>
            </c:ext>
          </c:extLst>
        </c:ser>
        <c:ser>
          <c:idx val="2"/>
          <c:order val="2"/>
          <c:tx>
            <c:strRef>
              <c:f>'Concentration vs time HPLC'!$D$1</c:f>
              <c:strCache>
                <c:ptCount val="1"/>
                <c:pt idx="0">
                  <c:v>MB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'Concentration vs time HPLC'!$A$2:$A$17</c:f>
              <c:numCache>
                <c:formatCode>General</c:formatCode>
                <c:ptCount val="16"/>
                <c:pt idx="0">
                  <c:v>0</c:v>
                </c:pt>
                <c:pt idx="1">
                  <c:v>228.50000000093129</c:v>
                </c:pt>
                <c:pt idx="2">
                  <c:v>956.51666666613892</c:v>
                </c:pt>
                <c:pt idx="3">
                  <c:v>1001.3000000012109</c:v>
                </c:pt>
                <c:pt idx="4">
                  <c:v>1148.900000002468</c:v>
                </c:pt>
                <c:pt idx="5">
                  <c:v>1318.2999999972531</c:v>
                </c:pt>
                <c:pt idx="6">
                  <c:v>1361.0999999963681</c:v>
                </c:pt>
                <c:pt idx="7">
                  <c:v>1423.5166666691659</c:v>
                </c:pt>
                <c:pt idx="8">
                  <c:v>1634.28333332995</c:v>
                </c:pt>
                <c:pt idx="9">
                  <c:v>1656.2166666670239</c:v>
                </c:pt>
                <c:pt idx="10">
                  <c:v>1668.7333333259451</c:v>
                </c:pt>
                <c:pt idx="11">
                  <c:v>1827.716666660272</c:v>
                </c:pt>
                <c:pt idx="12">
                  <c:v>1834.8499999952039</c:v>
                </c:pt>
                <c:pt idx="13">
                  <c:v>1841.04999999865</c:v>
                </c:pt>
                <c:pt idx="14">
                  <c:v>2461.049999997485</c:v>
                </c:pt>
                <c:pt idx="15">
                  <c:v>2549.7166666667908</c:v>
                </c:pt>
              </c:numCache>
            </c:numRef>
          </c:xVal>
          <c:yVal>
            <c:numRef>
              <c:f>'Concentration vs time HPLC'!$D$2:$D$17</c:f>
              <c:numCache>
                <c:formatCode>General</c:formatCode>
                <c:ptCount val="16"/>
                <c:pt idx="0">
                  <c:v>112.5</c:v>
                </c:pt>
                <c:pt idx="1">
                  <c:v>112.55683032084525</c:v>
                </c:pt>
                <c:pt idx="2">
                  <c:v>112.84599032393091</c:v>
                </c:pt>
                <c:pt idx="3">
                  <c:v>112.30781947902702</c:v>
                </c:pt>
                <c:pt idx="4">
                  <c:v>112.47855140980943</c:v>
                </c:pt>
                <c:pt idx="5">
                  <c:v>112.53427723958957</c:v>
                </c:pt>
                <c:pt idx="6">
                  <c:v>111.81734011381354</c:v>
                </c:pt>
                <c:pt idx="7">
                  <c:v>111.56907665710474</c:v>
                </c:pt>
                <c:pt idx="8">
                  <c:v>111.97745932319309</c:v>
                </c:pt>
                <c:pt idx="9">
                  <c:v>109.75690051335773</c:v>
                </c:pt>
                <c:pt idx="10">
                  <c:v>110.02767721264819</c:v>
                </c:pt>
                <c:pt idx="11">
                  <c:v>110.11491531779046</c:v>
                </c:pt>
                <c:pt idx="12">
                  <c:v>108.43640514054636</c:v>
                </c:pt>
                <c:pt idx="13">
                  <c:v>108.94376142511611</c:v>
                </c:pt>
                <c:pt idx="14">
                  <c:v>111.386614880658</c:v>
                </c:pt>
                <c:pt idx="15">
                  <c:v>109.4969401995064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DF-4F78-8196-E8945DCB6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19712"/>
        <c:axId val="1389708672"/>
      </c:scatterChart>
      <c:valAx>
        <c:axId val="138971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08672"/>
        <c:crosses val="autoZero"/>
        <c:crossBetween val="midCat"/>
      </c:valAx>
      <c:valAx>
        <c:axId val="138970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1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83737</xdr:colOff>
      <xdr:row>0</xdr:row>
      <xdr:rowOff>135653</xdr:rowOff>
    </xdr:from>
    <xdr:to>
      <xdr:col>12</xdr:col>
      <xdr:colOff>376814</xdr:colOff>
      <xdr:row>15</xdr:row>
      <xdr:rowOff>115556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D54F80-FCD8-7249-269B-B96D01141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A16" zoomScale="94" workbookViewId="0">
      <selection activeCell="I3" sqref="I3"/>
    </sheetView>
  </sheetViews>
  <sheetFormatPr defaultRowHeight="14.4" x14ac:dyDescent="0.3"/>
  <cols>
    <col min="1" max="1" width="10" bestFit="1" customWidth="1"/>
    <col min="3" max="3" width="14.44140625" bestFit="1" customWidth="1"/>
    <col min="9" max="9" width="12.6640625" bestFit="1" customWidth="1"/>
    <col min="10" max="10" width="18.88671875" bestFit="1" customWidth="1"/>
    <col min="12" max="12" width="14.33203125" bestFit="1" customWidth="1"/>
    <col min="13" max="13" width="21.77734375" bestFit="1" customWidth="1"/>
  </cols>
  <sheetData>
    <row r="1" spans="1:13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J2" t="s">
        <v>6</v>
      </c>
    </row>
    <row r="3" spans="1:13" x14ac:dyDescent="0.3">
      <c r="B3">
        <v>3.92787384986877</v>
      </c>
      <c r="C3">
        <v>1.99018758535385</v>
      </c>
      <c r="E3">
        <v>0</v>
      </c>
      <c r="G3">
        <v>2.8580083375506899</v>
      </c>
      <c r="I3" s="1" t="e">
        <f>H3/$T$2*$V$3</f>
        <v>#DIV/0!</v>
      </c>
      <c r="J3" t="e">
        <f>SUM(E3,I3)</f>
        <v>#DIV/0!</v>
      </c>
      <c r="L3" t="s">
        <v>7</v>
      </c>
      <c r="M3" t="s">
        <v>8</v>
      </c>
    </row>
    <row r="4" spans="1:13" x14ac:dyDescent="0.3">
      <c r="A4" s="5" t="s">
        <v>9</v>
      </c>
      <c r="B4" s="5">
        <v>135.591720581055</v>
      </c>
      <c r="C4" s="5">
        <v>1004.2001953125</v>
      </c>
      <c r="D4" s="5">
        <f t="shared" ref="D4:D21" si="0">C4/B4</f>
        <v>7.4060583567283667</v>
      </c>
      <c r="E4" s="5">
        <f t="shared" ref="E4:E21" si="1">D4/$B$23</f>
        <v>12.720814765936733</v>
      </c>
      <c r="F4">
        <f t="shared" ref="F4:F11" si="2">E4*$M$6</f>
        <v>146.83170438140274</v>
      </c>
      <c r="G4" s="5">
        <v>0</v>
      </c>
      <c r="H4" s="5">
        <f t="shared" ref="H4:H21" si="3">G4/B4</f>
        <v>0</v>
      </c>
      <c r="I4" s="5">
        <f t="shared" ref="I4:I11" si="4">H4/$B$24*$M$6</f>
        <v>0</v>
      </c>
      <c r="J4" s="5">
        <f t="shared" ref="J4:J21" si="5">SUM(F4,I4)</f>
        <v>146.83170438140274</v>
      </c>
      <c r="L4" t="s">
        <v>10</v>
      </c>
      <c r="M4">
        <v>47.653907073780452</v>
      </c>
    </row>
    <row r="5" spans="1:13" x14ac:dyDescent="0.3">
      <c r="A5" s="5" t="s">
        <v>11</v>
      </c>
      <c r="B5" s="5">
        <v>784.30023193359398</v>
      </c>
      <c r="C5" s="5">
        <v>4664.69775390625</v>
      </c>
      <c r="D5" s="5">
        <f t="shared" si="0"/>
        <v>5.9475919602956413</v>
      </c>
      <c r="E5" s="5">
        <f t="shared" si="1"/>
        <v>10.215719615760291</v>
      </c>
      <c r="F5">
        <f t="shared" si="2"/>
        <v>117.91630884219988</v>
      </c>
      <c r="G5" s="5">
        <v>115.23696899414099</v>
      </c>
      <c r="H5" s="5">
        <f t="shared" si="3"/>
        <v>0.1469296632872831</v>
      </c>
      <c r="I5" s="5">
        <f t="shared" si="4"/>
        <v>2.6945587439358216</v>
      </c>
      <c r="J5" s="5">
        <f t="shared" si="5"/>
        <v>120.6108675861357</v>
      </c>
      <c r="L5" t="s">
        <v>12</v>
      </c>
      <c r="M5">
        <v>113.74552392853479</v>
      </c>
    </row>
    <row r="6" spans="1:13" x14ac:dyDescent="0.3">
      <c r="A6" s="5" t="s">
        <v>13</v>
      </c>
      <c r="B6" s="5">
        <v>1744.70825195313</v>
      </c>
      <c r="C6" s="5">
        <v>9787.5234375</v>
      </c>
      <c r="D6" s="5">
        <f t="shared" si="0"/>
        <v>5.6098338656582065</v>
      </c>
      <c r="E6" s="5">
        <f t="shared" si="1"/>
        <v>9.6355786081384505</v>
      </c>
      <c r="F6">
        <f t="shared" si="2"/>
        <v>111.21995373460418</v>
      </c>
      <c r="G6" s="5">
        <v>460.157318115235</v>
      </c>
      <c r="H6" s="5">
        <f t="shared" si="3"/>
        <v>0.26374456451392808</v>
      </c>
      <c r="I6" s="5">
        <f t="shared" si="4"/>
        <v>4.836839659034732</v>
      </c>
      <c r="J6" s="5">
        <f t="shared" si="5"/>
        <v>116.05679339363891</v>
      </c>
      <c r="L6" t="s">
        <v>1</v>
      </c>
      <c r="M6">
        <v>11.54263363496044</v>
      </c>
    </row>
    <row r="7" spans="1:13" x14ac:dyDescent="0.3">
      <c r="A7" s="5" t="s">
        <v>14</v>
      </c>
      <c r="B7" s="5">
        <v>404.31939697265602</v>
      </c>
      <c r="C7" s="5">
        <v>2113.69165039063</v>
      </c>
      <c r="D7" s="5">
        <f t="shared" si="0"/>
        <v>5.227777015441033</v>
      </c>
      <c r="E7" s="5">
        <f t="shared" si="1"/>
        <v>8.9793490474768678</v>
      </c>
      <c r="F7">
        <f t="shared" si="2"/>
        <v>103.64533633545649</v>
      </c>
      <c r="G7" s="5">
        <v>196.470306396485</v>
      </c>
      <c r="H7" s="5">
        <f t="shared" si="3"/>
        <v>0.48592847107400144</v>
      </c>
      <c r="I7" s="5">
        <f t="shared" si="4"/>
        <v>8.911493985388736</v>
      </c>
      <c r="J7" s="5">
        <f t="shared" si="5"/>
        <v>112.55683032084522</v>
      </c>
      <c r="L7" t="s">
        <v>15</v>
      </c>
      <c r="M7">
        <v>3.902825058098808</v>
      </c>
    </row>
    <row r="8" spans="1:13" x14ac:dyDescent="0.3">
      <c r="A8" s="5" t="s">
        <v>16</v>
      </c>
      <c r="B8" s="5">
        <v>357.29464721679699</v>
      </c>
      <c r="C8" s="5">
        <v>1604.45837402344</v>
      </c>
      <c r="D8" s="5">
        <f t="shared" si="0"/>
        <v>4.4905748981173428</v>
      </c>
      <c r="E8" s="5">
        <f t="shared" si="1"/>
        <v>7.7131138751586095</v>
      </c>
      <c r="F8">
        <f t="shared" si="2"/>
        <v>89.029647645685827</v>
      </c>
      <c r="G8" s="5">
        <v>464.00579833984398</v>
      </c>
      <c r="H8" s="5">
        <f t="shared" si="3"/>
        <v>1.2986642871766771</v>
      </c>
      <c r="I8" s="5">
        <f t="shared" si="4"/>
        <v>23.816342678245057</v>
      </c>
      <c r="J8" s="5">
        <f t="shared" si="5"/>
        <v>112.84599032393089</v>
      </c>
    </row>
    <row r="9" spans="1:13" x14ac:dyDescent="0.3">
      <c r="A9" s="5" t="s">
        <v>17</v>
      </c>
      <c r="B9" s="5">
        <v>285.373138427735</v>
      </c>
      <c r="C9" s="5">
        <v>1266.05139160156</v>
      </c>
      <c r="D9" s="5">
        <f t="shared" si="0"/>
        <v>4.4364770930329236</v>
      </c>
      <c r="E9" s="5">
        <f t="shared" si="1"/>
        <v>7.6201942511730048</v>
      </c>
      <c r="F9">
        <f t="shared" si="2"/>
        <v>87.957110468521705</v>
      </c>
      <c r="G9" s="5">
        <v>378.91912841796898</v>
      </c>
      <c r="H9" s="5">
        <f t="shared" si="3"/>
        <v>1.3278023660728062</v>
      </c>
      <c r="I9" s="5">
        <f t="shared" si="4"/>
        <v>24.350709010505287</v>
      </c>
      <c r="J9" s="5">
        <f t="shared" si="5"/>
        <v>112.30781947902699</v>
      </c>
    </row>
    <row r="10" spans="1:13" x14ac:dyDescent="0.3">
      <c r="A10" s="5" t="s">
        <v>18</v>
      </c>
      <c r="B10" s="5">
        <v>388.87710571289102</v>
      </c>
      <c r="C10" s="5">
        <v>1693.29296875</v>
      </c>
      <c r="D10" s="5">
        <f t="shared" si="0"/>
        <v>4.3543138535909662</v>
      </c>
      <c r="E10" s="5">
        <f t="shared" si="1"/>
        <v>7.4790687969614664</v>
      </c>
      <c r="F10">
        <f t="shared" si="2"/>
        <v>86.328151053990538</v>
      </c>
      <c r="G10" s="5">
        <v>554.51403808593795</v>
      </c>
      <c r="H10" s="5">
        <f t="shared" si="3"/>
        <v>1.4259364460898274</v>
      </c>
      <c r="I10" s="5">
        <f t="shared" si="4"/>
        <v>26.150400355818867</v>
      </c>
      <c r="J10" s="5">
        <f t="shared" si="5"/>
        <v>112.4785514098094</v>
      </c>
    </row>
    <row r="11" spans="1:13" x14ac:dyDescent="0.3">
      <c r="A11" s="5" t="s">
        <v>19</v>
      </c>
      <c r="B11" s="5">
        <v>320.05578613281301</v>
      </c>
      <c r="C11" s="5">
        <v>1366.78662109375</v>
      </c>
      <c r="D11" s="5">
        <f t="shared" si="0"/>
        <v>4.2704637138682342</v>
      </c>
      <c r="E11" s="5">
        <f t="shared" si="1"/>
        <v>7.3350458843494222</v>
      </c>
      <c r="F11">
        <f t="shared" si="2"/>
        <v>84.665747338669789</v>
      </c>
      <c r="G11" s="5">
        <v>486.36416625976602</v>
      </c>
      <c r="H11" s="5">
        <f t="shared" si="3"/>
        <v>1.5196231011363135</v>
      </c>
      <c r="I11" s="5">
        <f t="shared" si="4"/>
        <v>27.868529900919771</v>
      </c>
      <c r="J11" s="5">
        <f t="shared" si="5"/>
        <v>112.53427723958956</v>
      </c>
      <c r="L11" t="s">
        <v>10</v>
      </c>
      <c r="M11">
        <v>151.3532593629551</v>
      </c>
    </row>
    <row r="12" spans="1:13" x14ac:dyDescent="0.3">
      <c r="A12" s="2" t="s">
        <v>20</v>
      </c>
      <c r="B12" s="2">
        <v>195.20999145507801</v>
      </c>
      <c r="C12" s="2">
        <v>796.03430175781295</v>
      </c>
      <c r="D12" s="5">
        <f t="shared" si="0"/>
        <v>4.0778358516602742</v>
      </c>
      <c r="E12" s="5">
        <f t="shared" si="1"/>
        <v>7.0041838743735383</v>
      </c>
      <c r="F12">
        <f>E12*$M$13</f>
        <v>79.848957340809477</v>
      </c>
      <c r="G12" s="2">
        <v>344.53848266601602</v>
      </c>
      <c r="H12" s="5">
        <f t="shared" si="3"/>
        <v>1.7649633612391284</v>
      </c>
      <c r="I12" s="2">
        <f>H12/$B$24*$M$13</f>
        <v>31.968382773004098</v>
      </c>
      <c r="J12" s="5">
        <f t="shared" si="5"/>
        <v>111.81734011381357</v>
      </c>
      <c r="L12" t="s">
        <v>12</v>
      </c>
      <c r="M12">
        <v>112.34173194844951</v>
      </c>
    </row>
    <row r="13" spans="1:13" x14ac:dyDescent="0.3">
      <c r="A13" s="2" t="s">
        <v>21</v>
      </c>
      <c r="B13" s="2">
        <v>314.70852661132801</v>
      </c>
      <c r="C13" s="2">
        <v>1168.40991210938</v>
      </c>
      <c r="D13" s="5">
        <f t="shared" si="0"/>
        <v>3.7126731985638002</v>
      </c>
      <c r="E13" s="5">
        <f t="shared" si="1"/>
        <v>6.3769721720436277</v>
      </c>
      <c r="F13">
        <f>E13*$M$13</f>
        <v>72.698630998544942</v>
      </c>
      <c r="G13" s="2">
        <v>675.37200927734398</v>
      </c>
      <c r="H13" s="5">
        <f t="shared" si="3"/>
        <v>2.1460238670668219</v>
      </c>
      <c r="I13" s="2">
        <f>H13/$B$24*$M$13</f>
        <v>38.870445658559824</v>
      </c>
      <c r="J13" s="5">
        <f t="shared" si="5"/>
        <v>111.56907665710477</v>
      </c>
      <c r="L13" t="s">
        <v>1</v>
      </c>
      <c r="M13">
        <v>11.400180059943279</v>
      </c>
    </row>
    <row r="14" spans="1:13" x14ac:dyDescent="0.3">
      <c r="A14" s="2" t="s">
        <v>22</v>
      </c>
      <c r="B14" s="2">
        <v>257.64694213867199</v>
      </c>
      <c r="C14" s="2">
        <v>746.57208251953205</v>
      </c>
      <c r="D14" s="5">
        <f t="shared" si="0"/>
        <v>2.8976555138686972</v>
      </c>
      <c r="E14" s="5">
        <f t="shared" si="1"/>
        <v>4.9770792062327329</v>
      </c>
      <c r="F14">
        <f>E14*$M$13</f>
        <v>56.739599123652724</v>
      </c>
      <c r="G14" s="2">
        <v>785.73638916015705</v>
      </c>
      <c r="H14" s="5">
        <f t="shared" si="3"/>
        <v>3.0496631655626412</v>
      </c>
      <c r="I14" s="2">
        <f>H14/$B$24*$M$13</f>
        <v>55.2378601995404</v>
      </c>
      <c r="J14" s="5">
        <f t="shared" si="5"/>
        <v>111.97745932319313</v>
      </c>
      <c r="L14" t="s">
        <v>15</v>
      </c>
      <c r="M14">
        <v>3.8546582878646021</v>
      </c>
    </row>
    <row r="15" spans="1:13" x14ac:dyDescent="0.3">
      <c r="A15" s="6" t="s">
        <v>23</v>
      </c>
      <c r="B15" s="6">
        <v>377.95086669921898</v>
      </c>
      <c r="C15" s="6">
        <v>1065.65380859375</v>
      </c>
      <c r="D15" s="5">
        <f t="shared" si="0"/>
        <v>2.8195564621943809</v>
      </c>
      <c r="E15" s="5">
        <f t="shared" si="1"/>
        <v>4.8429344936351439</v>
      </c>
      <c r="F15">
        <f>E15*$M$20</f>
        <v>54.554985959636554</v>
      </c>
      <c r="G15" s="6">
        <v>1165.70959472656</v>
      </c>
      <c r="H15" s="5">
        <f t="shared" si="3"/>
        <v>3.0842887196082436</v>
      </c>
      <c r="I15" s="6">
        <f>H15/$B$24*$M$20</f>
        <v>55.201914553721217</v>
      </c>
      <c r="J15" s="5">
        <f t="shared" si="5"/>
        <v>109.75690051335778</v>
      </c>
    </row>
    <row r="16" spans="1:13" x14ac:dyDescent="0.3">
      <c r="A16" s="6" t="s">
        <v>24</v>
      </c>
      <c r="B16" s="6">
        <v>266.72695922851602</v>
      </c>
      <c r="C16" s="6">
        <v>746.671875</v>
      </c>
      <c r="D16" s="5">
        <f t="shared" si="0"/>
        <v>2.7993865980389905</v>
      </c>
      <c r="E16" s="5">
        <f t="shared" si="1"/>
        <v>4.8082902748866205</v>
      </c>
      <c r="F16">
        <f>E16*$M$20</f>
        <v>54.164723636267894</v>
      </c>
      <c r="G16" s="6">
        <v>832.51428222656295</v>
      </c>
      <c r="H16" s="5">
        <f t="shared" si="3"/>
        <v>3.1212228588911159</v>
      </c>
      <c r="I16" s="6">
        <f>H16/$B$24*$M$20</f>
        <v>55.862953576380328</v>
      </c>
      <c r="J16" s="5">
        <f t="shared" si="5"/>
        <v>110.02767721264823</v>
      </c>
    </row>
    <row r="17" spans="1:13" x14ac:dyDescent="0.3">
      <c r="A17" s="6" t="s">
        <v>25</v>
      </c>
      <c r="B17" s="6">
        <v>247.89842224121099</v>
      </c>
      <c r="C17" s="6">
        <v>608.80114746093795</v>
      </c>
      <c r="D17" s="5">
        <f t="shared" si="0"/>
        <v>2.455849222261528</v>
      </c>
      <c r="E17" s="5">
        <f t="shared" si="1"/>
        <v>4.218222642153088</v>
      </c>
      <c r="F17">
        <f>E17*$M$20</f>
        <v>47.517693522331548</v>
      </c>
      <c r="G17" s="6">
        <v>867.02117919921898</v>
      </c>
      <c r="H17" s="5">
        <f t="shared" si="3"/>
        <v>3.4974856691729443</v>
      </c>
      <c r="I17" s="6">
        <f>H17/$B$24*$M$20</f>
        <v>62.59722179545895</v>
      </c>
      <c r="J17" s="5">
        <f t="shared" si="5"/>
        <v>110.11491531779049</v>
      </c>
    </row>
    <row r="18" spans="1:13" x14ac:dyDescent="0.3">
      <c r="A18" s="3" t="s">
        <v>26</v>
      </c>
      <c r="B18" s="3">
        <v>315.36218261718801</v>
      </c>
      <c r="C18" s="3">
        <v>759.04919433593795</v>
      </c>
      <c r="D18" s="5">
        <f t="shared" si="0"/>
        <v>2.4069125474608124</v>
      </c>
      <c r="E18" s="5">
        <f t="shared" si="1"/>
        <v>4.1341678932683132</v>
      </c>
      <c r="F18">
        <f>E18*$M$28</f>
        <v>46.057833732976178</v>
      </c>
      <c r="G18" s="3">
        <v>1111.36413574219</v>
      </c>
      <c r="H18" s="5">
        <f t="shared" si="3"/>
        <v>3.5240881659271532</v>
      </c>
      <c r="I18" s="3">
        <f>H18/$B$24*$M$28</f>
        <v>62.37857140757017</v>
      </c>
      <c r="J18" s="5">
        <f t="shared" si="5"/>
        <v>108.43640514054636</v>
      </c>
      <c r="M18">
        <v>149.55671611619101</v>
      </c>
    </row>
    <row r="19" spans="1:13" x14ac:dyDescent="0.3">
      <c r="A19" s="3" t="s">
        <v>27</v>
      </c>
      <c r="B19" s="3">
        <v>393.54180908203102</v>
      </c>
      <c r="C19" s="3">
        <v>916.85687255859398</v>
      </c>
      <c r="D19" s="5">
        <f t="shared" si="0"/>
        <v>2.3297572237553079</v>
      </c>
      <c r="E19" s="5">
        <f t="shared" si="1"/>
        <v>4.0016441493564203</v>
      </c>
      <c r="F19">
        <f>E19*$M$28</f>
        <v>44.581416538429181</v>
      </c>
      <c r="G19" s="3">
        <v>1430.98168945313</v>
      </c>
      <c r="H19" s="5">
        <f t="shared" si="3"/>
        <v>3.6361617912745121</v>
      </c>
      <c r="I19" s="3">
        <f>H19/$B$24*$M$28</f>
        <v>64.362344886686927</v>
      </c>
      <c r="J19" s="5">
        <f t="shared" si="5"/>
        <v>108.94376142511611</v>
      </c>
      <c r="L19" t="s">
        <v>10</v>
      </c>
      <c r="M19">
        <v>111.0082503920479</v>
      </c>
    </row>
    <row r="20" spans="1:13" x14ac:dyDescent="0.3">
      <c r="A20" s="3" t="s">
        <v>28</v>
      </c>
      <c r="B20" s="3">
        <v>239.06869506836</v>
      </c>
      <c r="C20" s="3">
        <v>39.368247985839901</v>
      </c>
      <c r="D20" s="5">
        <f t="shared" si="0"/>
        <v>0.16467337128595122</v>
      </c>
      <c r="E20" s="5">
        <f t="shared" si="1"/>
        <v>0.28284673872544008</v>
      </c>
      <c r="F20">
        <f>E20*$M$28</f>
        <v>3.1511318360687062</v>
      </c>
      <c r="G20" s="3">
        <v>1461.85302734375</v>
      </c>
      <c r="H20" s="5">
        <f t="shared" si="3"/>
        <v>6.1147823094351335</v>
      </c>
      <c r="I20" s="3">
        <f>H20/$B$24*$M$28</f>
        <v>108.23548304458933</v>
      </c>
      <c r="J20" s="5">
        <f t="shared" si="5"/>
        <v>111.38661488065803</v>
      </c>
      <c r="L20" t="s">
        <v>12</v>
      </c>
      <c r="M20">
        <v>11.264861424686989</v>
      </c>
    </row>
    <row r="21" spans="1:13" x14ac:dyDescent="0.3">
      <c r="A21" s="3" t="s">
        <v>29</v>
      </c>
      <c r="B21" s="3">
        <v>335.45129394531301</v>
      </c>
      <c r="C21" s="3">
        <v>38.6184692382813</v>
      </c>
      <c r="D21" s="5">
        <f t="shared" si="0"/>
        <v>0.11512392390585645</v>
      </c>
      <c r="E21" s="5">
        <f t="shared" si="1"/>
        <v>0.19773947768096262</v>
      </c>
      <c r="F21">
        <f>E21*$M$28</f>
        <v>2.202971001807895</v>
      </c>
      <c r="G21" s="3">
        <v>2033.36865234375</v>
      </c>
      <c r="H21" s="5">
        <f t="shared" si="3"/>
        <v>6.0615913220332969</v>
      </c>
      <c r="I21" s="3">
        <f>H21/$B$24*$M$28</f>
        <v>107.29396919769846</v>
      </c>
      <c r="J21" s="5">
        <f t="shared" si="5"/>
        <v>109.49694019950635</v>
      </c>
      <c r="L21" t="s">
        <v>1</v>
      </c>
      <c r="M21">
        <v>138.76543380580981</v>
      </c>
    </row>
    <row r="22" spans="1:13" x14ac:dyDescent="0.3">
      <c r="L22" t="s">
        <v>15</v>
      </c>
    </row>
    <row r="23" spans="1:13" x14ac:dyDescent="0.3">
      <c r="A23" t="s">
        <v>30</v>
      </c>
      <c r="B23">
        <v>0.58220000000000005</v>
      </c>
    </row>
    <row r="24" spans="1:13" x14ac:dyDescent="0.3">
      <c r="A24" t="s">
        <v>31</v>
      </c>
      <c r="B24">
        <v>0.62939999999999996</v>
      </c>
    </row>
    <row r="26" spans="1:13" x14ac:dyDescent="0.3">
      <c r="M26">
        <v>340.81352902387027</v>
      </c>
    </row>
    <row r="27" spans="1:13" x14ac:dyDescent="0.3">
      <c r="L27" t="s">
        <v>10</v>
      </c>
      <c r="M27">
        <v>109.7854539539251</v>
      </c>
    </row>
    <row r="28" spans="1:13" x14ac:dyDescent="0.3">
      <c r="L28" t="s">
        <v>12</v>
      </c>
      <c r="M28">
        <v>11.14077486015321</v>
      </c>
    </row>
    <row r="29" spans="1:13" x14ac:dyDescent="0.3">
      <c r="L29" t="s">
        <v>1</v>
      </c>
      <c r="M29">
        <v>137.23688185049971</v>
      </c>
    </row>
    <row r="30" spans="1:13" x14ac:dyDescent="0.3">
      <c r="L3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="70" workbookViewId="0">
      <selection activeCell="L3" sqref="L3:L7"/>
    </sheetView>
  </sheetViews>
  <sheetFormatPr defaultRowHeight="14.4" x14ac:dyDescent="0.3"/>
  <cols>
    <col min="2" max="2" width="18.109375" bestFit="1" customWidth="1"/>
    <col min="3" max="3" width="7.6640625" bestFit="1" customWidth="1"/>
    <col min="4" max="5" width="10.109375" bestFit="1" customWidth="1"/>
    <col min="6" max="6" width="11.33203125" bestFit="1" customWidth="1"/>
  </cols>
  <sheetData>
    <row r="1" spans="1:12" x14ac:dyDescent="0.3">
      <c r="A1" s="4" t="s">
        <v>32</v>
      </c>
      <c r="B1" s="8">
        <v>45292.69327546296</v>
      </c>
      <c r="C1" s="7">
        <f t="shared" ref="C1:C22" si="0">(B1-$B$2)*86400/60</f>
        <v>-22.800000007264316</v>
      </c>
      <c r="D1" s="7">
        <f t="shared" ref="D1:D21" si="1">C1-$C$1</f>
        <v>0</v>
      </c>
    </row>
    <row r="2" spans="1:12" x14ac:dyDescent="0.3">
      <c r="A2" s="4" t="s">
        <v>33</v>
      </c>
      <c r="B2" s="8">
        <v>45292.709108796298</v>
      </c>
      <c r="C2" s="7">
        <f t="shared" si="0"/>
        <v>0</v>
      </c>
      <c r="D2" s="7">
        <f t="shared" si="1"/>
        <v>22.800000007264316</v>
      </c>
      <c r="E2" s="8">
        <v>45292</v>
      </c>
      <c r="F2" s="7">
        <f>E2*86400/60</f>
        <v>65220480</v>
      </c>
    </row>
    <row r="3" spans="1:12" x14ac:dyDescent="0.3">
      <c r="A3" s="4" t="s">
        <v>34</v>
      </c>
      <c r="B3" s="8">
        <v>45292.743750000001</v>
      </c>
      <c r="C3" s="7">
        <f t="shared" si="0"/>
        <v>49.883333332836628</v>
      </c>
      <c r="D3" s="7">
        <f t="shared" si="1"/>
        <v>72.683333340100944</v>
      </c>
      <c r="G3" s="4" t="s">
        <v>34</v>
      </c>
      <c r="H3" s="7">
        <f t="shared" ref="H3:H9" si="2">C3</f>
        <v>49.883333332836628</v>
      </c>
      <c r="K3" t="s">
        <v>35</v>
      </c>
      <c r="L3" s="7">
        <f>D2</f>
        <v>22.800000007264316</v>
      </c>
    </row>
    <row r="4" spans="1:12" x14ac:dyDescent="0.3">
      <c r="A4" s="4" t="s">
        <v>36</v>
      </c>
      <c r="B4" s="8">
        <v>45292.783194444448</v>
      </c>
      <c r="C4" s="7">
        <f t="shared" si="0"/>
        <v>106.68333333567716</v>
      </c>
      <c r="D4" s="7">
        <f t="shared" si="1"/>
        <v>129.48333334294148</v>
      </c>
      <c r="G4" s="4" t="s">
        <v>36</v>
      </c>
      <c r="H4" s="7">
        <f t="shared" si="2"/>
        <v>106.68333333567716</v>
      </c>
      <c r="K4" t="s">
        <v>37</v>
      </c>
      <c r="L4" s="7">
        <f>D10</f>
        <v>1351.3833333319053</v>
      </c>
    </row>
    <row r="5" spans="1:12" x14ac:dyDescent="0.3">
      <c r="A5" s="4" t="s">
        <v>38</v>
      </c>
      <c r="B5" s="8">
        <v>45292.867789351847</v>
      </c>
      <c r="C5" s="7">
        <f t="shared" si="0"/>
        <v>228.49999999045394</v>
      </c>
      <c r="D5" s="7">
        <f t="shared" si="1"/>
        <v>251.29999999771826</v>
      </c>
      <c r="G5" s="4" t="s">
        <v>38</v>
      </c>
      <c r="H5" s="7">
        <f t="shared" si="2"/>
        <v>228.49999999045394</v>
      </c>
      <c r="K5" t="s">
        <v>39</v>
      </c>
      <c r="L5" s="7">
        <f>D14</f>
        <v>1661.9000000087544</v>
      </c>
    </row>
    <row r="6" spans="1:12" x14ac:dyDescent="0.3">
      <c r="A6" s="4" t="s">
        <v>40</v>
      </c>
      <c r="B6" s="8">
        <v>45293.373356481483</v>
      </c>
      <c r="C6" s="7">
        <f t="shared" si="0"/>
        <v>956.51666666613892</v>
      </c>
      <c r="D6" s="7">
        <f t="shared" si="1"/>
        <v>979.31666667340323</v>
      </c>
      <c r="G6" s="4" t="s">
        <v>40</v>
      </c>
      <c r="H6" s="7">
        <f t="shared" si="2"/>
        <v>956.51666666613892</v>
      </c>
      <c r="K6" t="s">
        <v>41</v>
      </c>
      <c r="L6" s="7">
        <f>D18</f>
        <v>1856.183333338704</v>
      </c>
    </row>
    <row r="7" spans="1:12" x14ac:dyDescent="0.3">
      <c r="A7" s="4" t="s">
        <v>42</v>
      </c>
      <c r="B7" s="8">
        <v>45293.404456018521</v>
      </c>
      <c r="C7" s="7">
        <f t="shared" si="0"/>
        <v>1001.3000000012107</v>
      </c>
      <c r="D7" s="7">
        <f t="shared" si="1"/>
        <v>1024.100000008475</v>
      </c>
      <c r="G7" s="4" t="s">
        <v>42</v>
      </c>
      <c r="H7" s="7">
        <f t="shared" si="2"/>
        <v>1001.3000000012107</v>
      </c>
    </row>
    <row r="8" spans="1:12" x14ac:dyDescent="0.3">
      <c r="A8" s="4" t="s">
        <v>43</v>
      </c>
      <c r="B8" s="8">
        <v>45293.506956018522</v>
      </c>
      <c r="C8" s="7">
        <f t="shared" si="0"/>
        <v>1148.900000002468</v>
      </c>
      <c r="D8" s="7">
        <f t="shared" si="1"/>
        <v>1171.7000000097323</v>
      </c>
      <c r="G8" s="4" t="s">
        <v>43</v>
      </c>
      <c r="H8" s="7">
        <f t="shared" si="2"/>
        <v>1148.900000002468</v>
      </c>
    </row>
    <row r="9" spans="1:12" x14ac:dyDescent="0.3">
      <c r="A9" s="4" t="s">
        <v>44</v>
      </c>
      <c r="B9" s="8">
        <v>45293.624594907407</v>
      </c>
      <c r="C9" s="7">
        <f t="shared" si="0"/>
        <v>1318.2999999972526</v>
      </c>
      <c r="D9" s="7">
        <f t="shared" si="1"/>
        <v>1341.1000000045169</v>
      </c>
      <c r="G9" s="4" t="s">
        <v>44</v>
      </c>
      <c r="H9" s="7">
        <f t="shared" si="2"/>
        <v>1318.2999999972526</v>
      </c>
    </row>
    <row r="10" spans="1:12" x14ac:dyDescent="0.3">
      <c r="A10" s="4" t="s">
        <v>45</v>
      </c>
      <c r="B10" s="8">
        <v>45293.631736111107</v>
      </c>
      <c r="C10" s="7">
        <f t="shared" si="0"/>
        <v>1328.583333324641</v>
      </c>
      <c r="D10" s="7">
        <f t="shared" si="1"/>
        <v>1351.3833333319053</v>
      </c>
      <c r="G10" s="4" t="s">
        <v>46</v>
      </c>
      <c r="H10" s="7">
        <f>C11</f>
        <v>1361.0999999963678</v>
      </c>
    </row>
    <row r="11" spans="1:12" x14ac:dyDescent="0.3">
      <c r="A11" s="4" t="s">
        <v>46</v>
      </c>
      <c r="B11" s="8">
        <v>45293.654317129629</v>
      </c>
      <c r="C11" s="7">
        <f t="shared" si="0"/>
        <v>1361.0999999963678</v>
      </c>
      <c r="D11" s="7">
        <f t="shared" si="1"/>
        <v>1383.9000000036322</v>
      </c>
      <c r="G11" s="4" t="s">
        <v>47</v>
      </c>
      <c r="H11" s="7">
        <f>C12</f>
        <v>1423.5166666691657</v>
      </c>
    </row>
    <row r="12" spans="1:12" x14ac:dyDescent="0.3">
      <c r="A12" s="4" t="s">
        <v>47</v>
      </c>
      <c r="B12" s="8">
        <v>45293.697662037041</v>
      </c>
      <c r="C12" s="7">
        <f t="shared" si="0"/>
        <v>1423.5166666691657</v>
      </c>
      <c r="D12" s="7">
        <f t="shared" si="1"/>
        <v>1446.31666667643</v>
      </c>
      <c r="G12" s="4" t="s">
        <v>48</v>
      </c>
      <c r="H12" s="7">
        <f>C13</f>
        <v>1634.2833333299495</v>
      </c>
    </row>
    <row r="13" spans="1:12" x14ac:dyDescent="0.3">
      <c r="A13" s="4" t="s">
        <v>48</v>
      </c>
      <c r="B13" s="8">
        <v>45293.844027777777</v>
      </c>
      <c r="C13" s="7">
        <f t="shared" si="0"/>
        <v>1634.2833333299495</v>
      </c>
      <c r="D13" s="7">
        <f t="shared" si="1"/>
        <v>1657.0833333372138</v>
      </c>
      <c r="G13" s="4" t="s">
        <v>49</v>
      </c>
      <c r="H13" s="7">
        <f>C15</f>
        <v>1656.2166666670237</v>
      </c>
    </row>
    <row r="14" spans="1:12" x14ac:dyDescent="0.3">
      <c r="A14" s="4" t="s">
        <v>50</v>
      </c>
      <c r="B14" s="8">
        <v>45293.847372685188</v>
      </c>
      <c r="C14" s="7">
        <f t="shared" si="0"/>
        <v>1639.1000000014901</v>
      </c>
      <c r="D14" s="7">
        <f t="shared" si="1"/>
        <v>1661.9000000087544</v>
      </c>
      <c r="G14" s="4" t="s">
        <v>51</v>
      </c>
      <c r="H14" s="7">
        <f>C16</f>
        <v>1668.7333333364222</v>
      </c>
    </row>
    <row r="15" spans="1:12" x14ac:dyDescent="0.3">
      <c r="A15" s="4" t="s">
        <v>49</v>
      </c>
      <c r="B15" s="8">
        <v>45293.859259259261</v>
      </c>
      <c r="C15" s="7">
        <f t="shared" si="0"/>
        <v>1656.2166666670237</v>
      </c>
      <c r="D15" s="7">
        <f t="shared" si="1"/>
        <v>1679.016666674288</v>
      </c>
      <c r="G15" s="4" t="s">
        <v>52</v>
      </c>
      <c r="H15" s="7">
        <f>C17</f>
        <v>1827.7166666602716</v>
      </c>
    </row>
    <row r="16" spans="1:12" x14ac:dyDescent="0.3">
      <c r="A16" s="4" t="s">
        <v>51</v>
      </c>
      <c r="B16" s="8">
        <v>45293.867951388893</v>
      </c>
      <c r="C16" s="7">
        <f t="shared" si="0"/>
        <v>1668.7333333364222</v>
      </c>
      <c r="D16" s="7">
        <f t="shared" si="1"/>
        <v>1691.5333333436865</v>
      </c>
      <c r="G16" s="4" t="s">
        <v>53</v>
      </c>
      <c r="H16">
        <v>1834.8499999952039</v>
      </c>
    </row>
    <row r="17" spans="1:8" x14ac:dyDescent="0.3">
      <c r="A17" s="4" t="s">
        <v>52</v>
      </c>
      <c r="B17" s="8">
        <v>45293.978356481479</v>
      </c>
      <c r="C17" s="7">
        <f t="shared" si="0"/>
        <v>1827.7166666602716</v>
      </c>
      <c r="D17" s="7">
        <f t="shared" si="1"/>
        <v>1850.5166666675359</v>
      </c>
      <c r="G17" s="4" t="s">
        <v>54</v>
      </c>
      <c r="H17">
        <v>1841.04999999865</v>
      </c>
    </row>
    <row r="18" spans="1:8" x14ac:dyDescent="0.3">
      <c r="A18" s="4" t="s">
        <v>55</v>
      </c>
      <c r="B18" s="8">
        <v>45293.982291666667</v>
      </c>
      <c r="C18" s="7">
        <f t="shared" si="0"/>
        <v>1833.3833333314396</v>
      </c>
      <c r="D18" s="7">
        <f t="shared" si="1"/>
        <v>1856.183333338704</v>
      </c>
      <c r="G18" s="4" t="s">
        <v>56</v>
      </c>
      <c r="H18">
        <v>2461.049999997485</v>
      </c>
    </row>
    <row r="19" spans="1:8" x14ac:dyDescent="0.3">
      <c r="A19" s="4" t="s">
        <v>53</v>
      </c>
      <c r="B19" s="8">
        <v>45293.983310185176</v>
      </c>
      <c r="C19" s="7">
        <f t="shared" si="0"/>
        <v>1834.8499999847263</v>
      </c>
      <c r="D19" s="7">
        <f t="shared" si="1"/>
        <v>1857.6499999919906</v>
      </c>
      <c r="G19" s="4" t="s">
        <v>57</v>
      </c>
      <c r="H19">
        <v>2549.7166666667908</v>
      </c>
    </row>
    <row r="20" spans="1:8" x14ac:dyDescent="0.3">
      <c r="A20" s="4" t="s">
        <v>54</v>
      </c>
      <c r="B20" s="8">
        <v>45293.987615740742</v>
      </c>
      <c r="C20" s="7">
        <f t="shared" si="0"/>
        <v>1841.0499999986496</v>
      </c>
      <c r="D20" s="7">
        <f t="shared" si="1"/>
        <v>1863.8500000059139</v>
      </c>
    </row>
    <row r="21" spans="1:8" x14ac:dyDescent="0.3">
      <c r="A21" s="4" t="s">
        <v>56</v>
      </c>
      <c r="B21" s="8">
        <v>45294.418171296304</v>
      </c>
      <c r="C21" s="7">
        <f t="shared" si="0"/>
        <v>2461.0500000079628</v>
      </c>
      <c r="D21" s="7">
        <f t="shared" si="1"/>
        <v>2483.8500000152271</v>
      </c>
    </row>
    <row r="22" spans="1:8" x14ac:dyDescent="0.3">
      <c r="A22" s="4" t="s">
        <v>57</v>
      </c>
      <c r="B22" s="8">
        <v>45294.479745370372</v>
      </c>
      <c r="C22" s="7">
        <f t="shared" si="0"/>
        <v>2549.7166666667908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="91" workbookViewId="0">
      <selection activeCell="E8" sqref="E8"/>
    </sheetView>
  </sheetViews>
  <sheetFormatPr defaultRowHeight="14.4" x14ac:dyDescent="0.3"/>
  <sheetData>
    <row r="1" spans="1:4" x14ac:dyDescent="0.3">
      <c r="A1" t="s">
        <v>58</v>
      </c>
      <c r="B1" t="s">
        <v>59</v>
      </c>
      <c r="C1" t="s">
        <v>5</v>
      </c>
      <c r="D1" t="s">
        <v>6</v>
      </c>
    </row>
    <row r="2" spans="1:4" x14ac:dyDescent="0.3">
      <c r="A2">
        <v>0</v>
      </c>
      <c r="B2">
        <v>112.5</v>
      </c>
      <c r="C2">
        <v>0</v>
      </c>
      <c r="D2">
        <f t="shared" ref="D2:D17" si="0">SUM(B2:C2)</f>
        <v>112.5</v>
      </c>
    </row>
    <row r="3" spans="1:4" x14ac:dyDescent="0.3">
      <c r="A3">
        <v>228.50000000093129</v>
      </c>
      <c r="B3">
        <v>103.64533633545651</v>
      </c>
      <c r="C3">
        <v>8.9114939853887378</v>
      </c>
      <c r="D3">
        <f t="shared" si="0"/>
        <v>112.55683032084525</v>
      </c>
    </row>
    <row r="4" spans="1:4" x14ac:dyDescent="0.3">
      <c r="A4">
        <v>956.51666666613892</v>
      </c>
      <c r="B4">
        <v>89.029647645685841</v>
      </c>
      <c r="C4">
        <v>23.816342678245061</v>
      </c>
      <c r="D4">
        <f t="shared" si="0"/>
        <v>112.84599032393091</v>
      </c>
    </row>
    <row r="5" spans="1:4" x14ac:dyDescent="0.3">
      <c r="A5">
        <v>1001.3000000012109</v>
      </c>
      <c r="B5">
        <v>87.957110468521719</v>
      </c>
      <c r="C5">
        <v>24.350709010505291</v>
      </c>
      <c r="D5">
        <f t="shared" si="0"/>
        <v>112.30781947902702</v>
      </c>
    </row>
    <row r="6" spans="1:4" x14ac:dyDescent="0.3">
      <c r="A6">
        <v>1148.900000002468</v>
      </c>
      <c r="B6">
        <v>86.328151053990553</v>
      </c>
      <c r="C6">
        <v>26.150400355818871</v>
      </c>
      <c r="D6">
        <f t="shared" si="0"/>
        <v>112.47855140980943</v>
      </c>
    </row>
    <row r="7" spans="1:4" x14ac:dyDescent="0.3">
      <c r="A7">
        <v>1318.2999999972531</v>
      </c>
      <c r="B7">
        <v>84.665747338669803</v>
      </c>
      <c r="C7">
        <v>27.868529900919771</v>
      </c>
      <c r="D7">
        <f t="shared" si="0"/>
        <v>112.53427723958957</v>
      </c>
    </row>
    <row r="8" spans="1:4" x14ac:dyDescent="0.3">
      <c r="A8">
        <v>1361.0999999963681</v>
      </c>
      <c r="B8">
        <v>79.848957340809449</v>
      </c>
      <c r="C8">
        <v>31.968382773004091</v>
      </c>
      <c r="D8">
        <f t="shared" si="0"/>
        <v>111.81734011381354</v>
      </c>
    </row>
    <row r="9" spans="1:4" x14ac:dyDescent="0.3">
      <c r="A9">
        <v>1423.5166666691659</v>
      </c>
      <c r="B9">
        <v>72.698630998544928</v>
      </c>
      <c r="C9">
        <v>38.870445658559809</v>
      </c>
      <c r="D9">
        <f t="shared" si="0"/>
        <v>111.56907665710474</v>
      </c>
    </row>
    <row r="10" spans="1:4" x14ac:dyDescent="0.3">
      <c r="A10">
        <v>1634.28333332995</v>
      </c>
      <c r="B10">
        <v>56.73959912365271</v>
      </c>
      <c r="C10">
        <v>55.237860199540378</v>
      </c>
      <c r="D10">
        <f t="shared" si="0"/>
        <v>111.97745932319309</v>
      </c>
    </row>
    <row r="11" spans="1:4" x14ac:dyDescent="0.3">
      <c r="A11">
        <v>1656.2166666670239</v>
      </c>
      <c r="B11">
        <v>54.554985959636532</v>
      </c>
      <c r="C11">
        <v>55.201914553721203</v>
      </c>
      <c r="D11">
        <f t="shared" si="0"/>
        <v>109.75690051335773</v>
      </c>
    </row>
    <row r="12" spans="1:4" x14ac:dyDescent="0.3">
      <c r="A12">
        <v>1668.7333333259451</v>
      </c>
      <c r="B12">
        <v>54.164723636267873</v>
      </c>
      <c r="C12">
        <v>55.862953576380313</v>
      </c>
      <c r="D12">
        <f t="shared" si="0"/>
        <v>110.02767721264819</v>
      </c>
    </row>
    <row r="13" spans="1:4" x14ac:dyDescent="0.3">
      <c r="A13">
        <v>1827.716666660272</v>
      </c>
      <c r="B13">
        <v>47.517693522331527</v>
      </c>
      <c r="C13">
        <v>62.597221795458928</v>
      </c>
      <c r="D13">
        <f t="shared" si="0"/>
        <v>110.11491531779046</v>
      </c>
    </row>
    <row r="14" spans="1:4" x14ac:dyDescent="0.3">
      <c r="A14">
        <v>1834.8499999952039</v>
      </c>
      <c r="B14">
        <v>46.057833732976178</v>
      </c>
      <c r="C14">
        <v>62.37857140757017</v>
      </c>
      <c r="D14">
        <f t="shared" si="0"/>
        <v>108.43640514054636</v>
      </c>
    </row>
    <row r="15" spans="1:4" x14ac:dyDescent="0.3">
      <c r="A15">
        <v>1841.04999999865</v>
      </c>
      <c r="B15">
        <v>44.581416538429181</v>
      </c>
      <c r="C15">
        <v>64.362344886686927</v>
      </c>
      <c r="D15">
        <f t="shared" si="0"/>
        <v>108.94376142511611</v>
      </c>
    </row>
    <row r="16" spans="1:4" x14ac:dyDescent="0.3">
      <c r="A16">
        <v>2461.049999997485</v>
      </c>
      <c r="B16">
        <v>3.1511318360687062</v>
      </c>
      <c r="C16">
        <v>108.2354830445893</v>
      </c>
      <c r="D16">
        <f t="shared" si="0"/>
        <v>111.386614880658</v>
      </c>
    </row>
    <row r="17" spans="1:4" x14ac:dyDescent="0.3">
      <c r="A17">
        <v>2549.7166666667908</v>
      </c>
      <c r="B17">
        <v>2.202971001807895</v>
      </c>
      <c r="C17">
        <v>107.2939691976985</v>
      </c>
      <c r="D17">
        <f t="shared" si="0"/>
        <v>109.4969401995064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C4_E9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2024-12-05T08:13:59Z</dcterms:created>
  <dcterms:modified xsi:type="dcterms:W3CDTF">2026-01-12T11:18:29Z</dcterms:modified>
</cp:coreProperties>
</file>
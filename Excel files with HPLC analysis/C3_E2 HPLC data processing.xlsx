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B0E462011F66F84D7054930A367CB79654D14CAE" xr6:coauthVersionLast="47" xr6:coauthVersionMax="47" xr10:uidLastSave="{952C4074-A31E-4708-AC22-48545F81E6A0}"/>
  <bookViews>
    <workbookView xWindow="29940" yWindow="2280" windowWidth="10860" windowHeight="7110" activeTab="2" xr2:uid="{00000000-000D-0000-FFFF-FFFF00000000}"/>
  </bookViews>
  <sheets>
    <sheet name="C3_E2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H8" i="2" s="1"/>
  <c r="H13" i="2"/>
  <c r="C13" i="2"/>
  <c r="H12" i="2"/>
  <c r="C12" i="2"/>
  <c r="H7" i="2" s="1"/>
  <c r="H11" i="2"/>
  <c r="C11" i="2"/>
  <c r="H6" i="2" s="1"/>
  <c r="H10" i="2"/>
  <c r="C10" i="2"/>
  <c r="H5" i="2" s="1"/>
  <c r="H9" i="2"/>
  <c r="C9" i="2"/>
  <c r="C8" i="2"/>
  <c r="C7" i="2"/>
  <c r="C6" i="2"/>
  <c r="C5" i="2"/>
  <c r="H4" i="2"/>
  <c r="C4" i="2"/>
  <c r="F4" i="2" s="1"/>
  <c r="H3" i="2"/>
  <c r="C3" i="2"/>
  <c r="F3" i="2" s="1"/>
  <c r="H2" i="2"/>
  <c r="C2" i="2"/>
  <c r="F2" i="2" s="1"/>
  <c r="F1" i="2"/>
  <c r="C1" i="2"/>
  <c r="H1" i="2" s="1"/>
  <c r="H18" i="1"/>
  <c r="I18" i="1" s="1"/>
  <c r="D18" i="1"/>
  <c r="E18" i="1" s="1"/>
  <c r="H17" i="1"/>
  <c r="I17" i="1" s="1"/>
  <c r="D17" i="1"/>
  <c r="E17" i="1" s="1"/>
  <c r="I16" i="1"/>
  <c r="J16" i="1" s="1"/>
  <c r="H16" i="1"/>
  <c r="D16" i="1"/>
  <c r="E16" i="1" s="1"/>
  <c r="F16" i="1" s="1"/>
  <c r="H15" i="1"/>
  <c r="I15" i="1" s="1"/>
  <c r="J15" i="1" s="1"/>
  <c r="D15" i="1"/>
  <c r="E15" i="1" s="1"/>
  <c r="F15" i="1" s="1"/>
  <c r="K15" i="1" s="1"/>
  <c r="H14" i="1"/>
  <c r="I14" i="1" s="1"/>
  <c r="J14" i="1" s="1"/>
  <c r="D14" i="1"/>
  <c r="E14" i="1" s="1"/>
  <c r="F14" i="1" s="1"/>
  <c r="K14" i="1" s="1"/>
  <c r="J13" i="1"/>
  <c r="I13" i="1"/>
  <c r="H13" i="1"/>
  <c r="D13" i="1"/>
  <c r="E13" i="1" s="1"/>
  <c r="F13" i="1" s="1"/>
  <c r="K13" i="1" s="1"/>
  <c r="H12" i="1"/>
  <c r="I12" i="1" s="1"/>
  <c r="J12" i="1" s="1"/>
  <c r="D12" i="1"/>
  <c r="E12" i="1" s="1"/>
  <c r="F12" i="1" s="1"/>
  <c r="K12" i="1" s="1"/>
  <c r="H11" i="1"/>
  <c r="I11" i="1" s="1"/>
  <c r="J11" i="1" s="1"/>
  <c r="D11" i="1"/>
  <c r="E11" i="1" s="1"/>
  <c r="F11" i="1" s="1"/>
  <c r="K11" i="1" s="1"/>
  <c r="H10" i="1"/>
  <c r="I10" i="1" s="1"/>
  <c r="J10" i="1" s="1"/>
  <c r="D10" i="1"/>
  <c r="E10" i="1" s="1"/>
  <c r="F10" i="1" s="1"/>
  <c r="H9" i="1"/>
  <c r="I9" i="1" s="1"/>
  <c r="J9" i="1" s="1"/>
  <c r="D9" i="1"/>
  <c r="E9" i="1" s="1"/>
  <c r="F9" i="1" s="1"/>
  <c r="K9" i="1" s="1"/>
  <c r="H8" i="1"/>
  <c r="I8" i="1" s="1"/>
  <c r="J8" i="1" s="1"/>
  <c r="D8" i="1"/>
  <c r="E8" i="1" s="1"/>
  <c r="F8" i="1" s="1"/>
  <c r="K8" i="1" s="1"/>
  <c r="H7" i="1"/>
  <c r="I7" i="1" s="1"/>
  <c r="J7" i="1" s="1"/>
  <c r="E7" i="1"/>
  <c r="F7" i="1" s="1"/>
  <c r="K7" i="1" s="1"/>
  <c r="D7" i="1"/>
  <c r="H6" i="1"/>
  <c r="I6" i="1" s="1"/>
  <c r="J6" i="1" s="1"/>
  <c r="D6" i="1"/>
  <c r="E6" i="1" s="1"/>
  <c r="F6" i="1" s="1"/>
  <c r="K6" i="1" s="1"/>
  <c r="H5" i="1"/>
  <c r="I5" i="1" s="1"/>
  <c r="J5" i="1" s="1"/>
  <c r="E5" i="1"/>
  <c r="F5" i="1" s="1"/>
  <c r="K5" i="1" s="1"/>
  <c r="D5" i="1"/>
  <c r="H4" i="1"/>
  <c r="I4" i="1" s="1"/>
  <c r="J4" i="1" s="1"/>
  <c r="D4" i="1"/>
  <c r="E4" i="1" s="1"/>
  <c r="F4" i="1" s="1"/>
  <c r="K4" i="1" s="1"/>
  <c r="K16" i="1" l="1"/>
  <c r="K10" i="1"/>
</calcChain>
</file>

<file path=xl/sharedStrings.xml><?xml version="1.0" encoding="utf-8"?>
<sst xmlns="http://schemas.openxmlformats.org/spreadsheetml/2006/main" count="79" uniqueCount="65">
  <si>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</si>
  <si>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</si>
  <si>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</si>
  <si>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</si>
  <si>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</si>
  <si>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</si>
  <si>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</si>
  <si>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</si>
  <si>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Piperidine</t>
  </si>
  <si>
    <t>C3_E2-S0</t>
  </si>
  <si>
    <t>Ar-4SO2Me-Oph</t>
  </si>
  <si>
    <t>C3_E2-S1</t>
  </si>
  <si>
    <t>C3_E2-S2</t>
  </si>
  <si>
    <t>C3_E2-S3</t>
  </si>
  <si>
    <t>C3_E2-S4</t>
  </si>
  <si>
    <t>C3_E2-S5</t>
  </si>
  <si>
    <t>C3_E2-S6</t>
  </si>
  <si>
    <t>C3_E2-S7</t>
  </si>
  <si>
    <t>C3_E2-S8</t>
  </si>
  <si>
    <t>C3_E2-S9</t>
  </si>
  <si>
    <t>Phenol</t>
  </si>
  <si>
    <t>C3_E2-S10</t>
  </si>
  <si>
    <t>C3_E2-S11</t>
  </si>
  <si>
    <t>C3_E2-S12</t>
  </si>
  <si>
    <t>C3_E2-S80</t>
  </si>
  <si>
    <t>C3_E2-S92</t>
  </si>
  <si>
    <t>CC 4SO2Me-ArOPh 254 nm</t>
  </si>
  <si>
    <t>CC Product 254 nm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</si>
  <si>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</si>
  <si>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</si>
  <si>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</si>
  <si>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</si>
  <si>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</si>
  <si>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</si>
  <si>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</si>
  <si>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</si>
  <si>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</si>
  <si>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</si>
  <si>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</si>
  <si>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</si>
  <si>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</si>
  <si>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</si>
  <si>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</si>
  <si>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</si>
  <si>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S2: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</si>
  <si>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</si>
  <si>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</si>
  <si>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</si>
  <si>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</si>
  <si>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</si>
  <si>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</si>
  <si>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</si>
  <si>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</si>
  <si>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</si>
  <si>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</si>
  <si>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</si>
  <si>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</si>
  <si>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S8:</t>
  </si>
  <si>
    <t>S9:</t>
  </si>
  <si>
    <t>S10:</t>
  </si>
  <si>
    <t>S11:</t>
  </si>
  <si>
    <t>S12: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</si>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</sst>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6659260953376"/>
          <c:y val="0.17538419035378203"/>
          <c:w val="0.81318347654675949"/>
          <c:h val="0.53996086050299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5.4999999999999014</c:v>
                </c:pt>
                <c:pt idx="2">
                  <c:v>15.866666666666539</c:v>
                </c:pt>
                <c:pt idx="3">
                  <c:v>33.516666666666573</c:v>
                </c:pt>
                <c:pt idx="4">
                  <c:v>47.150000000000013</c:v>
                </c:pt>
                <c:pt idx="5">
                  <c:v>52.20000000000001</c:v>
                </c:pt>
                <c:pt idx="6">
                  <c:v>55.433333333333259</c:v>
                </c:pt>
                <c:pt idx="7">
                  <c:v>59.933333333333323</c:v>
                </c:pt>
                <c:pt idx="8">
                  <c:v>69.56666666666662</c:v>
                </c:pt>
                <c:pt idx="9">
                  <c:v>77.29999999999994</c:v>
                </c:pt>
                <c:pt idx="10">
                  <c:v>89.249999999999872</c:v>
                </c:pt>
                <c:pt idx="11">
                  <c:v>96.433333333333266</c:v>
                </c:pt>
                <c:pt idx="12">
                  <c:v>116.0333333333333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112.4212132359152</c:v>
                </c:pt>
                <c:pt idx="1">
                  <c:v>104.22550013093721</c:v>
                </c:pt>
                <c:pt idx="2">
                  <c:v>96.621809584301886</c:v>
                </c:pt>
                <c:pt idx="3">
                  <c:v>87.275533147339559</c:v>
                </c:pt>
                <c:pt idx="4">
                  <c:v>80.302496735864892</c:v>
                </c:pt>
                <c:pt idx="5">
                  <c:v>70.538989080665232</c:v>
                </c:pt>
                <c:pt idx="6">
                  <c:v>64.260551839627809</c:v>
                </c:pt>
                <c:pt idx="7">
                  <c:v>58.472467603696032</c:v>
                </c:pt>
                <c:pt idx="8">
                  <c:v>49.357124118209732</c:v>
                </c:pt>
                <c:pt idx="9">
                  <c:v>45.016343143344344</c:v>
                </c:pt>
                <c:pt idx="10">
                  <c:v>32.563261434861779</c:v>
                </c:pt>
                <c:pt idx="11">
                  <c:v>18.860945597599851</c:v>
                </c:pt>
                <c:pt idx="12">
                  <c:v>6.4678218263030596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0-4F77-BA33-B6F1E8494057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5.4999999999999014</c:v>
                </c:pt>
                <c:pt idx="2">
                  <c:v>15.866666666666539</c:v>
                </c:pt>
                <c:pt idx="3">
                  <c:v>33.516666666666573</c:v>
                </c:pt>
                <c:pt idx="4">
                  <c:v>47.150000000000013</c:v>
                </c:pt>
                <c:pt idx="5">
                  <c:v>52.20000000000001</c:v>
                </c:pt>
                <c:pt idx="6">
                  <c:v>55.433333333333259</c:v>
                </c:pt>
                <c:pt idx="7">
                  <c:v>59.933333333333323</c:v>
                </c:pt>
                <c:pt idx="8">
                  <c:v>69.56666666666662</c:v>
                </c:pt>
                <c:pt idx="9">
                  <c:v>77.29999999999994</c:v>
                </c:pt>
                <c:pt idx="10">
                  <c:v>89.249999999999872</c:v>
                </c:pt>
                <c:pt idx="11">
                  <c:v>96.433333333333266</c:v>
                </c:pt>
                <c:pt idx="12">
                  <c:v>116.0333333333333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6.9180886957579819</c:v>
                </c:pt>
                <c:pt idx="2">
                  <c:v>15.58962437595812</c:v>
                </c:pt>
                <c:pt idx="3">
                  <c:v>23.838167888789531</c:v>
                </c:pt>
                <c:pt idx="4">
                  <c:v>32.696361188013753</c:v>
                </c:pt>
                <c:pt idx="5">
                  <c:v>43.520041399549477</c:v>
                </c:pt>
                <c:pt idx="6">
                  <c:v>48.287040462840508</c:v>
                </c:pt>
                <c:pt idx="7">
                  <c:v>53.796568703587489</c:v>
                </c:pt>
                <c:pt idx="8">
                  <c:v>63.009966844022138</c:v>
                </c:pt>
                <c:pt idx="9">
                  <c:v>68.128932404139562</c:v>
                </c:pt>
                <c:pt idx="10">
                  <c:v>77.036340595099375</c:v>
                </c:pt>
                <c:pt idx="11">
                  <c:v>91.940867161208601</c:v>
                </c:pt>
                <c:pt idx="12">
                  <c:v>106.9720537087836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0-4F77-BA33-B6F1E849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61440"/>
        <c:axId val="1658966720"/>
      </c:scatterChart>
      <c:valAx>
        <c:axId val="165896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966720"/>
        <c:crosses val="autoZero"/>
        <c:crossBetween val="midCat"/>
      </c:valAx>
      <c:valAx>
        <c:axId val="16589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96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158115</xdr:colOff>
      <xdr:row>0</xdr:row>
      <xdr:rowOff>66681</xdr:rowOff>
    </xdr:from>
    <xdr:to>
      <xdr:col>10</xdr:col>
      <xdr:colOff>462915</xdr:colOff>
      <xdr:row>15</xdr:row>
      <xdr:rowOff>93351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2F2D4-5734-275B-B8C7-ECE3768F4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J4" sqref="J4:J16"/>
    </sheetView>
  </sheetViews>
  <sheetFormatPr defaultRowHeight="14.4" x14ac:dyDescent="0.3"/>
  <cols>
    <col min="1" max="1" width="23.44140625" bestFit="1" customWidth="1"/>
    <col min="5" max="5" width="13.109375" bestFit="1" customWidth="1"/>
    <col min="13" max="13" width="14.66406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5.2055761655171704</v>
      </c>
      <c r="C3">
        <v>3.1254535547892202</v>
      </c>
      <c r="G3">
        <v>2.6137349096934002</v>
      </c>
      <c r="I3">
        <v>0</v>
      </c>
      <c r="M3" t="s">
        <v>8</v>
      </c>
      <c r="N3">
        <v>36.671535693708996</v>
      </c>
    </row>
    <row r="4" spans="1:14" x14ac:dyDescent="0.3">
      <c r="A4" t="s">
        <v>9</v>
      </c>
      <c r="B4">
        <v>153.413497924805</v>
      </c>
      <c r="C4">
        <v>1064.85668945313</v>
      </c>
      <c r="D4">
        <f t="shared" ref="D4:D18" si="0">C4/B4</f>
        <v>6.9410886516326302</v>
      </c>
      <c r="E4">
        <f t="shared" ref="E4:E18" si="1">D4/$B$20</f>
        <v>11.922172194490948</v>
      </c>
      <c r="F4" s="4">
        <f>E4*$N$5</f>
        <v>112.4212132359152</v>
      </c>
      <c r="G4">
        <v>0</v>
      </c>
      <c r="H4">
        <f t="shared" ref="H4:H18" si="2">G4/B4</f>
        <v>0</v>
      </c>
      <c r="I4">
        <f t="shared" ref="I4:I18" si="3">H4/$B$21</f>
        <v>0</v>
      </c>
      <c r="J4" s="4">
        <f>I4*$N$5</f>
        <v>0</v>
      </c>
      <c r="K4">
        <f t="shared" ref="K4:K16" si="4">SUM(F4,J4)</f>
        <v>112.4212132359152</v>
      </c>
      <c r="M4" t="s">
        <v>10</v>
      </c>
      <c r="N4">
        <v>112.3129528688545</v>
      </c>
    </row>
    <row r="5" spans="1:14" x14ac:dyDescent="0.3">
      <c r="A5" t="s">
        <v>11</v>
      </c>
      <c r="B5">
        <v>233.06480407714901</v>
      </c>
      <c r="C5">
        <v>1499.78845214844</v>
      </c>
      <c r="D5">
        <f t="shared" si="0"/>
        <v>6.4350705293622141</v>
      </c>
      <c r="E5">
        <f t="shared" si="1"/>
        <v>11.053023925390267</v>
      </c>
      <c r="F5" s="4">
        <f>E5*$N$5</f>
        <v>104.22550013093718</v>
      </c>
      <c r="G5">
        <v>106.69757080078099</v>
      </c>
      <c r="H5">
        <f t="shared" si="2"/>
        <v>0.45780216031873272</v>
      </c>
      <c r="I5">
        <f t="shared" si="3"/>
        <v>0.73365730820309727</v>
      </c>
      <c r="J5" s="4">
        <f>I5*$N$5</f>
        <v>6.9180886957579819</v>
      </c>
      <c r="K5">
        <f t="shared" si="4"/>
        <v>111.14358882669517</v>
      </c>
      <c r="M5" t="s">
        <v>1</v>
      </c>
      <c r="N5">
        <v>9.4295914705764208</v>
      </c>
    </row>
    <row r="6" spans="1:14" x14ac:dyDescent="0.3">
      <c r="A6" t="s">
        <v>12</v>
      </c>
      <c r="B6">
        <v>223.66481018066401</v>
      </c>
      <c r="C6">
        <v>1334.2958984375</v>
      </c>
      <c r="D6">
        <f t="shared" si="0"/>
        <v>5.965604948582345</v>
      </c>
      <c r="E6">
        <f t="shared" si="1"/>
        <v>10.246659135318351</v>
      </c>
      <c r="F6" s="4">
        <f>E6*$N$5</f>
        <v>96.621809584301886</v>
      </c>
      <c r="G6">
        <v>230.741134643555</v>
      </c>
      <c r="H6">
        <f t="shared" si="2"/>
        <v>1.031638076893612</v>
      </c>
      <c r="I6">
        <f t="shared" si="3"/>
        <v>1.6532661488679679</v>
      </c>
      <c r="J6" s="4">
        <f>I6*$N$5</f>
        <v>15.589624375958117</v>
      </c>
      <c r="K6">
        <f t="shared" si="4"/>
        <v>112.21143396026</v>
      </c>
      <c r="N6">
        <v>0</v>
      </c>
    </row>
    <row r="7" spans="1:14" x14ac:dyDescent="0.3">
      <c r="A7" t="s">
        <v>13</v>
      </c>
      <c r="B7">
        <v>129.24403381347699</v>
      </c>
      <c r="C7">
        <v>696.43780517578205</v>
      </c>
      <c r="D7">
        <f t="shared" si="0"/>
        <v>5.3885489691606994</v>
      </c>
      <c r="E7">
        <f t="shared" si="1"/>
        <v>9.2554946223990022</v>
      </c>
      <c r="F7" s="4">
        <f>E7*$N$5</f>
        <v>87.275533147339559</v>
      </c>
      <c r="G7">
        <v>203.88021850586</v>
      </c>
      <c r="H7">
        <f t="shared" si="2"/>
        <v>1.577482631036546</v>
      </c>
      <c r="I7">
        <f t="shared" si="3"/>
        <v>2.5280170369175416</v>
      </c>
      <c r="J7" s="4">
        <f>I7*$N$5</f>
        <v>23.838167888789528</v>
      </c>
      <c r="K7">
        <f t="shared" si="4"/>
        <v>111.11370103612909</v>
      </c>
    </row>
    <row r="8" spans="1:14" x14ac:dyDescent="0.3">
      <c r="A8" t="s">
        <v>14</v>
      </c>
      <c r="B8">
        <v>505.96319580078199</v>
      </c>
      <c r="C8">
        <v>2527.279296875</v>
      </c>
      <c r="D8">
        <f t="shared" si="0"/>
        <v>4.9949864295467279</v>
      </c>
      <c r="E8">
        <f t="shared" si="1"/>
        <v>8.5795026271843486</v>
      </c>
      <c r="F8" s="5">
        <f>E8*$N$12</f>
        <v>80.302496735864892</v>
      </c>
      <c r="G8">
        <v>1102.89965820313</v>
      </c>
      <c r="H8">
        <f t="shared" si="2"/>
        <v>2.1798021424415737</v>
      </c>
      <c r="I8">
        <f t="shared" si="3"/>
        <v>3.4932726641691887</v>
      </c>
      <c r="J8" s="5">
        <f>I8*$N$12</f>
        <v>32.696361188013746</v>
      </c>
      <c r="K8">
        <f t="shared" si="4"/>
        <v>112.99885792387863</v>
      </c>
    </row>
    <row r="9" spans="1:14" x14ac:dyDescent="0.3">
      <c r="A9" t="s">
        <v>15</v>
      </c>
      <c r="B9">
        <v>290.54479980468801</v>
      </c>
      <c r="C9">
        <v>1274.81628417969</v>
      </c>
      <c r="D9">
        <f t="shared" si="0"/>
        <v>4.3876754463912473</v>
      </c>
      <c r="E9">
        <f t="shared" si="1"/>
        <v>7.5363714297341922</v>
      </c>
      <c r="F9" s="5">
        <f>E9*$N$12</f>
        <v>70.538989080665232</v>
      </c>
      <c r="G9">
        <v>842.98541259765705</v>
      </c>
      <c r="H9">
        <f t="shared" si="2"/>
        <v>2.9013956304306063</v>
      </c>
      <c r="I9">
        <f t="shared" si="3"/>
        <v>4.6496724846644328</v>
      </c>
      <c r="J9" s="5">
        <f>I9*$N$12</f>
        <v>43.520041399549484</v>
      </c>
      <c r="K9">
        <f t="shared" si="4"/>
        <v>114.05903048021472</v>
      </c>
    </row>
    <row r="10" spans="1:14" x14ac:dyDescent="0.3">
      <c r="A10" t="s">
        <v>16</v>
      </c>
      <c r="B10">
        <v>244.44145202636699</v>
      </c>
      <c r="C10">
        <v>977.06750488281295</v>
      </c>
      <c r="D10">
        <f t="shared" si="0"/>
        <v>3.9971432700269687</v>
      </c>
      <c r="E10">
        <f t="shared" si="1"/>
        <v>6.8655844555598904</v>
      </c>
      <c r="F10" s="5">
        <f>E10*$N$12</f>
        <v>64.260551839627809</v>
      </c>
      <c r="G10">
        <v>786.90643310546898</v>
      </c>
      <c r="H10">
        <f t="shared" si="2"/>
        <v>3.2192020894254396</v>
      </c>
      <c r="I10">
        <f t="shared" si="3"/>
        <v>5.1589777074125633</v>
      </c>
      <c r="J10" s="5">
        <f>I10*$N$12</f>
        <v>48.287040462840508</v>
      </c>
      <c r="K10">
        <f t="shared" si="4"/>
        <v>112.54759230246832</v>
      </c>
      <c r="M10" t="s">
        <v>8</v>
      </c>
      <c r="N10">
        <v>111.3175540516912</v>
      </c>
    </row>
    <row r="11" spans="1:14" x14ac:dyDescent="0.3">
      <c r="A11" t="s">
        <v>17</v>
      </c>
      <c r="B11">
        <v>253.63111877441401</v>
      </c>
      <c r="C11">
        <v>932.96417236328205</v>
      </c>
      <c r="D11">
        <f t="shared" si="0"/>
        <v>3.6784294327585418</v>
      </c>
      <c r="E11">
        <f t="shared" si="1"/>
        <v>6.3181542987951591</v>
      </c>
      <c r="F11" s="6">
        <f>E11*$N$20</f>
        <v>58.472467603696032</v>
      </c>
      <c r="G11">
        <v>919.98449707031295</v>
      </c>
      <c r="H11">
        <f t="shared" si="2"/>
        <v>3.6272540274861567</v>
      </c>
      <c r="I11">
        <f t="shared" si="3"/>
        <v>5.8129070953303792</v>
      </c>
      <c r="J11" s="6">
        <f>I11*$N$20</f>
        <v>53.796568703587489</v>
      </c>
      <c r="K11">
        <f t="shared" si="4"/>
        <v>112.26903630728353</v>
      </c>
      <c r="M11" t="s">
        <v>10</v>
      </c>
      <c r="N11">
        <v>111.4817826754344</v>
      </c>
    </row>
    <row r="12" spans="1:14" x14ac:dyDescent="0.3">
      <c r="A12" t="s">
        <v>18</v>
      </c>
      <c r="B12">
        <v>338.90689086914102</v>
      </c>
      <c r="C12">
        <v>1052.30407714844</v>
      </c>
      <c r="D12">
        <f t="shared" si="0"/>
        <v>3.1049946327434115</v>
      </c>
      <c r="E12">
        <f t="shared" si="1"/>
        <v>5.3332096062236536</v>
      </c>
      <c r="F12" s="6">
        <f>E12*$N$20</f>
        <v>49.357124118209732</v>
      </c>
      <c r="G12">
        <v>1439.83605957031</v>
      </c>
      <c r="H12">
        <f t="shared" si="2"/>
        <v>4.2484708879119859</v>
      </c>
      <c r="I12">
        <f t="shared" si="3"/>
        <v>6.8084469357563879</v>
      </c>
      <c r="J12" s="6">
        <f>I12*$N$20</f>
        <v>63.009966844022138</v>
      </c>
      <c r="K12">
        <f t="shared" si="4"/>
        <v>112.36709096223187</v>
      </c>
      <c r="M12" t="s">
        <v>1</v>
      </c>
      <c r="N12">
        <v>9.3598079312225639</v>
      </c>
    </row>
    <row r="13" spans="1:14" x14ac:dyDescent="0.3">
      <c r="A13" t="s">
        <v>19</v>
      </c>
      <c r="B13">
        <v>183.35981750488301</v>
      </c>
      <c r="C13">
        <v>519.26062011718795</v>
      </c>
      <c r="D13">
        <f t="shared" si="0"/>
        <v>2.8319215582953974</v>
      </c>
      <c r="E13">
        <f t="shared" si="1"/>
        <v>4.864173064746474</v>
      </c>
      <c r="F13" s="6">
        <f>E13*$N$20</f>
        <v>45.016343143344344</v>
      </c>
      <c r="G13">
        <v>842.28515625</v>
      </c>
      <c r="H13">
        <f t="shared" si="2"/>
        <v>4.5936190802958743</v>
      </c>
      <c r="I13">
        <f t="shared" si="3"/>
        <v>7.3615690389356958</v>
      </c>
      <c r="J13" s="6">
        <f>I13*$N$20</f>
        <v>68.128932404139562</v>
      </c>
      <c r="K13">
        <f t="shared" si="4"/>
        <v>113.14527554748391</v>
      </c>
      <c r="M13" t="s">
        <v>20</v>
      </c>
      <c r="N13">
        <v>0</v>
      </c>
    </row>
    <row r="14" spans="1:14" x14ac:dyDescent="0.3">
      <c r="A14" t="s">
        <v>21</v>
      </c>
      <c r="B14">
        <v>161.962005615235</v>
      </c>
      <c r="C14" s="7">
        <v>336.71560699999998</v>
      </c>
      <c r="D14">
        <f t="shared" si="0"/>
        <v>2.0789789909117222</v>
      </c>
      <c r="E14">
        <f t="shared" si="1"/>
        <v>3.5709017363650326</v>
      </c>
      <c r="F14" s="8">
        <f>E14*$N$28</f>
        <v>32.563261434861779</v>
      </c>
      <c r="G14" s="7">
        <v>853.774902</v>
      </c>
      <c r="H14">
        <f t="shared" si="2"/>
        <v>5.2714517751050218</v>
      </c>
      <c r="I14">
        <f t="shared" si="3"/>
        <v>8.4478393831811243</v>
      </c>
      <c r="J14" s="8">
        <f>I14*$N$28</f>
        <v>77.036340595099375</v>
      </c>
      <c r="K14">
        <f t="shared" si="4"/>
        <v>109.59960202996115</v>
      </c>
    </row>
    <row r="15" spans="1:14" x14ac:dyDescent="0.3">
      <c r="A15" t="s">
        <v>22</v>
      </c>
      <c r="B15">
        <v>330.6904296875</v>
      </c>
      <c r="C15" s="7">
        <v>398.205536</v>
      </c>
      <c r="D15">
        <f t="shared" si="0"/>
        <v>1.2041640768869581</v>
      </c>
      <c r="E15">
        <f t="shared" si="1"/>
        <v>2.0682996854808624</v>
      </c>
      <c r="F15" s="8">
        <f>E15*$N$28</f>
        <v>18.860945597599848</v>
      </c>
      <c r="G15" s="7">
        <v>2080.4860840000001</v>
      </c>
      <c r="H15">
        <f t="shared" si="2"/>
        <v>6.2913404720119779</v>
      </c>
      <c r="I15">
        <f t="shared" si="3"/>
        <v>10.082276397455093</v>
      </c>
      <c r="J15" s="8">
        <f>I15*$N$28</f>
        <v>91.940867161208601</v>
      </c>
      <c r="K15">
        <f t="shared" si="4"/>
        <v>110.80181275880845</v>
      </c>
    </row>
    <row r="16" spans="1:14" x14ac:dyDescent="0.3">
      <c r="A16" t="s">
        <v>23</v>
      </c>
      <c r="B16">
        <v>213.558517456055</v>
      </c>
      <c r="C16">
        <v>88.185493469238295</v>
      </c>
      <c r="D16">
        <f t="shared" si="0"/>
        <v>0.41293362830815056</v>
      </c>
      <c r="E16">
        <f t="shared" si="1"/>
        <v>0.70926421901090775</v>
      </c>
      <c r="F16" s="8">
        <f>E16*$N$28</f>
        <v>6.4678218263030596</v>
      </c>
      <c r="G16" s="7">
        <v>1563.2261960000001</v>
      </c>
      <c r="H16">
        <f t="shared" si="2"/>
        <v>7.3198962730281778</v>
      </c>
      <c r="I16">
        <f t="shared" si="3"/>
        <v>11.730603001647721</v>
      </c>
      <c r="J16" s="8">
        <f>I16*$N$28</f>
        <v>106.97205370878365</v>
      </c>
      <c r="K16">
        <f t="shared" si="4"/>
        <v>113.43987553508671</v>
      </c>
    </row>
    <row r="17" spans="1:14" x14ac:dyDescent="0.3">
      <c r="A17" t="s">
        <v>24</v>
      </c>
      <c r="B17">
        <v>150.27723693847699</v>
      </c>
      <c r="C17">
        <v>1055.5673828125</v>
      </c>
      <c r="D17">
        <f t="shared" si="0"/>
        <v>7.0241335568649417</v>
      </c>
      <c r="E17">
        <f t="shared" si="1"/>
        <v>12.064812017974822</v>
      </c>
      <c r="G17">
        <v>0</v>
      </c>
      <c r="H17">
        <f t="shared" si="2"/>
        <v>0</v>
      </c>
      <c r="I17">
        <f t="shared" si="3"/>
        <v>0</v>
      </c>
    </row>
    <row r="18" spans="1:14" x14ac:dyDescent="0.3">
      <c r="A18" t="s">
        <v>25</v>
      </c>
      <c r="B18">
        <v>156.72613525390599</v>
      </c>
      <c r="C18" s="7">
        <v>435.05059799999998</v>
      </c>
      <c r="D18">
        <f t="shared" si="0"/>
        <v>2.7758650291171363</v>
      </c>
      <c r="E18">
        <f t="shared" si="1"/>
        <v>4.7678890915787289</v>
      </c>
      <c r="G18" s="7">
        <v>721.86236599999995</v>
      </c>
      <c r="H18">
        <f t="shared" si="2"/>
        <v>4.6058837910507933</v>
      </c>
      <c r="I18">
        <f t="shared" si="3"/>
        <v>7.3812240241198612</v>
      </c>
      <c r="M18" t="s">
        <v>8</v>
      </c>
      <c r="N18">
        <v>110.06719843125281</v>
      </c>
    </row>
    <row r="19" spans="1:14" x14ac:dyDescent="0.3">
      <c r="M19" t="s">
        <v>10</v>
      </c>
      <c r="N19">
        <v>110.2295823847237</v>
      </c>
    </row>
    <row r="20" spans="1:14" x14ac:dyDescent="0.3">
      <c r="A20" t="s">
        <v>26</v>
      </c>
      <c r="B20">
        <v>0.58220000000000005</v>
      </c>
      <c r="E20" s="7"/>
      <c r="M20" t="s">
        <v>1</v>
      </c>
      <c r="N20">
        <v>9.2546754698356199</v>
      </c>
    </row>
    <row r="21" spans="1:14" x14ac:dyDescent="0.3">
      <c r="A21" t="s">
        <v>27</v>
      </c>
      <c r="B21">
        <v>0.624</v>
      </c>
      <c r="M21" t="s">
        <v>20</v>
      </c>
      <c r="N21">
        <v>127.7079400636958</v>
      </c>
    </row>
    <row r="26" spans="1:14" x14ac:dyDescent="0.3">
      <c r="M26" t="s">
        <v>8</v>
      </c>
      <c r="N26">
        <v>256.80027497864972</v>
      </c>
    </row>
    <row r="27" spans="1:14" x14ac:dyDescent="0.3">
      <c r="M27" t="s">
        <v>10</v>
      </c>
      <c r="N27">
        <v>108.6142892016382</v>
      </c>
    </row>
    <row r="28" spans="1:14" x14ac:dyDescent="0.3">
      <c r="M28" t="s">
        <v>1</v>
      </c>
      <c r="N28">
        <v>9.1190583888788996</v>
      </c>
    </row>
    <row r="29" spans="1:14" x14ac:dyDescent="0.3">
      <c r="M29" t="s">
        <v>20</v>
      </c>
      <c r="N29">
        <v>125.8365207899585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F1" sqref="F1:F4"/>
    </sheetView>
  </sheetViews>
  <sheetFormatPr defaultRowHeight="14.4" x14ac:dyDescent="0.3"/>
  <sheetData>
    <row r="1" spans="1:8" x14ac:dyDescent="0.3">
      <c r="A1" s="1" t="s">
        <v>28</v>
      </c>
      <c r="B1" s="2">
        <v>0.66003472222222226</v>
      </c>
      <c r="C1" s="3">
        <f t="shared" ref="C1:C20" si="0">(B1-$B$1)*86400/60</f>
        <v>0</v>
      </c>
      <c r="E1" t="s">
        <v>29</v>
      </c>
      <c r="F1" s="3">
        <f>C1</f>
        <v>0</v>
      </c>
      <c r="G1" t="s">
        <v>30</v>
      </c>
      <c r="H1" s="3">
        <f>C1</f>
        <v>0</v>
      </c>
    </row>
    <row r="2" spans="1:8" x14ac:dyDescent="0.3">
      <c r="A2" s="1" t="s">
        <v>31</v>
      </c>
      <c r="B2" s="2">
        <v>0.6915972222222222</v>
      </c>
      <c r="C2" s="3">
        <f t="shared" si="0"/>
        <v>45.44999999999991</v>
      </c>
      <c r="E2" t="s">
        <v>32</v>
      </c>
      <c r="F2" s="3">
        <f>C2</f>
        <v>45.44999999999991</v>
      </c>
      <c r="G2" t="s">
        <v>33</v>
      </c>
      <c r="H2" s="3">
        <f>C6</f>
        <v>5.4999999999999005</v>
      </c>
    </row>
    <row r="3" spans="1:8" x14ac:dyDescent="0.3">
      <c r="A3" s="1" t="s">
        <v>34</v>
      </c>
      <c r="B3" s="2">
        <v>0.70023148148148151</v>
      </c>
      <c r="C3" s="3">
        <f t="shared" si="0"/>
        <v>57.883333333333326</v>
      </c>
      <c r="E3" t="s">
        <v>35</v>
      </c>
      <c r="F3" s="3">
        <f>C3</f>
        <v>57.883333333333326</v>
      </c>
      <c r="G3" t="s">
        <v>36</v>
      </c>
      <c r="H3" s="3">
        <f>C7</f>
        <v>15.866666666666536</v>
      </c>
    </row>
    <row r="4" spans="1:8" x14ac:dyDescent="0.3">
      <c r="A4" s="1" t="s">
        <v>37</v>
      </c>
      <c r="B4" s="2">
        <v>0.7210185185185185</v>
      </c>
      <c r="C4" s="3">
        <f t="shared" si="0"/>
        <v>87.816666666666592</v>
      </c>
      <c r="E4" t="s">
        <v>38</v>
      </c>
      <c r="F4" s="3">
        <f>C4</f>
        <v>87.816666666666592</v>
      </c>
      <c r="G4" t="s">
        <v>39</v>
      </c>
      <c r="H4" s="3">
        <f>C8</f>
        <v>33.516666666666573</v>
      </c>
    </row>
    <row r="5" spans="1:8" x14ac:dyDescent="0.3">
      <c r="A5" s="1" t="s">
        <v>40</v>
      </c>
      <c r="B5" s="2">
        <v>0.6424305555555555</v>
      </c>
      <c r="C5" s="3">
        <f t="shared" si="0"/>
        <v>-25.350000000000126</v>
      </c>
      <c r="G5" t="s">
        <v>41</v>
      </c>
      <c r="H5" s="3">
        <f>C10</f>
        <v>47.150000000000013</v>
      </c>
    </row>
    <row r="6" spans="1:8" x14ac:dyDescent="0.3">
      <c r="A6" s="1" t="s">
        <v>42</v>
      </c>
      <c r="B6" s="2">
        <v>0.66385416666666663</v>
      </c>
      <c r="C6" s="3">
        <f t="shared" si="0"/>
        <v>5.4999999999999005</v>
      </c>
      <c r="G6" t="s">
        <v>43</v>
      </c>
      <c r="H6" s="3">
        <f>C11</f>
        <v>52.20000000000001</v>
      </c>
    </row>
    <row r="7" spans="1:8" x14ac:dyDescent="0.3">
      <c r="A7" s="1" t="s">
        <v>44</v>
      </c>
      <c r="B7" s="2">
        <v>0.67105324074074069</v>
      </c>
      <c r="C7" s="3">
        <f t="shared" si="0"/>
        <v>15.866666666666536</v>
      </c>
      <c r="G7" t="s">
        <v>45</v>
      </c>
      <c r="H7" s="3">
        <f>C12</f>
        <v>55.433333333333259</v>
      </c>
    </row>
    <row r="8" spans="1:8" x14ac:dyDescent="0.3">
      <c r="A8" s="1" t="s">
        <v>46</v>
      </c>
      <c r="B8" s="2">
        <v>0.68331018518518516</v>
      </c>
      <c r="C8" s="3">
        <f t="shared" si="0"/>
        <v>33.516666666666573</v>
      </c>
      <c r="G8" t="s">
        <v>47</v>
      </c>
      <c r="H8" s="3">
        <f>C14</f>
        <v>59.933333333333323</v>
      </c>
    </row>
    <row r="9" spans="1:8" x14ac:dyDescent="0.3">
      <c r="C9" s="3">
        <f t="shared" si="0"/>
        <v>-950.45</v>
      </c>
      <c r="G9" t="s">
        <v>48</v>
      </c>
      <c r="H9" s="3">
        <f>C15</f>
        <v>69.56666666666662</v>
      </c>
    </row>
    <row r="10" spans="1:8" x14ac:dyDescent="0.3">
      <c r="A10" s="1" t="s">
        <v>49</v>
      </c>
      <c r="B10" s="2">
        <v>0.69277777777777783</v>
      </c>
      <c r="C10" s="3">
        <f t="shared" si="0"/>
        <v>47.150000000000013</v>
      </c>
      <c r="G10" t="s">
        <v>50</v>
      </c>
      <c r="H10" s="3">
        <f>C16</f>
        <v>77.29999999999994</v>
      </c>
    </row>
    <row r="11" spans="1:8" x14ac:dyDescent="0.3">
      <c r="A11" s="1" t="s">
        <v>51</v>
      </c>
      <c r="B11" s="2">
        <v>0.69628472222222226</v>
      </c>
      <c r="C11" s="3">
        <f t="shared" si="0"/>
        <v>52.20000000000001</v>
      </c>
      <c r="G11" t="s">
        <v>52</v>
      </c>
      <c r="H11" s="3">
        <f>C18</f>
        <v>89.249999999999872</v>
      </c>
    </row>
    <row r="12" spans="1:8" x14ac:dyDescent="0.3">
      <c r="A12" s="1" t="s">
        <v>53</v>
      </c>
      <c r="B12" s="2">
        <v>0.69853009259259258</v>
      </c>
      <c r="C12" s="3">
        <f t="shared" si="0"/>
        <v>55.433333333333259</v>
      </c>
      <c r="G12" t="s">
        <v>54</v>
      </c>
      <c r="H12" s="3">
        <f>C19</f>
        <v>96.433333333333266</v>
      </c>
    </row>
    <row r="13" spans="1:8" x14ac:dyDescent="0.3">
      <c r="C13" s="3">
        <f t="shared" si="0"/>
        <v>-950.45</v>
      </c>
      <c r="G13" t="s">
        <v>55</v>
      </c>
      <c r="H13" s="3">
        <f>C20</f>
        <v>116.0333333333333</v>
      </c>
    </row>
    <row r="14" spans="1:8" x14ac:dyDescent="0.3">
      <c r="A14" s="1" t="s">
        <v>56</v>
      </c>
      <c r="B14" s="2">
        <v>0.70165509259259262</v>
      </c>
      <c r="C14" s="3">
        <f t="shared" si="0"/>
        <v>59.933333333333323</v>
      </c>
    </row>
    <row r="15" spans="1:8" x14ac:dyDescent="0.3">
      <c r="A15" s="1" t="s">
        <v>57</v>
      </c>
      <c r="B15" s="2">
        <v>0.70834490740740741</v>
      </c>
      <c r="C15" s="3">
        <f t="shared" si="0"/>
        <v>69.56666666666662</v>
      </c>
    </row>
    <row r="16" spans="1:8" x14ac:dyDescent="0.3">
      <c r="A16" s="1" t="s">
        <v>58</v>
      </c>
      <c r="B16" s="2">
        <v>0.71371527777777777</v>
      </c>
      <c r="C16" s="3">
        <f t="shared" si="0"/>
        <v>77.29999999999994</v>
      </c>
    </row>
    <row r="17" spans="1:3" x14ac:dyDescent="0.3">
      <c r="C17" s="3">
        <f t="shared" si="0"/>
        <v>-950.45</v>
      </c>
    </row>
    <row r="18" spans="1:3" x14ac:dyDescent="0.3">
      <c r="A18" s="1" t="s">
        <v>59</v>
      </c>
      <c r="B18" s="2">
        <v>0.72201388888888884</v>
      </c>
      <c r="C18" s="3">
        <f t="shared" si="0"/>
        <v>89.249999999999872</v>
      </c>
    </row>
    <row r="19" spans="1:3" x14ac:dyDescent="0.3">
      <c r="A19" s="1" t="s">
        <v>60</v>
      </c>
      <c r="B19" s="2">
        <v>0.72700231481481481</v>
      </c>
      <c r="C19" s="3">
        <f t="shared" si="0"/>
        <v>96.433333333333266</v>
      </c>
    </row>
    <row r="20" spans="1:3" x14ac:dyDescent="0.3">
      <c r="A20" s="1" t="s">
        <v>61</v>
      </c>
      <c r="B20" s="2">
        <v>0.74061342592592594</v>
      </c>
      <c r="C20" s="3">
        <f t="shared" si="0"/>
        <v>116.0333333333333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zoomScale="70" zoomScaleNormal="70" workbookViewId="0">
      <selection activeCell="M14" sqref="M14"/>
    </sheetView>
  </sheetViews>
  <sheetFormatPr defaultRowHeight="14.4" x14ac:dyDescent="0.3"/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>
        <v>0</v>
      </c>
      <c r="B2">
        <v>112.4212132359152</v>
      </c>
      <c r="C2">
        <v>0</v>
      </c>
    </row>
    <row r="3" spans="1:3" x14ac:dyDescent="0.3">
      <c r="A3">
        <v>5.4999999999999014</v>
      </c>
      <c r="B3">
        <v>104.22550013093721</v>
      </c>
      <c r="C3">
        <v>6.9180886957579819</v>
      </c>
    </row>
    <row r="4" spans="1:3" x14ac:dyDescent="0.3">
      <c r="A4">
        <v>15.866666666666539</v>
      </c>
      <c r="B4">
        <v>96.621809584301886</v>
      </c>
      <c r="C4">
        <v>15.58962437595812</v>
      </c>
    </row>
    <row r="5" spans="1:3" x14ac:dyDescent="0.3">
      <c r="A5">
        <v>33.516666666666573</v>
      </c>
      <c r="B5">
        <v>87.275533147339559</v>
      </c>
      <c r="C5">
        <v>23.838167888789531</v>
      </c>
    </row>
    <row r="6" spans="1:3" x14ac:dyDescent="0.3">
      <c r="A6">
        <v>47.150000000000013</v>
      </c>
      <c r="B6">
        <v>80.302496735864892</v>
      </c>
      <c r="C6">
        <v>32.696361188013753</v>
      </c>
    </row>
    <row r="7" spans="1:3" x14ac:dyDescent="0.3">
      <c r="A7">
        <v>52.20000000000001</v>
      </c>
      <c r="B7">
        <v>70.538989080665232</v>
      </c>
      <c r="C7">
        <v>43.520041399549477</v>
      </c>
    </row>
    <row r="8" spans="1:3" x14ac:dyDescent="0.3">
      <c r="A8">
        <v>55.433333333333259</v>
      </c>
      <c r="B8">
        <v>64.260551839627809</v>
      </c>
      <c r="C8">
        <v>48.287040462840508</v>
      </c>
    </row>
    <row r="9" spans="1:3" x14ac:dyDescent="0.3">
      <c r="A9">
        <v>59.933333333333323</v>
      </c>
      <c r="B9">
        <v>58.472467603696032</v>
      </c>
      <c r="C9">
        <v>53.796568703587489</v>
      </c>
    </row>
    <row r="10" spans="1:3" x14ac:dyDescent="0.3">
      <c r="A10">
        <v>69.56666666666662</v>
      </c>
      <c r="B10">
        <v>49.357124118209732</v>
      </c>
      <c r="C10">
        <v>63.009966844022138</v>
      </c>
    </row>
    <row r="11" spans="1:3" x14ac:dyDescent="0.3">
      <c r="A11">
        <v>77.29999999999994</v>
      </c>
      <c r="B11">
        <v>45.016343143344344</v>
      </c>
      <c r="C11">
        <v>68.128932404139562</v>
      </c>
    </row>
    <row r="12" spans="1:3" x14ac:dyDescent="0.3">
      <c r="A12">
        <v>89.249999999999872</v>
      </c>
      <c r="B12">
        <v>32.563261434861779</v>
      </c>
      <c r="C12">
        <v>77.036340595099375</v>
      </c>
    </row>
    <row r="13" spans="1:3" x14ac:dyDescent="0.3">
      <c r="A13">
        <v>96.433333333333266</v>
      </c>
      <c r="B13">
        <v>18.860945597599851</v>
      </c>
      <c r="C13">
        <v>91.940867161208601</v>
      </c>
    </row>
    <row r="14" spans="1:3" x14ac:dyDescent="0.3">
      <c r="A14">
        <v>116.0333333333333</v>
      </c>
      <c r="B14">
        <v>6.4678218263030596</v>
      </c>
      <c r="C14">
        <v>106.9720537087836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C3_E2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2025-03-06T08:01:39Z</dcterms:created>
  <dcterms:modified xsi:type="dcterms:W3CDTF">2026-01-12T11:10:50Z</dcterms:modified>
</cp:coreProperties>
</file>
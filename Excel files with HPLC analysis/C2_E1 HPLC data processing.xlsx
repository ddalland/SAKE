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6E63EFD65334DD68B0D6F88E6F89EBDC49D2257B" xr6:coauthVersionLast="47" xr6:coauthVersionMax="47" xr10:uidLastSave="{52C4E57C-4419-4158-B1DA-6FB92769CB3E}"/>
  <bookViews>
    <workbookView xWindow="30150" yWindow="1350" windowWidth="17280" windowHeight="8880" firstSheet="1" activeTab="2" xr2:uid="{00000000-000D-0000-FFFF-FFFF00000000}"/>
  </bookViews>
  <sheets>
    <sheet name="C2_E1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  <c r="C7" i="2"/>
  <c r="C6" i="2"/>
  <c r="I5" i="2"/>
  <c r="C5" i="2"/>
  <c r="C4" i="2"/>
  <c r="I3" i="2"/>
  <c r="C3" i="2"/>
  <c r="I4" i="2" s="1"/>
  <c r="C2" i="2"/>
  <c r="C1" i="2"/>
  <c r="I2" i="2" s="1"/>
  <c r="I16" i="1"/>
  <c r="J16" i="1" s="1"/>
  <c r="K16" i="1" s="1"/>
  <c r="F16" i="1"/>
  <c r="J15" i="1"/>
  <c r="K15" i="1" s="1"/>
  <c r="I15" i="1"/>
  <c r="F15" i="1"/>
  <c r="L15" i="1" s="1"/>
  <c r="H14" i="1"/>
  <c r="I14" i="1" s="1"/>
  <c r="J14" i="1" s="1"/>
  <c r="K14" i="1" s="1"/>
  <c r="D14" i="1"/>
  <c r="E14" i="1" s="1"/>
  <c r="F14" i="1" s="1"/>
  <c r="L14" i="1" s="1"/>
  <c r="H13" i="1"/>
  <c r="I13" i="1" s="1"/>
  <c r="J13" i="1" s="1"/>
  <c r="K13" i="1" s="1"/>
  <c r="D13" i="1"/>
  <c r="E13" i="1" s="1"/>
  <c r="F13" i="1" s="1"/>
  <c r="L13" i="1" s="1"/>
  <c r="H12" i="1"/>
  <c r="I12" i="1" s="1"/>
  <c r="J12" i="1" s="1"/>
  <c r="K12" i="1" s="1"/>
  <c r="D12" i="1"/>
  <c r="E12" i="1" s="1"/>
  <c r="F12" i="1" s="1"/>
  <c r="H11" i="1"/>
  <c r="I11" i="1" s="1"/>
  <c r="J11" i="1" s="1"/>
  <c r="K11" i="1" s="1"/>
  <c r="D11" i="1"/>
  <c r="E11" i="1" s="1"/>
  <c r="F11" i="1" s="1"/>
  <c r="H10" i="1"/>
  <c r="I10" i="1" s="1"/>
  <c r="J10" i="1" s="1"/>
  <c r="K10" i="1" s="1"/>
  <c r="D10" i="1"/>
  <c r="E10" i="1" s="1"/>
  <c r="F10" i="1" s="1"/>
  <c r="H9" i="1"/>
  <c r="I9" i="1" s="1"/>
  <c r="J9" i="1" s="1"/>
  <c r="K9" i="1" s="1"/>
  <c r="D9" i="1"/>
  <c r="E9" i="1" s="1"/>
  <c r="F9" i="1" s="1"/>
  <c r="H8" i="1"/>
  <c r="I8" i="1" s="1"/>
  <c r="J8" i="1" s="1"/>
  <c r="K8" i="1" s="1"/>
  <c r="D8" i="1"/>
  <c r="E8" i="1" s="1"/>
  <c r="F8" i="1" s="1"/>
  <c r="H7" i="1"/>
  <c r="I7" i="1" s="1"/>
  <c r="J7" i="1" s="1"/>
  <c r="K7" i="1" s="1"/>
  <c r="D7" i="1"/>
  <c r="E7" i="1" s="1"/>
  <c r="F7" i="1" s="1"/>
  <c r="L7" i="1" s="1"/>
  <c r="H6" i="1"/>
  <c r="I6" i="1" s="1"/>
  <c r="J6" i="1" s="1"/>
  <c r="K6" i="1" s="1"/>
  <c r="D6" i="1"/>
  <c r="E6" i="1" s="1"/>
  <c r="F6" i="1" s="1"/>
  <c r="L6" i="1" s="1"/>
  <c r="H5" i="1"/>
  <c r="I5" i="1" s="1"/>
  <c r="J5" i="1" s="1"/>
  <c r="K5" i="1" s="1"/>
  <c r="D5" i="1"/>
  <c r="E5" i="1" s="1"/>
  <c r="F5" i="1" s="1"/>
  <c r="L5" i="1" s="1"/>
  <c r="H4" i="1"/>
  <c r="I4" i="1" s="1"/>
  <c r="J4" i="1" s="1"/>
  <c r="K4" i="1" s="1"/>
  <c r="D4" i="1"/>
  <c r="E4" i="1" s="1"/>
  <c r="F4" i="1" s="1"/>
  <c r="L4" i="1" s="1"/>
  <c r="L11" i="1" l="1"/>
  <c r="L12" i="1"/>
  <c r="L10" i="1"/>
  <c r="L8" i="1"/>
  <c r="L16" i="1"/>
  <c r="L9" i="1"/>
</calcChain>
</file>

<file path=xl/sharedStrings.xml><?xml version="1.0" encoding="utf-8"?>
<sst xmlns="http://schemas.openxmlformats.org/spreadsheetml/2006/main" count="71" uniqueCount="56">
  <si>
    <t>filename</t>
  </si>
  <si>
    <t>Biphenyl</t>
  </si>
  <si>
    <t>4-Cl-ArOPh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</si>
  <si>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</si>
  <si>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</si>
  <si>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</si>
  <si>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</si>
  <si>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</si>
  <si>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</si>
  <si>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C2_E1-S0</t>
  </si>
  <si>
    <t>Ar-4Cl-Oph</t>
  </si>
  <si>
    <t>C2_E1-S1</t>
  </si>
  <si>
    <t>Diphenyl ether</t>
  </si>
  <si>
    <t>C2_E1-S2</t>
  </si>
  <si>
    <t>C2_E1-S3</t>
  </si>
  <si>
    <t>C2_E1-S4</t>
  </si>
  <si>
    <t>C2_E1-S5</t>
  </si>
  <si>
    <t>C2_E1-S6</t>
  </si>
  <si>
    <t>C2_E1-S7</t>
  </si>
  <si>
    <t>C2_E1-S8</t>
  </si>
  <si>
    <t>C2_E1-S9</t>
  </si>
  <si>
    <t>Phenol</t>
  </si>
  <si>
    <t>C2_E1-S10</t>
  </si>
  <si>
    <t>CC 4Cl-ArOPh 210 nm</t>
  </si>
  <si>
    <t>CC Product 254 nm</t>
  </si>
  <si>
    <t>V1:</t>
  </si>
  <si>
    <t>V2:</t>
  </si>
  <si>
    <t>S0</t>
  </si>
  <si>
    <t>V1</t>
  </si>
  <si>
    <t>Phenol:</t>
  </si>
  <si>
    <t>S1</t>
  </si>
  <si>
    <t>V2</t>
  </si>
  <si>
    <t>V3:</t>
  </si>
  <si>
    <t>S2</t>
  </si>
  <si>
    <t>V3</t>
  </si>
  <si>
    <t>Start:</t>
  </si>
  <si>
    <t>S3</t>
  </si>
  <si>
    <t>V4</t>
  </si>
  <si>
    <t>S1:</t>
  </si>
  <si>
    <t>S4</t>
  </si>
  <si>
    <t>S5</t>
  </si>
  <si>
    <t>S3:</t>
  </si>
  <si>
    <t>S6</t>
  </si>
  <si>
    <t>S4:</t>
  </si>
  <si>
    <t>S7</t>
  </si>
  <si>
    <t>S5:</t>
  </si>
  <si>
    <t>S8</t>
  </si>
  <si>
    <t>S6:</t>
  </si>
  <si>
    <t>S9</t>
  </si>
  <si>
    <t>S7:</t>
  </si>
  <si>
    <t>S10</t>
  </si>
  <si>
    <t>S8:</t>
  </si>
  <si>
    <t>S9:</t>
  </si>
  <si>
    <t>S10:</t>
  </si>
  <si>
    <t>Time  / min</t>
  </si>
  <si>
    <t>4Cl-ArOPh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</si>
</sst>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ourier New"/>
      <family val="3"/>
    </font>
    <font>
      <sz val="12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 wrapText="1"/>
    </xf>
    <xf numFmtId="2" fontId="0" fillId="0" borderId="0" xfId="0" applyNumberFormat="1"/>
    <xf numFmtId="22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4Cl-ArOPh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General</c:formatCode>
                <c:ptCount val="11"/>
                <c:pt idx="0">
                  <c:v>0</c:v>
                </c:pt>
                <c:pt idx="1">
                  <c:v>3.166666673496366</c:v>
                </c:pt>
                <c:pt idx="2">
                  <c:v>500.81666666432278</c:v>
                </c:pt>
                <c:pt idx="3">
                  <c:v>516.14999999874271</c:v>
                </c:pt>
                <c:pt idx="4">
                  <c:v>837.43333333404735</c:v>
                </c:pt>
                <c:pt idx="5">
                  <c:v>957.31666666455567</c:v>
                </c:pt>
                <c:pt idx="6">
                  <c:v>966.48333333665505</c:v>
                </c:pt>
                <c:pt idx="7">
                  <c:v>1097.249999998603</c:v>
                </c:pt>
                <c:pt idx="8">
                  <c:v>1469.4333333405671</c:v>
                </c:pt>
                <c:pt idx="9">
                  <c:v>1476.5333333343731</c:v>
                </c:pt>
                <c:pt idx="10">
                  <c:v>2132.1999999973918</c:v>
                </c:pt>
              </c:numCache>
            </c:numRef>
          </c:xVal>
          <c:yVal>
            <c:numRef>
              <c:f>'Concentration vs time HPLC'!$B$2:$B$12</c:f>
              <c:numCache>
                <c:formatCode>General</c:formatCode>
                <c:ptCount val="11"/>
                <c:pt idx="0">
                  <c:v>163.37795286539361</c:v>
                </c:pt>
                <c:pt idx="1">
                  <c:v>163.5610007445018</c:v>
                </c:pt>
                <c:pt idx="2">
                  <c:v>157.19342295170421</c:v>
                </c:pt>
                <c:pt idx="3">
                  <c:v>149.47539890265011</c:v>
                </c:pt>
                <c:pt idx="4">
                  <c:v>131.21511632870909</c:v>
                </c:pt>
                <c:pt idx="5">
                  <c:v>127.6241278670489</c:v>
                </c:pt>
                <c:pt idx="6">
                  <c:v>126.0136245306751</c:v>
                </c:pt>
                <c:pt idx="7">
                  <c:v>124.7283845233605</c:v>
                </c:pt>
                <c:pt idx="8">
                  <c:v>111.06667976410201</c:v>
                </c:pt>
                <c:pt idx="9">
                  <c:v>109.54750423921161</c:v>
                </c:pt>
                <c:pt idx="10">
                  <c:v>69.651204471477214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7-4BFD-98FF-623FE4340B04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General</c:formatCode>
                <c:ptCount val="11"/>
                <c:pt idx="0">
                  <c:v>0</c:v>
                </c:pt>
                <c:pt idx="1">
                  <c:v>3.166666673496366</c:v>
                </c:pt>
                <c:pt idx="2">
                  <c:v>500.81666666432278</c:v>
                </c:pt>
                <c:pt idx="3">
                  <c:v>516.14999999874271</c:v>
                </c:pt>
                <c:pt idx="4">
                  <c:v>837.43333333404735</c:v>
                </c:pt>
                <c:pt idx="5">
                  <c:v>957.31666666455567</c:v>
                </c:pt>
                <c:pt idx="6">
                  <c:v>966.48333333665505</c:v>
                </c:pt>
                <c:pt idx="7">
                  <c:v>1097.249999998603</c:v>
                </c:pt>
                <c:pt idx="8">
                  <c:v>1469.4333333405671</c:v>
                </c:pt>
                <c:pt idx="9">
                  <c:v>1476.5333333343731</c:v>
                </c:pt>
                <c:pt idx="10">
                  <c:v>2132.1999999973918</c:v>
                </c:pt>
              </c:numCache>
            </c:numRef>
          </c:xVal>
          <c:yVal>
            <c:numRef>
              <c:f>'Concentration vs time HPLC'!$C$2:$C$12</c:f>
              <c:numCache>
                <c:formatCode>General</c:formatCode>
                <c:ptCount val="11"/>
                <c:pt idx="0">
                  <c:v>0</c:v>
                </c:pt>
                <c:pt idx="1">
                  <c:v>8.7559736993293599E-2</c:v>
                </c:pt>
                <c:pt idx="2">
                  <c:v>12.766514940587451</c:v>
                </c:pt>
                <c:pt idx="3">
                  <c:v>13.512669479081319</c:v>
                </c:pt>
                <c:pt idx="4">
                  <c:v>33.747506988057971</c:v>
                </c:pt>
                <c:pt idx="5">
                  <c:v>39.471941030824652</c:v>
                </c:pt>
                <c:pt idx="6">
                  <c:v>39.36430680520062</c:v>
                </c:pt>
                <c:pt idx="7">
                  <c:v>44.482599041644839</c:v>
                </c:pt>
                <c:pt idx="8">
                  <c:v>56.552732564972352</c:v>
                </c:pt>
                <c:pt idx="9">
                  <c:v>56.340524782927751</c:v>
                </c:pt>
                <c:pt idx="10">
                  <c:v>101.64231132994129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E7-4BFD-98FF-623FE4340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244959"/>
        <c:axId val="1606234399"/>
      </c:scatterChart>
      <c:valAx>
        <c:axId val="160624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234399"/>
        <c:crosses val="autoZero"/>
        <c:crossBetween val="midCat"/>
      </c:valAx>
      <c:valAx>
        <c:axId val="16062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24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9531</xdr:rowOff>
    </xdr:from>
    <xdr:to>
      <xdr:col>10</xdr:col>
      <xdr:colOff>590550</xdr:colOff>
      <xdr:row>15</xdr:row>
      <xdr:rowOff>36201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5F607-7FF9-97A7-9ADA-C8CA877FA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F4" sqref="F4:F14"/>
    </sheetView>
  </sheetViews>
  <sheetFormatPr defaultColWidth="8.88671875" defaultRowHeight="14.4" x14ac:dyDescent="0.3"/>
  <cols>
    <col min="1" max="1" width="10.5546875" bestFit="1" customWidth="1"/>
    <col min="2" max="2" width="12.6640625" bestFit="1" customWidth="1"/>
    <col min="4" max="4" width="12" bestFit="1" customWidth="1"/>
    <col min="5" max="5" width="14.44140625" bestFit="1" customWidth="1"/>
    <col min="8" max="8" width="14.441406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5.1940132227810896</v>
      </c>
      <c r="C3">
        <v>3.86207307468761</v>
      </c>
      <c r="G3">
        <v>5.4024376262317997</v>
      </c>
      <c r="M3" t="s">
        <v>8</v>
      </c>
      <c r="N3">
        <v>37.015166850470187</v>
      </c>
    </row>
    <row r="4" spans="1:14" x14ac:dyDescent="0.3">
      <c r="A4" t="s">
        <v>9</v>
      </c>
      <c r="B4">
        <v>225.93923950195301</v>
      </c>
      <c r="C4">
        <v>3378.08837890625</v>
      </c>
      <c r="D4">
        <f t="shared" ref="D4:D14" si="0">C4/B4</f>
        <v>14.951313398915154</v>
      </c>
      <c r="E4">
        <f t="shared" ref="E4:E14" si="1">D4/$B$19</f>
        <v>11.157696566354591</v>
      </c>
      <c r="F4" s="2">
        <f>E4*$N$5</f>
        <v>163.37795286539361</v>
      </c>
      <c r="G4">
        <v>0</v>
      </c>
      <c r="H4">
        <f t="shared" ref="H4:H14" si="2">G4/B4</f>
        <v>0</v>
      </c>
      <c r="I4">
        <f t="shared" ref="I4:I16" si="3">H4/$B$20</f>
        <v>0</v>
      </c>
      <c r="J4">
        <f t="shared" ref="J4:J16" si="4">I4</f>
        <v>0</v>
      </c>
      <c r="K4" s="2">
        <f>J4*$N$5</f>
        <v>0</v>
      </c>
      <c r="L4">
        <f t="shared" ref="L4:L16" si="5">SUM(F4,K4)</f>
        <v>163.37795286539361</v>
      </c>
      <c r="M4" t="s">
        <v>10</v>
      </c>
      <c r="N4">
        <v>166.63301704734869</v>
      </c>
    </row>
    <row r="5" spans="1:14" x14ac:dyDescent="0.3">
      <c r="A5" t="s">
        <v>11</v>
      </c>
      <c r="B5">
        <v>461.78170776367199</v>
      </c>
      <c r="C5">
        <v>6911.978515625</v>
      </c>
      <c r="D5">
        <f t="shared" si="0"/>
        <v>14.968064779132336</v>
      </c>
      <c r="E5">
        <f t="shared" si="1"/>
        <v>11.170197596367414</v>
      </c>
      <c r="F5" s="2">
        <f>E5*$N$5</f>
        <v>163.5610007445018</v>
      </c>
      <c r="G5">
        <v>1.6366552114486701</v>
      </c>
      <c r="H5">
        <f t="shared" si="2"/>
        <v>3.5442183697026565E-3</v>
      </c>
      <c r="I5">
        <f t="shared" si="3"/>
        <v>5.9797846629030815E-3</v>
      </c>
      <c r="J5">
        <f t="shared" si="4"/>
        <v>5.9797846629030815E-3</v>
      </c>
      <c r="K5" s="2">
        <f>J5*$N$5</f>
        <v>8.7559736993293613E-2</v>
      </c>
      <c r="L5">
        <f t="shared" si="5"/>
        <v>163.64856048149508</v>
      </c>
      <c r="M5" t="s">
        <v>12</v>
      </c>
      <c r="N5">
        <v>14.642623761435731</v>
      </c>
    </row>
    <row r="6" spans="1:14" x14ac:dyDescent="0.3">
      <c r="A6" t="s">
        <v>13</v>
      </c>
      <c r="B6">
        <v>282.646484375</v>
      </c>
      <c r="C6">
        <v>4065.96704101563</v>
      </c>
      <c r="D6">
        <f t="shared" si="0"/>
        <v>14.385344470165515</v>
      </c>
      <c r="E6">
        <f t="shared" si="1"/>
        <v>10.73533169415337</v>
      </c>
      <c r="F6" s="2">
        <f>E6*$N$5</f>
        <v>157.19342295170424</v>
      </c>
      <c r="G6">
        <v>146.06022644043</v>
      </c>
      <c r="H6">
        <f t="shared" si="2"/>
        <v>0.51675939562243145</v>
      </c>
      <c r="I6">
        <f t="shared" si="3"/>
        <v>0.87187345304948782</v>
      </c>
      <c r="J6">
        <f t="shared" si="4"/>
        <v>0.87187345304948782</v>
      </c>
      <c r="K6" s="2">
        <f>J6*$N$5</f>
        <v>12.766514940587451</v>
      </c>
      <c r="L6">
        <f t="shared" si="5"/>
        <v>169.95993789229169</v>
      </c>
    </row>
    <row r="7" spans="1:14" x14ac:dyDescent="0.3">
      <c r="A7" t="s">
        <v>14</v>
      </c>
      <c r="B7">
        <v>518.94647216796898</v>
      </c>
      <c r="C7">
        <v>7161.693359375</v>
      </c>
      <c r="D7">
        <f t="shared" si="0"/>
        <v>13.800447143336497</v>
      </c>
      <c r="E7">
        <f t="shared" si="1"/>
        <v>10.298841151743654</v>
      </c>
      <c r="F7" s="3">
        <f>E7*$N$12</f>
        <v>149.47539890265011</v>
      </c>
      <c r="G7">
        <v>286.36325073242199</v>
      </c>
      <c r="H7">
        <f t="shared" si="2"/>
        <v>0.55181654773776734</v>
      </c>
      <c r="I7">
        <f t="shared" si="3"/>
        <v>0.93102167662859348</v>
      </c>
      <c r="J7">
        <f t="shared" si="4"/>
        <v>0.93102167662859348</v>
      </c>
      <c r="K7" s="3">
        <f>J7*$N$12</f>
        <v>13.512669479081316</v>
      </c>
      <c r="L7">
        <f t="shared" si="5"/>
        <v>162.98806838173144</v>
      </c>
    </row>
    <row r="8" spans="1:14" x14ac:dyDescent="0.3">
      <c r="A8" t="s">
        <v>15</v>
      </c>
      <c r="B8">
        <v>696.00518798828102</v>
      </c>
      <c r="C8">
        <v>8431.7900390625</v>
      </c>
      <c r="D8">
        <f t="shared" si="0"/>
        <v>12.114550558787602</v>
      </c>
      <c r="E8">
        <f t="shared" si="1"/>
        <v>9.0407093722295535</v>
      </c>
      <c r="F8" s="3">
        <f>E8*$N$12</f>
        <v>131.21511632870912</v>
      </c>
      <c r="G8">
        <v>959.19683837890602</v>
      </c>
      <c r="H8">
        <f t="shared" si="2"/>
        <v>1.3781461042716487</v>
      </c>
      <c r="I8">
        <f t="shared" si="3"/>
        <v>2.3252001084387528</v>
      </c>
      <c r="J8">
        <f t="shared" si="4"/>
        <v>2.3252001084387528</v>
      </c>
      <c r="K8" s="3">
        <f>J8*$N$12</f>
        <v>33.747506988057964</v>
      </c>
      <c r="L8">
        <f t="shared" si="5"/>
        <v>164.96262331676706</v>
      </c>
    </row>
    <row r="9" spans="1:14" x14ac:dyDescent="0.3">
      <c r="A9" t="s">
        <v>16</v>
      </c>
      <c r="B9">
        <v>579.35955810546898</v>
      </c>
      <c r="C9">
        <v>6826.59912109375</v>
      </c>
      <c r="D9">
        <f t="shared" si="0"/>
        <v>11.783009403378149</v>
      </c>
      <c r="E9">
        <f t="shared" si="1"/>
        <v>8.793290599535931</v>
      </c>
      <c r="F9" s="3">
        <f>E9*$N$12</f>
        <v>127.62412786704886</v>
      </c>
      <c r="G9">
        <v>933.878173828125</v>
      </c>
      <c r="H9">
        <f t="shared" si="2"/>
        <v>1.6119146750283146</v>
      </c>
      <c r="I9">
        <f t="shared" si="3"/>
        <v>2.7196130842387625</v>
      </c>
      <c r="J9">
        <f t="shared" si="4"/>
        <v>2.7196130842387625</v>
      </c>
      <c r="K9" s="3">
        <f>J9*$N$12</f>
        <v>39.471941030824645</v>
      </c>
      <c r="L9">
        <f t="shared" si="5"/>
        <v>167.09606889787349</v>
      </c>
    </row>
    <row r="10" spans="1:14" x14ac:dyDescent="0.3">
      <c r="A10" t="s">
        <v>17</v>
      </c>
      <c r="B10">
        <v>536.82696533203205</v>
      </c>
      <c r="C10">
        <v>6332.359375</v>
      </c>
      <c r="D10">
        <f t="shared" si="0"/>
        <v>11.795904050914025</v>
      </c>
      <c r="E10">
        <f t="shared" si="1"/>
        <v>8.8029134708313617</v>
      </c>
      <c r="F10" s="4">
        <f>E10*$N$20</f>
        <v>126.01362453067512</v>
      </c>
      <c r="G10">
        <v>874.945068359375</v>
      </c>
      <c r="H10">
        <f t="shared" si="2"/>
        <v>1.6298456017726568</v>
      </c>
      <c r="I10">
        <f t="shared" si="3"/>
        <v>2.7498660397716499</v>
      </c>
      <c r="J10">
        <f t="shared" si="4"/>
        <v>2.7498660397716499</v>
      </c>
      <c r="K10" s="4">
        <f>J10*$N$20</f>
        <v>39.36430680520062</v>
      </c>
      <c r="L10">
        <f t="shared" si="5"/>
        <v>165.37793133587573</v>
      </c>
      <c r="M10" t="s">
        <v>8</v>
      </c>
      <c r="N10">
        <v>111.02826917972619</v>
      </c>
    </row>
    <row r="11" spans="1:14" x14ac:dyDescent="0.3">
      <c r="A11" t="s">
        <v>18</v>
      </c>
      <c r="B11">
        <v>274.80230712890602</v>
      </c>
      <c r="C11">
        <v>3208.48046875</v>
      </c>
      <c r="D11">
        <f t="shared" si="0"/>
        <v>11.675595093329932</v>
      </c>
      <c r="E11">
        <f t="shared" si="1"/>
        <v>8.7131306666641279</v>
      </c>
      <c r="F11" s="4">
        <f>E11*$N$20</f>
        <v>124.72838452336053</v>
      </c>
      <c r="G11" s="1">
        <v>506.12103300000001</v>
      </c>
      <c r="H11">
        <f t="shared" si="2"/>
        <v>1.8417641332340982</v>
      </c>
      <c r="I11">
        <f t="shared" si="3"/>
        <v>3.1074137560892496</v>
      </c>
      <c r="J11">
        <f t="shared" si="4"/>
        <v>3.1074137560892496</v>
      </c>
      <c r="K11" s="4">
        <f>J11*$N$20</f>
        <v>44.482599041644839</v>
      </c>
      <c r="L11">
        <f t="shared" si="5"/>
        <v>169.21098356500536</v>
      </c>
      <c r="M11" t="s">
        <v>10</v>
      </c>
      <c r="N11">
        <v>165.16708940927521</v>
      </c>
    </row>
    <row r="12" spans="1:14" x14ac:dyDescent="0.3">
      <c r="A12" t="s">
        <v>19</v>
      </c>
      <c r="B12">
        <v>601.23602294921898</v>
      </c>
      <c r="C12">
        <v>6250.8994140625</v>
      </c>
      <c r="D12">
        <f t="shared" si="0"/>
        <v>10.396747991579435</v>
      </c>
      <c r="E12">
        <f t="shared" si="1"/>
        <v>7.7587671578951003</v>
      </c>
      <c r="F12" s="4">
        <f>E12*$N$20</f>
        <v>111.06667976410199</v>
      </c>
      <c r="G12">
        <v>1407.80480957031</v>
      </c>
      <c r="H12">
        <f t="shared" si="2"/>
        <v>2.341517733193466</v>
      </c>
      <c r="I12">
        <f t="shared" si="3"/>
        <v>3.9505951293967705</v>
      </c>
      <c r="J12">
        <f t="shared" si="4"/>
        <v>3.9505951293967705</v>
      </c>
      <c r="K12" s="4">
        <f>J12*$N$20</f>
        <v>56.552732564972345</v>
      </c>
      <c r="L12">
        <f t="shared" si="5"/>
        <v>167.61941232907435</v>
      </c>
      <c r="M12" t="s">
        <v>12</v>
      </c>
      <c r="N12">
        <v>14.51380759255065</v>
      </c>
    </row>
    <row r="13" spans="1:14" x14ac:dyDescent="0.3">
      <c r="A13" t="s">
        <v>20</v>
      </c>
      <c r="B13">
        <v>510.86138916015602</v>
      </c>
      <c r="C13">
        <v>5332.1552734375</v>
      </c>
      <c r="D13">
        <f t="shared" si="0"/>
        <v>10.437577367519273</v>
      </c>
      <c r="E13">
        <f t="shared" si="1"/>
        <v>7.7892368414322926</v>
      </c>
      <c r="F13" s="9">
        <f>E13*$N$28</f>
        <v>109.54750423921158</v>
      </c>
      <c r="G13">
        <v>1212.97351074219</v>
      </c>
      <c r="H13">
        <f t="shared" si="2"/>
        <v>2.3743691272818439</v>
      </c>
      <c r="I13">
        <f t="shared" si="3"/>
        <v>4.0060218108348975</v>
      </c>
      <c r="J13">
        <f t="shared" si="4"/>
        <v>4.0060218108348975</v>
      </c>
      <c r="K13" s="9">
        <f>J13*$N$28</f>
        <v>56.340524782927758</v>
      </c>
      <c r="L13">
        <f t="shared" si="5"/>
        <v>165.88802902213934</v>
      </c>
      <c r="M13" t="s">
        <v>21</v>
      </c>
      <c r="N13">
        <v>0</v>
      </c>
    </row>
    <row r="14" spans="1:14" x14ac:dyDescent="0.3">
      <c r="A14" t="s">
        <v>22</v>
      </c>
      <c r="B14">
        <v>478.24945068359398</v>
      </c>
      <c r="C14">
        <v>3173.8056640625</v>
      </c>
      <c r="D14">
        <f t="shared" si="0"/>
        <v>6.6362975629683776</v>
      </c>
      <c r="E14">
        <f t="shared" si="1"/>
        <v>4.9524608678868489</v>
      </c>
      <c r="F14" s="9">
        <f>E14*$N$28</f>
        <v>69.651204471477229</v>
      </c>
      <c r="G14">
        <v>2048.59619140625</v>
      </c>
      <c r="H14">
        <f t="shared" si="2"/>
        <v>4.2835306731205947</v>
      </c>
      <c r="I14">
        <f t="shared" si="3"/>
        <v>7.2271480902996368</v>
      </c>
      <c r="J14">
        <f t="shared" si="4"/>
        <v>7.2271480902996368</v>
      </c>
      <c r="K14" s="9">
        <f>J14*$N$28</f>
        <v>101.64231132994125</v>
      </c>
      <c r="L14">
        <f t="shared" si="5"/>
        <v>171.29351580141849</v>
      </c>
    </row>
    <row r="15" spans="1:14" x14ac:dyDescent="0.3">
      <c r="F15">
        <f>E15*$N$28</f>
        <v>0</v>
      </c>
      <c r="I15">
        <f t="shared" si="3"/>
        <v>0</v>
      </c>
      <c r="J15">
        <f t="shared" si="4"/>
        <v>0</v>
      </c>
      <c r="K15" s="5">
        <f>J15*$N$28</f>
        <v>0</v>
      </c>
      <c r="L15">
        <f t="shared" si="5"/>
        <v>0</v>
      </c>
    </row>
    <row r="16" spans="1:14" x14ac:dyDescent="0.3">
      <c r="F16">
        <f>E16*$N$5</f>
        <v>0</v>
      </c>
      <c r="I16">
        <f t="shared" si="3"/>
        <v>0</v>
      </c>
      <c r="J16">
        <f t="shared" si="4"/>
        <v>0</v>
      </c>
      <c r="K16" s="5">
        <f>J16*$N$28</f>
        <v>0</v>
      </c>
      <c r="L16">
        <f t="shared" si="5"/>
        <v>0</v>
      </c>
    </row>
    <row r="18" spans="1:14" x14ac:dyDescent="0.3">
      <c r="M18" t="s">
        <v>8</v>
      </c>
      <c r="N18">
        <v>109.5073523196598</v>
      </c>
    </row>
    <row r="19" spans="1:14" x14ac:dyDescent="0.3">
      <c r="A19" t="s">
        <v>23</v>
      </c>
      <c r="B19">
        <v>1.34</v>
      </c>
      <c r="M19" t="s">
        <v>10</v>
      </c>
      <c r="N19">
        <v>162.90455381481311</v>
      </c>
    </row>
    <row r="20" spans="1:14" x14ac:dyDescent="0.3">
      <c r="A20" t="s">
        <v>24</v>
      </c>
      <c r="B20">
        <v>0.5927</v>
      </c>
      <c r="M20" t="s">
        <v>12</v>
      </c>
      <c r="N20">
        <v>14.314990707136211</v>
      </c>
    </row>
    <row r="21" spans="1:14" x14ac:dyDescent="0.3">
      <c r="M21" t="s">
        <v>21</v>
      </c>
      <c r="N21">
        <v>155.7470784902774</v>
      </c>
    </row>
    <row r="26" spans="1:14" x14ac:dyDescent="0.3">
      <c r="M26" t="s">
        <v>8</v>
      </c>
      <c r="N26">
        <v>255.77121653520479</v>
      </c>
    </row>
    <row r="27" spans="1:14" x14ac:dyDescent="0.3">
      <c r="M27" t="s">
        <v>10</v>
      </c>
      <c r="N27">
        <v>160.047808816957</v>
      </c>
    </row>
    <row r="28" spans="1:14" x14ac:dyDescent="0.3">
      <c r="M28" t="s">
        <v>12</v>
      </c>
      <c r="N28">
        <v>14.06395857120553</v>
      </c>
    </row>
    <row r="29" spans="1:14" x14ac:dyDescent="0.3">
      <c r="M29" t="s">
        <v>21</v>
      </c>
      <c r="N29">
        <v>153.01584920915141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A6" sqref="A6:C8"/>
    </sheetView>
  </sheetViews>
  <sheetFormatPr defaultRowHeight="15" customHeight="1" x14ac:dyDescent="0.3"/>
  <cols>
    <col min="2" max="2" width="15.6640625" bestFit="1" customWidth="1"/>
  </cols>
  <sheetData>
    <row r="1" spans="1:9" ht="15" customHeight="1" x14ac:dyDescent="0.3">
      <c r="A1" s="6" t="s">
        <v>25</v>
      </c>
      <c r="B1" s="8">
        <v>45658.969490740739</v>
      </c>
      <c r="C1" s="7">
        <f t="shared" ref="C1:C15" si="0">(B1-$B$1)*86400/60</f>
        <v>0</v>
      </c>
    </row>
    <row r="2" spans="1:9" ht="15" customHeight="1" x14ac:dyDescent="0.3">
      <c r="A2" s="6" t="s">
        <v>26</v>
      </c>
      <c r="B2" s="8">
        <v>45659.319826388892</v>
      </c>
      <c r="C2" s="7">
        <f t="shared" si="0"/>
        <v>504.48333333944902</v>
      </c>
      <c r="E2" t="s">
        <v>27</v>
      </c>
      <c r="F2">
        <v>0</v>
      </c>
      <c r="H2" t="s">
        <v>28</v>
      </c>
      <c r="I2" s="7">
        <f>C1</f>
        <v>0</v>
      </c>
    </row>
    <row r="3" spans="1:9" ht="15" customHeight="1" x14ac:dyDescent="0.3">
      <c r="A3" s="6" t="s">
        <v>29</v>
      </c>
      <c r="B3" s="8">
        <v>45659.637499999997</v>
      </c>
      <c r="C3" s="7">
        <f t="shared" si="0"/>
        <v>961.93333333125338</v>
      </c>
      <c r="E3" t="s">
        <v>30</v>
      </c>
      <c r="F3" s="7">
        <v>3.166666673496366</v>
      </c>
      <c r="H3" t="s">
        <v>31</v>
      </c>
      <c r="I3" s="7">
        <f>C2</f>
        <v>504.48333333944902</v>
      </c>
    </row>
    <row r="4" spans="1:9" ht="15" customHeight="1" x14ac:dyDescent="0.3">
      <c r="A4" s="6" t="s">
        <v>32</v>
      </c>
      <c r="B4" s="8">
        <v>45659.990798611107</v>
      </c>
      <c r="C4" s="7">
        <f t="shared" si="0"/>
        <v>1470.6833333289251</v>
      </c>
      <c r="E4" t="s">
        <v>33</v>
      </c>
      <c r="F4" s="7">
        <v>500.81666666432278</v>
      </c>
      <c r="H4" t="s">
        <v>34</v>
      </c>
      <c r="I4" s="7">
        <f>C3</f>
        <v>961.93333333125338</v>
      </c>
    </row>
    <row r="5" spans="1:9" ht="15" customHeight="1" x14ac:dyDescent="0.3">
      <c r="A5" s="6" t="s">
        <v>35</v>
      </c>
      <c r="B5" s="8">
        <v>45658.963078703702</v>
      </c>
      <c r="C5" s="7">
        <f t="shared" si="0"/>
        <v>-9.2333333333954215</v>
      </c>
      <c r="E5" t="s">
        <v>36</v>
      </c>
      <c r="F5" s="7">
        <v>516.14999999874271</v>
      </c>
      <c r="H5" t="s">
        <v>37</v>
      </c>
      <c r="I5" s="7">
        <f>C4</f>
        <v>1470.6833333289251</v>
      </c>
    </row>
    <row r="6" spans="1:9" ht="15" customHeight="1" x14ac:dyDescent="0.3">
      <c r="A6" s="6" t="s">
        <v>38</v>
      </c>
      <c r="B6" s="8">
        <v>45658.971689814818</v>
      </c>
      <c r="C6" s="7">
        <f t="shared" si="0"/>
        <v>3.1666666734963655</v>
      </c>
      <c r="E6" t="s">
        <v>39</v>
      </c>
      <c r="F6" s="7">
        <v>837.43333333404735</v>
      </c>
    </row>
    <row r="7" spans="1:9" ht="15" customHeight="1" x14ac:dyDescent="0.3">
      <c r="A7" s="6" t="s">
        <v>33</v>
      </c>
      <c r="B7" s="8">
        <v>45659.317280092589</v>
      </c>
      <c r="C7" s="7">
        <f t="shared" si="0"/>
        <v>500.81666666432284</v>
      </c>
      <c r="E7" t="s">
        <v>40</v>
      </c>
      <c r="F7" s="7">
        <v>957.31666666455567</v>
      </c>
    </row>
    <row r="8" spans="1:9" ht="15" customHeight="1" x14ac:dyDescent="0.3">
      <c r="A8" s="6" t="s">
        <v>41</v>
      </c>
      <c r="B8" s="8">
        <v>45659.327928240738</v>
      </c>
      <c r="C8" s="7">
        <f t="shared" si="0"/>
        <v>516.14999999874271</v>
      </c>
      <c r="E8" t="s">
        <v>42</v>
      </c>
      <c r="F8" s="7">
        <v>966.48333333665505</v>
      </c>
    </row>
    <row r="9" spans="1:9" ht="15" customHeight="1" x14ac:dyDescent="0.3">
      <c r="A9" s="6" t="s">
        <v>43</v>
      </c>
      <c r="B9" s="8">
        <v>45659.551041666673</v>
      </c>
      <c r="C9" s="7">
        <f t="shared" si="0"/>
        <v>837.43333334452473</v>
      </c>
      <c r="E9" t="s">
        <v>44</v>
      </c>
      <c r="F9" s="7">
        <v>1097.249999998603</v>
      </c>
    </row>
    <row r="10" spans="1:9" ht="15" customHeight="1" x14ac:dyDescent="0.3">
      <c r="A10" s="6" t="s">
        <v>45</v>
      </c>
      <c r="B10" s="8">
        <v>45659.634293981479</v>
      </c>
      <c r="C10" s="7">
        <f t="shared" si="0"/>
        <v>957.31666666455567</v>
      </c>
      <c r="E10" t="s">
        <v>46</v>
      </c>
      <c r="F10" s="7">
        <v>1469.4333333405671</v>
      </c>
    </row>
    <row r="11" spans="1:9" ht="15" customHeight="1" x14ac:dyDescent="0.3">
      <c r="A11" s="6" t="s">
        <v>47</v>
      </c>
      <c r="B11" s="8">
        <v>45659.640659722223</v>
      </c>
      <c r="C11" s="7">
        <f t="shared" si="0"/>
        <v>966.48333333665505</v>
      </c>
      <c r="E11" t="s">
        <v>48</v>
      </c>
      <c r="F11" s="7">
        <v>1476.5333333343731</v>
      </c>
    </row>
    <row r="12" spans="1:9" ht="15" customHeight="1" x14ac:dyDescent="0.3">
      <c r="A12" s="6" t="s">
        <v>49</v>
      </c>
      <c r="B12" s="8">
        <v>45659.731469907398</v>
      </c>
      <c r="C12" s="7">
        <f t="shared" si="0"/>
        <v>1097.2499999881256</v>
      </c>
      <c r="E12" t="s">
        <v>50</v>
      </c>
      <c r="F12" s="7">
        <v>2132.1999999973918</v>
      </c>
    </row>
    <row r="13" spans="1:9" ht="15" customHeight="1" x14ac:dyDescent="0.3">
      <c r="A13" s="6" t="s">
        <v>51</v>
      </c>
      <c r="B13" s="8">
        <v>45659.989930555559</v>
      </c>
      <c r="C13" s="7">
        <f t="shared" si="0"/>
        <v>1469.4333333405666</v>
      </c>
    </row>
    <row r="14" spans="1:9" ht="15" customHeight="1" x14ac:dyDescent="0.3">
      <c r="A14" s="6" t="s">
        <v>52</v>
      </c>
      <c r="B14" s="8">
        <v>45659.99486111111</v>
      </c>
      <c r="C14" s="7">
        <f t="shared" si="0"/>
        <v>1476.5333333343733</v>
      </c>
    </row>
    <row r="15" spans="1:9" ht="15" customHeight="1" x14ac:dyDescent="0.3">
      <c r="A15" s="6" t="s">
        <v>53</v>
      </c>
      <c r="B15" s="8">
        <v>45660.450185185182</v>
      </c>
      <c r="C15" s="7">
        <f t="shared" si="0"/>
        <v>2132.1999999973923</v>
      </c>
    </row>
    <row r="16" spans="1:9" ht="15" customHeight="1" x14ac:dyDescent="0.3">
      <c r="C16" s="7"/>
    </row>
    <row r="17" spans="3:3" ht="15" customHeight="1" x14ac:dyDescent="0.3">
      <c r="C17" s="7"/>
    </row>
    <row r="18" spans="3:3" ht="15" customHeight="1" x14ac:dyDescent="0.3">
      <c r="C18" s="7"/>
    </row>
    <row r="19" spans="3:3" ht="15" customHeight="1" x14ac:dyDescent="0.3">
      <c r="C19" s="7"/>
    </row>
    <row r="20" spans="3:3" ht="15" customHeight="1" x14ac:dyDescent="0.3">
      <c r="C2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>
      <selection activeCell="C6" sqref="C6"/>
    </sheetView>
  </sheetViews>
  <sheetFormatPr defaultColWidth="8.88671875" defaultRowHeight="14.4" x14ac:dyDescent="0.3"/>
  <cols>
    <col min="1" max="1" width="12.44140625" bestFit="1" customWidth="1"/>
    <col min="2" max="2" width="12" bestFit="1" customWidth="1"/>
  </cols>
  <sheetData>
    <row r="1" spans="1:3" x14ac:dyDescent="0.3">
      <c r="A1" t="s">
        <v>54</v>
      </c>
      <c r="B1" t="s">
        <v>55</v>
      </c>
      <c r="C1" t="s">
        <v>5</v>
      </c>
    </row>
    <row r="2" spans="1:3" x14ac:dyDescent="0.3">
      <c r="A2">
        <v>0</v>
      </c>
      <c r="B2" s="2">
        <v>163.37795286539361</v>
      </c>
      <c r="C2">
        <v>0</v>
      </c>
    </row>
    <row r="3" spans="1:3" x14ac:dyDescent="0.3">
      <c r="A3">
        <v>3.166666673496366</v>
      </c>
      <c r="B3" s="2">
        <v>163.5610007445018</v>
      </c>
      <c r="C3">
        <v>8.7559736993293599E-2</v>
      </c>
    </row>
    <row r="4" spans="1:3" x14ac:dyDescent="0.3">
      <c r="A4">
        <v>500.81666666432278</v>
      </c>
      <c r="B4" s="2">
        <v>157.19342295170421</v>
      </c>
      <c r="C4">
        <v>12.766514940587451</v>
      </c>
    </row>
    <row r="5" spans="1:3" x14ac:dyDescent="0.3">
      <c r="A5">
        <v>516.14999999874271</v>
      </c>
      <c r="B5" s="3">
        <v>149.47539890265011</v>
      </c>
      <c r="C5">
        <v>13.512669479081319</v>
      </c>
    </row>
    <row r="6" spans="1:3" x14ac:dyDescent="0.3">
      <c r="A6">
        <v>837.43333333404735</v>
      </c>
      <c r="B6" s="3">
        <v>131.21511632870909</v>
      </c>
      <c r="C6">
        <v>33.747506988057971</v>
      </c>
    </row>
    <row r="7" spans="1:3" x14ac:dyDescent="0.3">
      <c r="A7">
        <v>957.31666666455567</v>
      </c>
      <c r="B7" s="3">
        <v>127.6241278670489</v>
      </c>
      <c r="C7">
        <v>39.471941030824652</v>
      </c>
    </row>
    <row r="8" spans="1:3" x14ac:dyDescent="0.3">
      <c r="A8">
        <v>966.48333333665505</v>
      </c>
      <c r="B8" s="4">
        <v>126.0136245306751</v>
      </c>
      <c r="C8">
        <v>39.36430680520062</v>
      </c>
    </row>
    <row r="9" spans="1:3" x14ac:dyDescent="0.3">
      <c r="A9">
        <v>1097.249999998603</v>
      </c>
      <c r="B9" s="4">
        <v>124.7283845233605</v>
      </c>
      <c r="C9">
        <v>44.482599041644839</v>
      </c>
    </row>
    <row r="10" spans="1:3" x14ac:dyDescent="0.3">
      <c r="A10">
        <v>1469.4333333405671</v>
      </c>
      <c r="B10" s="4">
        <v>111.06667976410201</v>
      </c>
      <c r="C10">
        <v>56.552732564972352</v>
      </c>
    </row>
    <row r="11" spans="1:3" x14ac:dyDescent="0.3">
      <c r="A11">
        <v>1476.5333333343731</v>
      </c>
      <c r="B11" s="9">
        <v>109.54750423921161</v>
      </c>
      <c r="C11">
        <v>56.340524782927751</v>
      </c>
    </row>
    <row r="12" spans="1:3" x14ac:dyDescent="0.3">
      <c r="A12">
        <v>2132.1999999973918</v>
      </c>
      <c r="B12" s="9">
        <v>69.651204471477214</v>
      </c>
      <c r="C12">
        <v>101.64231132994129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C2_E1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2025-02-16T08:29:55Z</dcterms:created>
  <dcterms:modified xsi:type="dcterms:W3CDTF">2026-01-12T11:01:57Z</dcterms:modified>
</cp:coreProperties>
</file>
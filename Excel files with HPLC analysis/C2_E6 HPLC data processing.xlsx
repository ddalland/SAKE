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d4518_ic_ac_uk/Documents/PhD/SAKE publication with SI material/Cleaned Python Scripts for Github/Excel files with HPLC analysis/"/>
    </mc:Choice>
  </mc:AlternateContent>
  <xr:revisionPtr revIDLastSave="4" documentId="11_79A9091ABEF3FEA0DCB79EC1BA3D3ADC42D2D974" xr6:coauthVersionLast="47" xr6:coauthVersionMax="47" xr10:uidLastSave="{A4CAF6C4-801C-4904-9DCB-9B4547C3F34B}"/>
  <bookViews>
    <workbookView xWindow="32325" yWindow="3525" windowWidth="17280" windowHeight="8880" firstSheet="1" activeTab="2" xr2:uid="{00000000-000D-0000-FFFF-FFFF00000000}"/>
  </bookViews>
  <sheets>
    <sheet name="C2_E6 HPLC 254 nm" sheetId="1" r:id="rId1"/>
    <sheet name="Sample and addition times" sheetId="2" r:id="rId2"/>
    <sheet name="Concentration vs time HPLC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2" l="1"/>
  <c r="G14" i="2" s="1"/>
  <c r="C20" i="2"/>
  <c r="C19" i="2"/>
  <c r="C18" i="2"/>
  <c r="C16" i="2"/>
  <c r="C15" i="2"/>
  <c r="C14" i="2"/>
  <c r="G8" i="2" s="1"/>
  <c r="G13" i="2"/>
  <c r="G12" i="2"/>
  <c r="C12" i="2"/>
  <c r="G7" i="2" s="1"/>
  <c r="G11" i="2"/>
  <c r="C11" i="2"/>
  <c r="G6" i="2" s="1"/>
  <c r="G10" i="2"/>
  <c r="C10" i="2"/>
  <c r="G5" i="2" s="1"/>
  <c r="G9" i="2"/>
  <c r="C8" i="2"/>
  <c r="C7" i="2"/>
  <c r="C6" i="2"/>
  <c r="C5" i="2"/>
  <c r="G4" i="2"/>
  <c r="C4" i="2"/>
  <c r="E4" i="2" s="1"/>
  <c r="G3" i="2"/>
  <c r="C3" i="2"/>
  <c r="E3" i="2" s="1"/>
  <c r="G2" i="2"/>
  <c r="E2" i="2"/>
  <c r="C2" i="2"/>
  <c r="G1" i="2"/>
  <c r="E1" i="2"/>
  <c r="C1" i="2"/>
  <c r="J19" i="1"/>
  <c r="F19" i="1"/>
  <c r="K19" i="1" s="1"/>
  <c r="H18" i="1"/>
  <c r="I18" i="1" s="1"/>
  <c r="D18" i="1"/>
  <c r="E18" i="1" s="1"/>
  <c r="F18" i="1" s="1"/>
  <c r="K18" i="1" s="1"/>
  <c r="I17" i="1"/>
  <c r="J17" i="1" s="1"/>
  <c r="H17" i="1"/>
  <c r="E17" i="1"/>
  <c r="F17" i="1" s="1"/>
  <c r="D17" i="1"/>
  <c r="H16" i="1"/>
  <c r="I16" i="1" s="1"/>
  <c r="J16" i="1" s="1"/>
  <c r="D16" i="1"/>
  <c r="E16" i="1" s="1"/>
  <c r="F16" i="1" s="1"/>
  <c r="K16" i="1" s="1"/>
  <c r="H15" i="1"/>
  <c r="I15" i="1" s="1"/>
  <c r="J15" i="1" s="1"/>
  <c r="F15" i="1"/>
  <c r="K15" i="1" s="1"/>
  <c r="E15" i="1"/>
  <c r="D15" i="1"/>
  <c r="H14" i="1"/>
  <c r="I14" i="1" s="1"/>
  <c r="J14" i="1" s="1"/>
  <c r="E14" i="1"/>
  <c r="F14" i="1" s="1"/>
  <c r="K14" i="1" s="1"/>
  <c r="D14" i="1"/>
  <c r="H13" i="1"/>
  <c r="I13" i="1" s="1"/>
  <c r="J13" i="1" s="1"/>
  <c r="D13" i="1"/>
  <c r="E13" i="1" s="1"/>
  <c r="F13" i="1" s="1"/>
  <c r="K13" i="1" s="1"/>
  <c r="I12" i="1"/>
  <c r="J12" i="1" s="1"/>
  <c r="H12" i="1"/>
  <c r="D12" i="1"/>
  <c r="E12" i="1" s="1"/>
  <c r="F12" i="1" s="1"/>
  <c r="H11" i="1"/>
  <c r="I11" i="1" s="1"/>
  <c r="J11" i="1" s="1"/>
  <c r="D11" i="1"/>
  <c r="E11" i="1" s="1"/>
  <c r="F11" i="1" s="1"/>
  <c r="K11" i="1" s="1"/>
  <c r="J10" i="1"/>
  <c r="I10" i="1"/>
  <c r="H10" i="1"/>
  <c r="D10" i="1"/>
  <c r="E10" i="1" s="1"/>
  <c r="F10" i="1" s="1"/>
  <c r="K10" i="1" s="1"/>
  <c r="I9" i="1"/>
  <c r="J9" i="1" s="1"/>
  <c r="H9" i="1"/>
  <c r="D9" i="1"/>
  <c r="E9" i="1" s="1"/>
  <c r="F9" i="1" s="1"/>
  <c r="K9" i="1" s="1"/>
  <c r="H8" i="1"/>
  <c r="I8" i="1" s="1"/>
  <c r="J8" i="1" s="1"/>
  <c r="D8" i="1"/>
  <c r="E8" i="1" s="1"/>
  <c r="F8" i="1" s="1"/>
  <c r="K8" i="1" s="1"/>
  <c r="H7" i="1"/>
  <c r="I7" i="1" s="1"/>
  <c r="J7" i="1" s="1"/>
  <c r="D7" i="1"/>
  <c r="E7" i="1" s="1"/>
  <c r="F7" i="1" s="1"/>
  <c r="K7" i="1" s="1"/>
  <c r="H6" i="1"/>
  <c r="I6" i="1" s="1"/>
  <c r="J6" i="1" s="1"/>
  <c r="E6" i="1"/>
  <c r="F6" i="1" s="1"/>
  <c r="K6" i="1" s="1"/>
  <c r="D6" i="1"/>
  <c r="H5" i="1"/>
  <c r="I5" i="1" s="1"/>
  <c r="J5" i="1" s="1"/>
  <c r="F5" i="1"/>
  <c r="K5" i="1" s="1"/>
  <c r="D5" i="1"/>
  <c r="E5" i="1" s="1"/>
  <c r="H4" i="1"/>
  <c r="I4" i="1" s="1"/>
  <c r="J4" i="1" s="1"/>
  <c r="D4" i="1"/>
  <c r="E4" i="1" s="1"/>
  <c r="F4" i="1" s="1"/>
  <c r="K4" i="1" s="1"/>
  <c r="K17" i="1" l="1"/>
  <c r="K12" i="1"/>
</calcChain>
</file>

<file path=xl/sharedStrings.xml><?xml version="1.0" encoding="utf-8"?>
<sst xmlns="http://schemas.openxmlformats.org/spreadsheetml/2006/main" count="81" uniqueCount="65">
  <si>
    <t>filename</t>
  </si>
  <si>
    <t>Biphenyl</t>
  </si>
  <si>
    <t>4-CN-ArOPh</t>
  </si>
  <si>
    <t>Ratio of integral with IS</t>
  </si>
  <si>
    <t>concentrations</t>
  </si>
  <si>
    <t>Compound</t>
  </si>
  <si>
    <t>Initial concentration / mM</t>
  </si>
  <si>
    <t>Product</t>
  </si>
  <si>
    <t>4-Me-piperidine</t>
  </si>
  <si>
    <t>C2_E6-S0</t>
  </si>
  <si>
    <t>Ar-CN-Oph</t>
  </si>
  <si>
    <t>C2_E6-S90</t>
  </si>
  <si>
    <t>C2_E6-S1</t>
  </si>
  <si>
    <t>C2_E6-S2</t>
  </si>
  <si>
    <t>C2_E6-S3</t>
  </si>
  <si>
    <t>C2_E6-S4</t>
  </si>
  <si>
    <t>C2_E6-S5</t>
  </si>
  <si>
    <t>C2_E6-S6</t>
  </si>
  <si>
    <t>C2_E6-S7</t>
  </si>
  <si>
    <t>C2_E6-S8</t>
  </si>
  <si>
    <t>Phenol</t>
  </si>
  <si>
    <t>C2_E6-S9</t>
  </si>
  <si>
    <t>C2_E6-S10</t>
  </si>
  <si>
    <t>C2_E6-S11</t>
  </si>
  <si>
    <t>C2_E6-S12</t>
  </si>
  <si>
    <t>C2_E6-S13</t>
  </si>
  <si>
    <t>CC 4-CN-ArOPh 254 nm</t>
  </si>
  <si>
    <t>CC product 254 nm</t>
  </si>
  <si>
    <t>V1:</t>
  </si>
  <si>
    <t>V1</t>
  </si>
  <si>
    <t>S0</t>
  </si>
  <si>
    <t>V2:</t>
  </si>
  <si>
    <t>V2</t>
  </si>
  <si>
    <t>S1</t>
  </si>
  <si>
    <t>Phenol:</t>
  </si>
  <si>
    <t>V3</t>
  </si>
  <si>
    <t>S2</t>
  </si>
  <si>
    <t>V3:</t>
  </si>
  <si>
    <t>V4</t>
  </si>
  <si>
    <t>S3</t>
  </si>
  <si>
    <t>Start: </t>
  </si>
  <si>
    <t>S4</t>
  </si>
  <si>
    <t>S1:</t>
  </si>
  <si>
    <t>S5</t>
  </si>
  <si>
    <t>S6</t>
  </si>
  <si>
    <t>S3:</t>
  </si>
  <si>
    <t>S7</t>
  </si>
  <si>
    <t>S8</t>
  </si>
  <si>
    <t>S4:</t>
  </si>
  <si>
    <t>S9</t>
  </si>
  <si>
    <t>S5:</t>
  </si>
  <si>
    <t>S10</t>
  </si>
  <si>
    <t>S6:</t>
  </si>
  <si>
    <t>S11</t>
  </si>
  <si>
    <t>S12</t>
  </si>
  <si>
    <t>S7:</t>
  </si>
  <si>
    <t>S13</t>
  </si>
  <si>
    <t>S8:</t>
  </si>
  <si>
    <t>S9: </t>
  </si>
  <si>
    <t>S10:</t>
  </si>
  <si>
    <t>S11:</t>
  </si>
  <si>
    <t>S12:</t>
  </si>
  <si>
    <t>S13:</t>
  </si>
  <si>
    <t xml:space="preserve">Time / min </t>
  </si>
  <si>
    <t>4CN-ArOPh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</si>
</sst>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 applyAlignment="1">
      <alignment vertical="center" wrapText="1"/>
    </xf>
    <xf numFmtId="21" fontId="0" fillId="0" borderId="0" xfId="0" applyNumberFormat="1"/>
    <xf numFmtId="2" fontId="0" fillId="0" borderId="0" xfId="0" applyNumberFormat="1"/>
    <xf numFmtId="2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HPLC concentration vs time data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'Concentration vs time HPLC'!$B$1</c:f>
              <c:strCache>
                <c:ptCount val="1"/>
                <c:pt idx="0">
                  <c:v>4CN-ArOPh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'Concentration vs time HPLC'!$A$2:$A$14</c:f>
              <c:numCache>
                <c:formatCode>General</c:formatCode>
                <c:ptCount val="13"/>
                <c:pt idx="0">
                  <c:v>0</c:v>
                </c:pt>
                <c:pt idx="1">
                  <c:v>5.8499999999999552</c:v>
                </c:pt>
                <c:pt idx="2">
                  <c:v>21.133333333333329</c:v>
                </c:pt>
                <c:pt idx="3">
                  <c:v>40.149999999999963</c:v>
                </c:pt>
                <c:pt idx="4">
                  <c:v>46.933333333333287</c:v>
                </c:pt>
                <c:pt idx="5">
                  <c:v>49.749999999999943</c:v>
                </c:pt>
                <c:pt idx="6">
                  <c:v>54.266666666666623</c:v>
                </c:pt>
                <c:pt idx="7">
                  <c:v>59.900000000000013</c:v>
                </c:pt>
                <c:pt idx="8">
                  <c:v>71.533333333333303</c:v>
                </c:pt>
                <c:pt idx="9">
                  <c:v>86.749999999999972</c:v>
                </c:pt>
                <c:pt idx="10">
                  <c:v>104.55</c:v>
                </c:pt>
                <c:pt idx="11">
                  <c:v>114.56666666666661</c:v>
                </c:pt>
                <c:pt idx="12">
                  <c:v>381.24999999999989</c:v>
                </c:pt>
              </c:numCache>
            </c:numRef>
          </c:xVal>
          <c:yVal>
            <c:numRef>
              <c:f>'Concentration vs time HPLC'!$B$2:$B$14</c:f>
              <c:numCache>
                <c:formatCode>General</c:formatCode>
                <c:ptCount val="13"/>
                <c:pt idx="0">
                  <c:v>156.39442691017649</c:v>
                </c:pt>
                <c:pt idx="1">
                  <c:v>148.3459784535313</c:v>
                </c:pt>
                <c:pt idx="2">
                  <c:v>141.78856830518191</c:v>
                </c:pt>
                <c:pt idx="3">
                  <c:v>130.05784298593019</c:v>
                </c:pt>
                <c:pt idx="4">
                  <c:v>120.17785902906959</c:v>
                </c:pt>
                <c:pt idx="5">
                  <c:v>113.5551280662899</c:v>
                </c:pt>
                <c:pt idx="6">
                  <c:v>104.74384903717031</c:v>
                </c:pt>
                <c:pt idx="7">
                  <c:v>95.628341869393026</c:v>
                </c:pt>
                <c:pt idx="8">
                  <c:v>88.219344122347081</c:v>
                </c:pt>
                <c:pt idx="9">
                  <c:v>76.010628803165758</c:v>
                </c:pt>
                <c:pt idx="10">
                  <c:v>61.225578020100663</c:v>
                </c:pt>
                <c:pt idx="11">
                  <c:v>38.725190748229849</c:v>
                </c:pt>
                <c:pt idx="12">
                  <c:v>0.34309187554208731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80-48D5-A046-1FC7CC13344C}"/>
            </c:ext>
          </c:extLst>
        </c:ser>
        <c:ser>
          <c:idx val="1"/>
          <c:order val="1"/>
          <c:tx>
            <c:strRef>
              <c:f>'Concentration vs time HPLC'!$C$1</c:f>
              <c:strCache>
                <c:ptCount val="1"/>
                <c:pt idx="0">
                  <c:v>Product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'Concentration vs time HPLC'!$A$2:$A$14</c:f>
              <c:numCache>
                <c:formatCode>General</c:formatCode>
                <c:ptCount val="13"/>
                <c:pt idx="0">
                  <c:v>0</c:v>
                </c:pt>
                <c:pt idx="1">
                  <c:v>5.8499999999999552</c:v>
                </c:pt>
                <c:pt idx="2">
                  <c:v>21.133333333333329</c:v>
                </c:pt>
                <c:pt idx="3">
                  <c:v>40.149999999999963</c:v>
                </c:pt>
                <c:pt idx="4">
                  <c:v>46.933333333333287</c:v>
                </c:pt>
                <c:pt idx="5">
                  <c:v>49.749999999999943</c:v>
                </c:pt>
                <c:pt idx="6">
                  <c:v>54.266666666666623</c:v>
                </c:pt>
                <c:pt idx="7">
                  <c:v>59.900000000000013</c:v>
                </c:pt>
                <c:pt idx="8">
                  <c:v>71.533333333333303</c:v>
                </c:pt>
                <c:pt idx="9">
                  <c:v>86.749999999999972</c:v>
                </c:pt>
                <c:pt idx="10">
                  <c:v>104.55</c:v>
                </c:pt>
                <c:pt idx="11">
                  <c:v>114.56666666666661</c:v>
                </c:pt>
                <c:pt idx="12">
                  <c:v>381.24999999999989</c:v>
                </c:pt>
              </c:numCache>
            </c:numRef>
          </c:xVal>
          <c:yVal>
            <c:numRef>
              <c:f>'Concentration vs time HPLC'!$C$2:$C$14</c:f>
              <c:numCache>
                <c:formatCode>General</c:formatCode>
                <c:ptCount val="13"/>
                <c:pt idx="0">
                  <c:v>0</c:v>
                </c:pt>
                <c:pt idx="1">
                  <c:v>7.455098411676202</c:v>
                </c:pt>
                <c:pt idx="2">
                  <c:v>14.019759368321701</c:v>
                </c:pt>
                <c:pt idx="3">
                  <c:v>26.25844924173833</c:v>
                </c:pt>
                <c:pt idx="4">
                  <c:v>36.118311569752073</c:v>
                </c:pt>
                <c:pt idx="5">
                  <c:v>43.250733173840501</c:v>
                </c:pt>
                <c:pt idx="6">
                  <c:v>50.413238583383617</c:v>
                </c:pt>
                <c:pt idx="7">
                  <c:v>58.190501034757823</c:v>
                </c:pt>
                <c:pt idx="8">
                  <c:v>67.496438268678858</c:v>
                </c:pt>
                <c:pt idx="9">
                  <c:v>76.65569615702438</c:v>
                </c:pt>
                <c:pt idx="10">
                  <c:v>89.294849501495733</c:v>
                </c:pt>
                <c:pt idx="11">
                  <c:v>111.67717352225461</c:v>
                </c:pt>
                <c:pt idx="12">
                  <c:v>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80-48D5-A046-1FC7CC133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9783312"/>
        <c:axId val="1501509168"/>
      </c:scatterChart>
      <c:valAx>
        <c:axId val="1699783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Time / minutes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509168"/>
        <c:crosses val="autoZero"/>
        <c:crossBetween val="midCat"/>
      </c:valAx>
      <c:valAx>
        <c:axId val="150150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Concentration / mM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783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352425</xdr:colOff>
      <xdr:row>0</xdr:row>
      <xdr:rowOff>133356</xdr:rowOff>
    </xdr:from>
    <xdr:to>
      <xdr:col>11</xdr:col>
      <xdr:colOff>47625</xdr:colOff>
      <xdr:row>15</xdr:row>
      <xdr:rowOff>160026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17DA96-0A5F-7CE9-8075-25799F6971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nc%20vs%20time%20CT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 vs time CT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zoomScale="65" workbookViewId="0">
      <selection activeCell="A22" sqref="A22"/>
    </sheetView>
  </sheetViews>
  <sheetFormatPr defaultRowHeight="14.4" x14ac:dyDescent="0.3"/>
  <cols>
    <col min="1" max="1" width="10" bestFit="1" customWidth="1"/>
    <col min="13" max="13" width="12.33203125" bestFit="1" customWidth="1"/>
    <col min="14" max="14" width="26" bestFit="1" customWidth="1"/>
  </cols>
  <sheetData>
    <row r="1" spans="1:14" x14ac:dyDescent="0.3">
      <c r="A1">
        <v>0</v>
      </c>
      <c r="B1">
        <v>1</v>
      </c>
      <c r="C1">
        <v>2</v>
      </c>
      <c r="D1">
        <v>3</v>
      </c>
      <c r="E1">
        <v>4</v>
      </c>
      <c r="G1">
        <v>5</v>
      </c>
      <c r="H1">
        <v>6</v>
      </c>
      <c r="I1">
        <v>7</v>
      </c>
    </row>
    <row r="2" spans="1:14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G2">
        <v>5</v>
      </c>
      <c r="H2" t="s">
        <v>3</v>
      </c>
      <c r="I2" t="s">
        <v>4</v>
      </c>
      <c r="M2" t="s">
        <v>5</v>
      </c>
      <c r="N2" t="s">
        <v>6</v>
      </c>
    </row>
    <row r="3" spans="1:14" x14ac:dyDescent="0.3">
      <c r="B3">
        <v>6.5547333333333304</v>
      </c>
      <c r="C3">
        <v>2.8843999999999901</v>
      </c>
      <c r="G3" t="s">
        <v>7</v>
      </c>
      <c r="M3" t="s">
        <v>8</v>
      </c>
      <c r="N3">
        <v>36.442116839039457</v>
      </c>
    </row>
    <row r="4" spans="1:14" x14ac:dyDescent="0.3">
      <c r="A4" t="s">
        <v>9</v>
      </c>
      <c r="B4">
        <v>216.1</v>
      </c>
      <c r="C4">
        <v>2510.8000000000002</v>
      </c>
      <c r="D4">
        <f t="shared" ref="D4:D18" si="0">C4/B4</f>
        <v>11.618695048588618</v>
      </c>
      <c r="E4">
        <f t="shared" ref="E4:E18" si="1">D4/$B$21</f>
        <v>13.25654064531761</v>
      </c>
      <c r="F4" s="1">
        <f>E4*$N$5</f>
        <v>151.70646792623421</v>
      </c>
      <c r="G4">
        <v>0</v>
      </c>
      <c r="H4">
        <f t="shared" ref="H4:H18" si="2">G4/B4</f>
        <v>0</v>
      </c>
      <c r="I4">
        <f t="shared" ref="I4:I18" si="3">H4/$B$22</f>
        <v>0</v>
      </c>
      <c r="J4" s="1">
        <f>I4*$N$5</f>
        <v>0</v>
      </c>
      <c r="K4" s="1">
        <f t="shared" ref="K4:K19" si="4">SUM(F4,J4)</f>
        <v>151.70646792623421</v>
      </c>
      <c r="M4" t="s">
        <v>10</v>
      </c>
      <c r="N4">
        <v>156.39442691017649</v>
      </c>
    </row>
    <row r="5" spans="1:14" x14ac:dyDescent="0.3">
      <c r="A5" t="s">
        <v>11</v>
      </c>
      <c r="B5">
        <v>217.9</v>
      </c>
      <c r="C5">
        <v>2531.9</v>
      </c>
      <c r="D5">
        <f t="shared" si="0"/>
        <v>11.619550252409363</v>
      </c>
      <c r="E5">
        <f t="shared" si="1"/>
        <v>13.257516404140983</v>
      </c>
      <c r="F5" s="1">
        <f>N4</f>
        <v>156.39442691017649</v>
      </c>
      <c r="H5">
        <f t="shared" si="2"/>
        <v>0</v>
      </c>
      <c r="I5">
        <f t="shared" si="3"/>
        <v>0</v>
      </c>
      <c r="J5" s="1">
        <f>I5*$N$5</f>
        <v>0</v>
      </c>
      <c r="K5" s="1">
        <f t="shared" si="4"/>
        <v>156.39442691017649</v>
      </c>
      <c r="M5" t="s">
        <v>1</v>
      </c>
      <c r="N5">
        <v>11.44389565763667</v>
      </c>
    </row>
    <row r="6" spans="1:14" x14ac:dyDescent="0.3">
      <c r="A6" t="s">
        <v>12</v>
      </c>
      <c r="B6">
        <v>322.7</v>
      </c>
      <c r="C6">
        <v>3666.3</v>
      </c>
      <c r="D6">
        <f t="shared" si="0"/>
        <v>11.361326309265573</v>
      </c>
      <c r="E6">
        <f t="shared" si="1"/>
        <v>12.962891561715526</v>
      </c>
      <c r="F6" s="1">
        <f>E6*$N$5</f>
        <v>148.34597845353133</v>
      </c>
      <c r="G6">
        <v>116.4</v>
      </c>
      <c r="H6">
        <f t="shared" si="2"/>
        <v>0.36070653858072516</v>
      </c>
      <c r="I6">
        <f t="shared" si="3"/>
        <v>0.65144760444414873</v>
      </c>
      <c r="J6" s="1">
        <f>I6*$N$5</f>
        <v>7.4550984116762047</v>
      </c>
      <c r="K6" s="1">
        <f t="shared" si="4"/>
        <v>155.80107686520753</v>
      </c>
    </row>
    <row r="7" spans="1:14" x14ac:dyDescent="0.3">
      <c r="A7" t="s">
        <v>13</v>
      </c>
      <c r="B7">
        <v>325.8</v>
      </c>
      <c r="C7">
        <v>3537.9</v>
      </c>
      <c r="D7">
        <f t="shared" si="0"/>
        <v>10.859116022099448</v>
      </c>
      <c r="E7">
        <f t="shared" si="1"/>
        <v>12.389886499058074</v>
      </c>
      <c r="F7" s="1">
        <f>E7*$N$5</f>
        <v>141.78856830518188</v>
      </c>
      <c r="G7">
        <v>221</v>
      </c>
      <c r="H7">
        <f t="shared" si="2"/>
        <v>0.67833026396562301</v>
      </c>
      <c r="I7">
        <f t="shared" si="3"/>
        <v>1.2250862632574011</v>
      </c>
      <c r="J7" s="1">
        <f>I7*$N$5</f>
        <v>14.019759368321706</v>
      </c>
      <c r="K7" s="1">
        <f t="shared" si="4"/>
        <v>155.80832767350358</v>
      </c>
    </row>
    <row r="8" spans="1:14" x14ac:dyDescent="0.3">
      <c r="A8" t="s">
        <v>14</v>
      </c>
      <c r="B8">
        <v>389.3</v>
      </c>
      <c r="C8">
        <v>3877.7</v>
      </c>
      <c r="D8">
        <f t="shared" si="0"/>
        <v>9.960698689956331</v>
      </c>
      <c r="E8">
        <f t="shared" si="1"/>
        <v>11.364822511217218</v>
      </c>
      <c r="F8" s="1">
        <f>E8*$N$5</f>
        <v>130.05784298593019</v>
      </c>
      <c r="G8">
        <v>494.6</v>
      </c>
      <c r="H8">
        <f t="shared" si="2"/>
        <v>1.2704854867711277</v>
      </c>
      <c r="I8">
        <f t="shared" si="3"/>
        <v>2.2945376318785042</v>
      </c>
      <c r="J8" s="1">
        <f>I8*$N$5</f>
        <v>26.258449241738344</v>
      </c>
      <c r="K8" s="1">
        <f t="shared" si="4"/>
        <v>156.31629222766853</v>
      </c>
    </row>
    <row r="9" spans="1:14" x14ac:dyDescent="0.3">
      <c r="A9" t="s">
        <v>15</v>
      </c>
      <c r="B9">
        <v>225.8</v>
      </c>
      <c r="C9">
        <v>2096.1999999999998</v>
      </c>
      <c r="D9">
        <f t="shared" si="0"/>
        <v>9.2834366696191299</v>
      </c>
      <c r="E9">
        <f t="shared" si="1"/>
        <v>10.592089303005455</v>
      </c>
      <c r="F9" s="2">
        <f>E9*$N$12</f>
        <v>120.17785902906952</v>
      </c>
      <c r="G9">
        <v>398</v>
      </c>
      <c r="H9">
        <f t="shared" si="2"/>
        <v>1.7626217891939768</v>
      </c>
      <c r="I9">
        <f t="shared" si="3"/>
        <v>3.1833516149430685</v>
      </c>
      <c r="J9" s="2">
        <f>I9*$N$12</f>
        <v>36.118311569752052</v>
      </c>
      <c r="K9" s="2">
        <f t="shared" si="4"/>
        <v>156.29617059882156</v>
      </c>
    </row>
    <row r="10" spans="1:14" x14ac:dyDescent="0.3">
      <c r="A10" t="s">
        <v>16</v>
      </c>
      <c r="B10">
        <v>532.1</v>
      </c>
      <c r="C10">
        <v>4667.5</v>
      </c>
      <c r="D10">
        <f t="shared" si="0"/>
        <v>8.7718473971058071</v>
      </c>
      <c r="E10">
        <f t="shared" si="1"/>
        <v>10.008383133214453</v>
      </c>
      <c r="F10" s="2">
        <f>E10*$N$12</f>
        <v>113.5551280662899</v>
      </c>
      <c r="G10">
        <v>1123.0999999999999</v>
      </c>
      <c r="H10">
        <f t="shared" si="2"/>
        <v>2.1106934786694227</v>
      </c>
      <c r="I10">
        <f t="shared" si="3"/>
        <v>3.8119802757258854</v>
      </c>
      <c r="J10" s="2">
        <f>I10*$N$12</f>
        <v>43.250733173840487</v>
      </c>
      <c r="K10" s="2">
        <f t="shared" si="4"/>
        <v>156.80586124013038</v>
      </c>
      <c r="M10" t="s">
        <v>8</v>
      </c>
      <c r="N10">
        <v>108.4152607396382</v>
      </c>
    </row>
    <row r="11" spans="1:14" x14ac:dyDescent="0.3">
      <c r="A11" t="s">
        <v>17</v>
      </c>
      <c r="B11">
        <v>94.3</v>
      </c>
      <c r="C11">
        <v>763</v>
      </c>
      <c r="D11">
        <f t="shared" si="0"/>
        <v>8.0911983032873813</v>
      </c>
      <c r="E11">
        <f t="shared" si="1"/>
        <v>9.2317853879712271</v>
      </c>
      <c r="F11" s="2">
        <f>E11*$N$12</f>
        <v>104.74384903717032</v>
      </c>
      <c r="G11">
        <v>232</v>
      </c>
      <c r="H11">
        <f t="shared" si="2"/>
        <v>2.460233297985154</v>
      </c>
      <c r="I11">
        <f t="shared" si="3"/>
        <v>4.4432604261967743</v>
      </c>
      <c r="J11" s="2">
        <f>I11*$N$12</f>
        <v>50.413238583383603</v>
      </c>
      <c r="K11" s="2">
        <f t="shared" si="4"/>
        <v>155.15708762055391</v>
      </c>
      <c r="M11" t="s">
        <v>10</v>
      </c>
      <c r="N11">
        <v>155.05658427223241</v>
      </c>
    </row>
    <row r="12" spans="1:14" x14ac:dyDescent="0.3">
      <c r="A12" t="s">
        <v>18</v>
      </c>
      <c r="B12">
        <v>76.157525634765705</v>
      </c>
      <c r="C12">
        <v>568.9</v>
      </c>
      <c r="D12">
        <f t="shared" si="0"/>
        <v>7.470043114692511</v>
      </c>
      <c r="E12">
        <f t="shared" si="1"/>
        <v>8.5230681895059739</v>
      </c>
      <c r="F12" s="3">
        <f>E12*$N$20</f>
        <v>95.628341869393012</v>
      </c>
      <c r="G12">
        <v>218.7</v>
      </c>
      <c r="H12">
        <f t="shared" si="2"/>
        <v>2.8716794325597683</v>
      </c>
      <c r="I12">
        <f t="shared" si="3"/>
        <v>5.1863453721505666</v>
      </c>
      <c r="J12" s="3">
        <f>I12*$N$20</f>
        <v>58.190501034757808</v>
      </c>
      <c r="K12" s="3">
        <f t="shared" si="4"/>
        <v>153.81884290415081</v>
      </c>
      <c r="M12" t="s">
        <v>1</v>
      </c>
      <c r="N12">
        <v>11.34600130259189</v>
      </c>
    </row>
    <row r="13" spans="1:14" x14ac:dyDescent="0.3">
      <c r="A13" t="s">
        <v>19</v>
      </c>
      <c r="B13">
        <v>232.85486</v>
      </c>
      <c r="C13">
        <v>1604.66956</v>
      </c>
      <c r="D13">
        <f t="shared" si="0"/>
        <v>6.8912865292998395</v>
      </c>
      <c r="E13">
        <f t="shared" si="1"/>
        <v>7.8627263726394432</v>
      </c>
      <c r="F13" s="3">
        <f>E13*$N$20</f>
        <v>88.219344122347067</v>
      </c>
      <c r="G13">
        <v>775.62183000000005</v>
      </c>
      <c r="H13">
        <f t="shared" si="2"/>
        <v>3.3309239497943057</v>
      </c>
      <c r="I13">
        <f t="shared" si="3"/>
        <v>6.015755733780578</v>
      </c>
      <c r="J13" s="3">
        <f>I13*$N$20</f>
        <v>67.496438268678844</v>
      </c>
      <c r="K13" s="3">
        <f t="shared" si="4"/>
        <v>155.71578239102593</v>
      </c>
      <c r="M13" t="s">
        <v>20</v>
      </c>
      <c r="N13">
        <v>0</v>
      </c>
    </row>
    <row r="14" spans="1:14" x14ac:dyDescent="0.3">
      <c r="A14" t="s">
        <v>21</v>
      </c>
      <c r="B14">
        <v>636.20000000000005</v>
      </c>
      <c r="C14">
        <v>3777.5</v>
      </c>
      <c r="D14">
        <f t="shared" si="0"/>
        <v>5.9375982395473121</v>
      </c>
      <c r="E14">
        <f t="shared" si="1"/>
        <v>6.7746000793511465</v>
      </c>
      <c r="F14" s="3">
        <f>E14*$N$20</f>
        <v>76.010628803165744</v>
      </c>
      <c r="G14">
        <v>2406.6999999999998</v>
      </c>
      <c r="H14">
        <f t="shared" si="2"/>
        <v>3.7829298962590374</v>
      </c>
      <c r="I14">
        <f t="shared" si="3"/>
        <v>6.8320930038992911</v>
      </c>
      <c r="J14" s="3">
        <f>I14*$N$20</f>
        <v>76.655696157024366</v>
      </c>
      <c r="K14" s="3">
        <f t="shared" si="4"/>
        <v>152.66632496019011</v>
      </c>
    </row>
    <row r="15" spans="1:14" x14ac:dyDescent="0.3">
      <c r="A15" t="s">
        <v>22</v>
      </c>
      <c r="B15">
        <v>621.1</v>
      </c>
      <c r="C15">
        <v>3013.4</v>
      </c>
      <c r="D15">
        <f t="shared" si="0"/>
        <v>4.8517146997262923</v>
      </c>
      <c r="E15">
        <f t="shared" si="1"/>
        <v>5.5356434476881651</v>
      </c>
      <c r="F15" s="4">
        <f>E15*$N$28</f>
        <v>61.225578020100656</v>
      </c>
      <c r="G15">
        <v>2776.5</v>
      </c>
      <c r="H15">
        <f t="shared" si="2"/>
        <v>4.4702946385445177</v>
      </c>
      <c r="I15">
        <f t="shared" si="3"/>
        <v>8.0734958254370923</v>
      </c>
      <c r="J15" s="4">
        <f>I15*$N$28</f>
        <v>89.294849501495733</v>
      </c>
      <c r="K15" s="4">
        <f t="shared" si="4"/>
        <v>150.52042752159639</v>
      </c>
    </row>
    <row r="16" spans="1:14" x14ac:dyDescent="0.3">
      <c r="A16" t="s">
        <v>23</v>
      </c>
      <c r="B16">
        <v>468.1</v>
      </c>
      <c r="C16">
        <v>2517.1</v>
      </c>
      <c r="D16">
        <f t="shared" si="0"/>
        <v>5.3772698141422772</v>
      </c>
      <c r="E16">
        <f t="shared" si="1"/>
        <v>6.1352841738174195</v>
      </c>
      <c r="F16" s="4">
        <f>E16*$N$28</f>
        <v>67.857751932419561</v>
      </c>
      <c r="G16">
        <v>2943.3</v>
      </c>
      <c r="H16">
        <f t="shared" si="2"/>
        <v>6.2877590258491773</v>
      </c>
      <c r="I16">
        <f t="shared" si="3"/>
        <v>11.355894935613469</v>
      </c>
      <c r="J16" s="4">
        <f>I16*$N$28</f>
        <v>125.59899096442574</v>
      </c>
      <c r="K16" s="4">
        <f t="shared" si="4"/>
        <v>193.4567428968453</v>
      </c>
    </row>
    <row r="17" spans="1:14" x14ac:dyDescent="0.3">
      <c r="A17" t="s">
        <v>24</v>
      </c>
      <c r="B17">
        <v>554.5</v>
      </c>
      <c r="C17">
        <v>1701.6</v>
      </c>
      <c r="D17">
        <f t="shared" si="0"/>
        <v>3.0687105500450853</v>
      </c>
      <c r="E17">
        <f t="shared" si="1"/>
        <v>3.5012956244453024</v>
      </c>
      <c r="F17" s="4">
        <f>E17*$N$28</f>
        <v>38.725190748229849</v>
      </c>
      <c r="G17">
        <v>3100.1</v>
      </c>
      <c r="H17">
        <f t="shared" si="2"/>
        <v>5.5908025247971143</v>
      </c>
      <c r="I17">
        <f t="shared" si="3"/>
        <v>10.097169089393381</v>
      </c>
      <c r="J17" s="4">
        <f>I17*$N$28</f>
        <v>111.67717352225465</v>
      </c>
      <c r="K17" s="4">
        <f t="shared" si="4"/>
        <v>150.4023642704845</v>
      </c>
    </row>
    <row r="18" spans="1:14" x14ac:dyDescent="0.3">
      <c r="A18" t="s">
        <v>25</v>
      </c>
      <c r="B18">
        <v>161.83776855468801</v>
      </c>
      <c r="C18">
        <v>4.4000000000000004</v>
      </c>
      <c r="D18">
        <f t="shared" si="0"/>
        <v>2.7187720389960507E-2</v>
      </c>
      <c r="E18">
        <f t="shared" si="1"/>
        <v>3.1020275417833885E-2</v>
      </c>
      <c r="F18" s="4">
        <f>E18*$N$28</f>
        <v>0.34309187554208731</v>
      </c>
      <c r="G18">
        <v>1267.4000000000001</v>
      </c>
      <c r="H18">
        <f t="shared" si="2"/>
        <v>7.8312992777808965</v>
      </c>
      <c r="I18">
        <f t="shared" si="3"/>
        <v>14.143578251365174</v>
      </c>
      <c r="J18" s="4">
        <v>151.19999999999999</v>
      </c>
      <c r="K18" s="4">
        <f t="shared" si="4"/>
        <v>151.54309187554207</v>
      </c>
      <c r="M18" t="s">
        <v>8</v>
      </c>
      <c r="N18">
        <v>107.2107297042535</v>
      </c>
    </row>
    <row r="19" spans="1:14" x14ac:dyDescent="0.3">
      <c r="F19" s="4">
        <f>E19*$N$28</f>
        <v>0</v>
      </c>
      <c r="J19" s="4">
        <f>I19*$N$28</f>
        <v>0</v>
      </c>
      <c r="K19" s="4">
        <f t="shared" si="4"/>
        <v>0</v>
      </c>
      <c r="M19" t="s">
        <v>10</v>
      </c>
      <c r="N19">
        <v>153.33385200444599</v>
      </c>
    </row>
    <row r="20" spans="1:14" x14ac:dyDescent="0.3">
      <c r="M20" t="s">
        <v>1</v>
      </c>
      <c r="N20">
        <v>11.219943304822481</v>
      </c>
    </row>
    <row r="21" spans="1:14" x14ac:dyDescent="0.3">
      <c r="A21" t="s">
        <v>26</v>
      </c>
      <c r="B21">
        <v>0.87644999999999995</v>
      </c>
      <c r="M21" t="s">
        <v>20</v>
      </c>
      <c r="N21">
        <v>126.3210072456525</v>
      </c>
    </row>
    <row r="22" spans="1:14" x14ac:dyDescent="0.3">
      <c r="A22" t="s">
        <v>27</v>
      </c>
      <c r="B22">
        <v>0.55369999999999997</v>
      </c>
    </row>
    <row r="26" spans="1:14" x14ac:dyDescent="0.3">
      <c r="M26" t="s">
        <v>8</v>
      </c>
      <c r="N26">
        <v>225.9584885802922</v>
      </c>
    </row>
    <row r="27" spans="1:14" x14ac:dyDescent="0.3">
      <c r="M27" t="s">
        <v>10</v>
      </c>
      <c r="N27">
        <v>151.15139795961201</v>
      </c>
    </row>
    <row r="28" spans="1:14" x14ac:dyDescent="0.3">
      <c r="M28" t="s">
        <v>1</v>
      </c>
      <c r="N28">
        <v>11.06024594948761</v>
      </c>
    </row>
    <row r="29" spans="1:14" x14ac:dyDescent="0.3">
      <c r="M29" t="s">
        <v>20</v>
      </c>
      <c r="N29">
        <v>124.5230364152921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G21"/>
  <sheetViews>
    <sheetView workbookViewId="0">
      <selection activeCell="G1" sqref="G1:G14"/>
    </sheetView>
  </sheetViews>
  <sheetFormatPr defaultRowHeight="14.4" x14ac:dyDescent="0.3"/>
  <sheetData>
    <row r="1" spans="1:7" x14ac:dyDescent="0.3">
      <c r="A1" s="5" t="s">
        <v>28</v>
      </c>
      <c r="B1" s="6">
        <v>0.35097222222222219</v>
      </c>
      <c r="C1" s="7">
        <f t="shared" ref="C1:C8" si="0">(B1-$B$1)*86400/60</f>
        <v>0</v>
      </c>
      <c r="D1" t="s">
        <v>29</v>
      </c>
      <c r="E1" s="7">
        <f>C1</f>
        <v>0</v>
      </c>
      <c r="F1" t="s">
        <v>30</v>
      </c>
      <c r="G1" s="7">
        <f>C1</f>
        <v>0</v>
      </c>
    </row>
    <row r="2" spans="1:7" x14ac:dyDescent="0.3">
      <c r="A2" s="5" t="s">
        <v>31</v>
      </c>
      <c r="B2" s="6">
        <v>0.38172453703703701</v>
      </c>
      <c r="C2" s="7">
        <f t="shared" si="0"/>
        <v>44.283333333333353</v>
      </c>
      <c r="D2" t="s">
        <v>32</v>
      </c>
      <c r="E2" s="7">
        <f>C2</f>
        <v>44.283333333333353</v>
      </c>
      <c r="F2" t="s">
        <v>33</v>
      </c>
      <c r="G2" s="7">
        <f>C6</f>
        <v>5.8500000000000352</v>
      </c>
    </row>
    <row r="3" spans="1:7" x14ac:dyDescent="0.3">
      <c r="A3" s="5" t="s">
        <v>34</v>
      </c>
      <c r="B3" s="6">
        <v>0.39</v>
      </c>
      <c r="C3" s="7">
        <f t="shared" si="0"/>
        <v>56.200000000000074</v>
      </c>
      <c r="D3" t="s">
        <v>35</v>
      </c>
      <c r="E3" s="7">
        <f>C3</f>
        <v>56.200000000000074</v>
      </c>
      <c r="F3" t="s">
        <v>36</v>
      </c>
      <c r="G3" s="7">
        <f>C7</f>
        <v>21.133333333333493</v>
      </c>
    </row>
    <row r="4" spans="1:7" x14ac:dyDescent="0.3">
      <c r="A4" s="5" t="s">
        <v>37</v>
      </c>
      <c r="B4" s="6">
        <v>0.42224537037037041</v>
      </c>
      <c r="C4" s="7">
        <f t="shared" si="0"/>
        <v>102.63333333333344</v>
      </c>
      <c r="D4" t="s">
        <v>38</v>
      </c>
      <c r="E4" s="7">
        <f>C4</f>
        <v>102.63333333333344</v>
      </c>
      <c r="F4" t="s">
        <v>39</v>
      </c>
      <c r="G4" s="7">
        <f>C8</f>
        <v>40.150000000000119</v>
      </c>
    </row>
    <row r="5" spans="1:7" x14ac:dyDescent="0.3">
      <c r="A5" s="5" t="s">
        <v>40</v>
      </c>
      <c r="B5" s="8">
        <v>0.3394212962962963</v>
      </c>
      <c r="C5" s="7">
        <f t="shared" si="0"/>
        <v>-16.633333333333269</v>
      </c>
      <c r="F5" t="s">
        <v>41</v>
      </c>
      <c r="G5" s="7">
        <f>C10</f>
        <v>46.933333333333373</v>
      </c>
    </row>
    <row r="6" spans="1:7" x14ac:dyDescent="0.3">
      <c r="A6" s="5" t="s">
        <v>42</v>
      </c>
      <c r="B6" s="6">
        <v>0.35503472222222221</v>
      </c>
      <c r="C6" s="7">
        <f t="shared" si="0"/>
        <v>5.8500000000000352</v>
      </c>
      <c r="F6" t="s">
        <v>43</v>
      </c>
      <c r="G6" s="7">
        <f>C11</f>
        <v>49.750000000000021</v>
      </c>
    </row>
    <row r="7" spans="1:7" x14ac:dyDescent="0.3">
      <c r="A7" s="5" t="s">
        <v>36</v>
      </c>
      <c r="B7" s="6">
        <v>0.36564814814814822</v>
      </c>
      <c r="C7" s="7">
        <f t="shared" si="0"/>
        <v>21.133333333333493</v>
      </c>
      <c r="F7" t="s">
        <v>44</v>
      </c>
      <c r="G7" s="7">
        <f>C12</f>
        <v>54.266666666666701</v>
      </c>
    </row>
    <row r="8" spans="1:7" x14ac:dyDescent="0.3">
      <c r="A8" s="5" t="s">
        <v>45</v>
      </c>
      <c r="B8" s="6">
        <v>0.37885416666666671</v>
      </c>
      <c r="C8" s="7">
        <f t="shared" si="0"/>
        <v>40.150000000000119</v>
      </c>
      <c r="F8" t="s">
        <v>46</v>
      </c>
      <c r="G8" s="7">
        <f>C14</f>
        <v>59.900000000000176</v>
      </c>
    </row>
    <row r="9" spans="1:7" x14ac:dyDescent="0.3">
      <c r="C9" s="7"/>
      <c r="F9" t="s">
        <v>47</v>
      </c>
      <c r="G9" s="7">
        <f>C15</f>
        <v>71.533333333333303</v>
      </c>
    </row>
    <row r="10" spans="1:7" ht="30" customHeight="1" x14ac:dyDescent="0.3">
      <c r="A10" s="5" t="s">
        <v>48</v>
      </c>
      <c r="B10" s="6">
        <v>0.3835648148148148</v>
      </c>
      <c r="C10" s="7">
        <f>(B10-$B$1)*86400/60</f>
        <v>46.933333333333373</v>
      </c>
      <c r="F10" t="s">
        <v>49</v>
      </c>
      <c r="G10" s="7">
        <f>C16</f>
        <v>86.750000000000043</v>
      </c>
    </row>
    <row r="11" spans="1:7" x14ac:dyDescent="0.3">
      <c r="A11" s="5" t="s">
        <v>50</v>
      </c>
      <c r="B11" s="6">
        <v>0.38552083333333331</v>
      </c>
      <c r="C11" s="7">
        <f>(B11-$B$1)*86400/60</f>
        <v>49.750000000000021</v>
      </c>
      <c r="F11" t="s">
        <v>51</v>
      </c>
      <c r="G11" s="7">
        <f>C18</f>
        <v>104.55000000000003</v>
      </c>
    </row>
    <row r="12" spans="1:7" x14ac:dyDescent="0.3">
      <c r="A12" s="5" t="s">
        <v>52</v>
      </c>
      <c r="B12" s="6">
        <v>0.3886574074074074</v>
      </c>
      <c r="C12" s="7">
        <f>(B12-$B$1)*86400/60</f>
        <v>54.266666666666701</v>
      </c>
      <c r="F12" t="s">
        <v>53</v>
      </c>
      <c r="G12" s="7">
        <f>C19</f>
        <v>108.58333333333333</v>
      </c>
    </row>
    <row r="13" spans="1:7" x14ac:dyDescent="0.3">
      <c r="C13" s="7"/>
      <c r="F13" t="s">
        <v>54</v>
      </c>
      <c r="G13" s="7">
        <f>C20</f>
        <v>114.56666666666669</v>
      </c>
    </row>
    <row r="14" spans="1:7" x14ac:dyDescent="0.3">
      <c r="A14" s="5" t="s">
        <v>55</v>
      </c>
      <c r="B14" s="6">
        <v>0.39256944444444453</v>
      </c>
      <c r="C14" s="7">
        <f>(B14-$B$1)*86400/60</f>
        <v>59.900000000000176</v>
      </c>
      <c r="F14" t="s">
        <v>56</v>
      </c>
      <c r="G14" s="7">
        <f>C21</f>
        <v>381.25000000000006</v>
      </c>
    </row>
    <row r="15" spans="1:7" x14ac:dyDescent="0.3">
      <c r="A15" s="5" t="s">
        <v>57</v>
      </c>
      <c r="B15" s="6">
        <v>0.40064814814814809</v>
      </c>
      <c r="C15" s="7">
        <f>(B15-$B$1)*86400/60</f>
        <v>71.533333333333303</v>
      </c>
    </row>
    <row r="16" spans="1:7" x14ac:dyDescent="0.3">
      <c r="A16" s="5" t="s">
        <v>58</v>
      </c>
      <c r="B16" s="6">
        <v>0.41121527777777778</v>
      </c>
      <c r="C16" s="7">
        <f>(B16-$B$1)*86400/60</f>
        <v>86.750000000000043</v>
      </c>
    </row>
    <row r="17" spans="1:3" x14ac:dyDescent="0.3">
      <c r="C17" s="7"/>
    </row>
    <row r="18" spans="1:3" x14ac:dyDescent="0.3">
      <c r="A18" s="5" t="s">
        <v>59</v>
      </c>
      <c r="B18" s="6">
        <v>0.42357638888888888</v>
      </c>
      <c r="C18" s="7">
        <f>(B18-$B$1)*86400/60</f>
        <v>104.55000000000003</v>
      </c>
    </row>
    <row r="19" spans="1:3" x14ac:dyDescent="0.3">
      <c r="A19" s="5" t="s">
        <v>60</v>
      </c>
      <c r="B19" s="6">
        <v>0.42637731481481478</v>
      </c>
      <c r="C19" s="7">
        <f>(B19-$B$1)*86400/60</f>
        <v>108.58333333333333</v>
      </c>
    </row>
    <row r="20" spans="1:3" x14ac:dyDescent="0.3">
      <c r="A20" s="5" t="s">
        <v>61</v>
      </c>
      <c r="B20" s="6">
        <v>0.43053240740740739</v>
      </c>
      <c r="C20" s="7">
        <f>(B20-$B$1)*86400/60</f>
        <v>114.56666666666669</v>
      </c>
    </row>
    <row r="21" spans="1:3" x14ac:dyDescent="0.3">
      <c r="A21" s="5" t="s">
        <v>62</v>
      </c>
      <c r="B21" s="6">
        <v>0.61572916666666666</v>
      </c>
      <c r="C21" s="7">
        <f>(B21-$B$1)*86400/60</f>
        <v>381.25000000000006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tabSelected="1" workbookViewId="0">
      <selection activeCell="M9" sqref="M9"/>
    </sheetView>
  </sheetViews>
  <sheetFormatPr defaultColWidth="8.88671875" defaultRowHeight="14.4" x14ac:dyDescent="0.3"/>
  <sheetData>
    <row r="1" spans="1:3" x14ac:dyDescent="0.3">
      <c r="A1" t="s">
        <v>63</v>
      </c>
      <c r="B1" t="s">
        <v>64</v>
      </c>
      <c r="C1" t="s">
        <v>7</v>
      </c>
    </row>
    <row r="2" spans="1:3" x14ac:dyDescent="0.3">
      <c r="A2">
        <v>0</v>
      </c>
      <c r="B2" s="1">
        <v>156.39442691017649</v>
      </c>
      <c r="C2">
        <v>0</v>
      </c>
    </row>
    <row r="3" spans="1:3" x14ac:dyDescent="0.3">
      <c r="A3">
        <v>5.8499999999999552</v>
      </c>
      <c r="B3" s="1">
        <v>148.3459784535313</v>
      </c>
      <c r="C3">
        <v>7.455098411676202</v>
      </c>
    </row>
    <row r="4" spans="1:3" x14ac:dyDescent="0.3">
      <c r="A4">
        <v>21.133333333333329</v>
      </c>
      <c r="B4" s="1">
        <v>141.78856830518191</v>
      </c>
      <c r="C4">
        <v>14.019759368321701</v>
      </c>
    </row>
    <row r="5" spans="1:3" x14ac:dyDescent="0.3">
      <c r="A5">
        <v>40.149999999999963</v>
      </c>
      <c r="B5" s="1">
        <v>130.05784298593019</v>
      </c>
      <c r="C5">
        <v>26.25844924173833</v>
      </c>
    </row>
    <row r="6" spans="1:3" x14ac:dyDescent="0.3">
      <c r="A6">
        <v>46.933333333333287</v>
      </c>
      <c r="B6" s="1">
        <v>120.17785902906959</v>
      </c>
      <c r="C6">
        <v>36.118311569752073</v>
      </c>
    </row>
    <row r="7" spans="1:3" x14ac:dyDescent="0.3">
      <c r="A7">
        <v>49.749999999999943</v>
      </c>
      <c r="B7" s="2">
        <v>113.5551280662899</v>
      </c>
      <c r="C7">
        <v>43.250733173840501</v>
      </c>
    </row>
    <row r="8" spans="1:3" x14ac:dyDescent="0.3">
      <c r="A8">
        <v>54.266666666666623</v>
      </c>
      <c r="B8" s="2">
        <v>104.74384903717031</v>
      </c>
      <c r="C8">
        <v>50.413238583383617</v>
      </c>
    </row>
    <row r="9" spans="1:3" x14ac:dyDescent="0.3">
      <c r="A9">
        <v>59.900000000000013</v>
      </c>
      <c r="B9" s="2">
        <v>95.628341869393026</v>
      </c>
      <c r="C9">
        <v>58.190501034757823</v>
      </c>
    </row>
    <row r="10" spans="1:3" x14ac:dyDescent="0.3">
      <c r="A10">
        <v>71.533333333333303</v>
      </c>
      <c r="B10" s="3">
        <v>88.219344122347081</v>
      </c>
      <c r="C10">
        <v>67.496438268678858</v>
      </c>
    </row>
    <row r="11" spans="1:3" x14ac:dyDescent="0.3">
      <c r="A11">
        <v>86.749999999999972</v>
      </c>
      <c r="B11" s="3">
        <v>76.010628803165758</v>
      </c>
      <c r="C11">
        <v>76.65569615702438</v>
      </c>
    </row>
    <row r="12" spans="1:3" x14ac:dyDescent="0.3">
      <c r="A12">
        <v>104.55</v>
      </c>
      <c r="B12" s="3">
        <v>61.225578020100663</v>
      </c>
      <c r="C12">
        <v>89.294849501495733</v>
      </c>
    </row>
    <row r="13" spans="1:3" x14ac:dyDescent="0.3">
      <c r="A13">
        <v>114.56666666666661</v>
      </c>
      <c r="B13" s="4">
        <v>38.725190748229849</v>
      </c>
      <c r="C13">
        <v>111.67717352225461</v>
      </c>
    </row>
    <row r="14" spans="1:3" x14ac:dyDescent="0.3">
      <c r="A14">
        <v>381.24999999999989</v>
      </c>
      <c r="B14" s="4">
        <v>0.34309187554208731</v>
      </c>
      <c r="C14">
        <v>151</v>
      </c>
    </row>
    <row r="15" spans="1:3" x14ac:dyDescent="0.3">
      <c r="B15" s="4">
        <v>0.34309187554208731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C2_E6 HPLC 254 nm</vt:lpstr>
      <vt:lpstr>Sample and addition times</vt:lpstr>
      <vt:lpstr>Concentration vs time HPLC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Dalland</dc:creator>
  <cp:lastModifiedBy>Dalland, Daniel</cp:lastModifiedBy>
  <dcterms:created xsi:type="dcterms:W3CDTF">2025-02-02T09:13:52Z</dcterms:created>
  <dcterms:modified xsi:type="dcterms:W3CDTF">2026-01-12T10:57:16Z</dcterms:modified>
</cp:coreProperties>
</file>
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3" documentId="11_A060C8350DCA6FD7D81A32FE89214AFE44162D7B" xr6:coauthVersionLast="47" xr6:coauthVersionMax="47" xr10:uidLastSave="{7C52E39F-1923-48FE-8A15-C3432AE707D3}"/>
  <bookViews>
    <workbookView xWindow="-108" yWindow="-108" windowWidth="23256" windowHeight="12456" activeTab="2" xr2:uid="{00000000-000D-0000-FFFF-FFFF00000000}"/>
  </bookViews>
  <sheets>
    <sheet name="C1_E1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E18" i="2" s="1"/>
  <c r="D17" i="2"/>
  <c r="D16" i="2"/>
  <c r="E16" i="2" s="1"/>
  <c r="D15" i="2"/>
  <c r="E15" i="2" s="1"/>
  <c r="E14" i="2"/>
  <c r="I12" i="2" s="1"/>
  <c r="D14" i="2"/>
  <c r="D13" i="2"/>
  <c r="E13" i="2" s="1"/>
  <c r="D12" i="2"/>
  <c r="E12" i="2" s="1"/>
  <c r="D11" i="2"/>
  <c r="E11" i="2" s="1"/>
  <c r="E10" i="2"/>
  <c r="F10" i="2" s="1"/>
  <c r="D10" i="2"/>
  <c r="D9" i="2"/>
  <c r="E9" i="2" s="1"/>
  <c r="D8" i="2"/>
  <c r="E8" i="2" s="1"/>
  <c r="D7" i="2"/>
  <c r="E7" i="2" s="1"/>
  <c r="E6" i="2"/>
  <c r="F6" i="2" s="1"/>
  <c r="D6" i="2"/>
  <c r="D5" i="2"/>
  <c r="D4" i="2"/>
  <c r="E4" i="2" s="1"/>
  <c r="D3" i="2"/>
  <c r="E3" i="2" s="1"/>
  <c r="D2" i="2"/>
  <c r="E5" i="2" s="1"/>
  <c r="D1" i="2"/>
  <c r="E1" i="2" s="1"/>
  <c r="F1" i="2" s="1"/>
  <c r="H17" i="1"/>
  <c r="I17" i="1" s="1"/>
  <c r="J17" i="1" s="1"/>
  <c r="K17" i="1" s="1"/>
  <c r="D17" i="1"/>
  <c r="E17" i="1" s="1"/>
  <c r="F17" i="1" s="1"/>
  <c r="L17" i="1" s="1"/>
  <c r="H16" i="1"/>
  <c r="I16" i="1" s="1"/>
  <c r="J16" i="1" s="1"/>
  <c r="K16" i="1" s="1"/>
  <c r="D16" i="1"/>
  <c r="E16" i="1" s="1"/>
  <c r="F16" i="1" s="1"/>
  <c r="L16" i="1" s="1"/>
  <c r="H15" i="1"/>
  <c r="I15" i="1" s="1"/>
  <c r="J15" i="1" s="1"/>
  <c r="K15" i="1" s="1"/>
  <c r="D15" i="1"/>
  <c r="E15" i="1" s="1"/>
  <c r="F15" i="1" s="1"/>
  <c r="L15" i="1" s="1"/>
  <c r="H14" i="1"/>
  <c r="I14" i="1" s="1"/>
  <c r="J14" i="1" s="1"/>
  <c r="K14" i="1" s="1"/>
  <c r="D14" i="1"/>
  <c r="E14" i="1" s="1"/>
  <c r="F14" i="1" s="1"/>
  <c r="L14" i="1" s="1"/>
  <c r="H13" i="1"/>
  <c r="I13" i="1" s="1"/>
  <c r="J13" i="1" s="1"/>
  <c r="K13" i="1" s="1"/>
  <c r="D13" i="1"/>
  <c r="E13" i="1" s="1"/>
  <c r="F13" i="1" s="1"/>
  <c r="L13" i="1" s="1"/>
  <c r="H12" i="1"/>
  <c r="I12" i="1" s="1"/>
  <c r="J12" i="1" s="1"/>
  <c r="K12" i="1" s="1"/>
  <c r="D12" i="1"/>
  <c r="E12" i="1" s="1"/>
  <c r="F12" i="1" s="1"/>
  <c r="H11" i="1"/>
  <c r="I11" i="1" s="1"/>
  <c r="J11" i="1" s="1"/>
  <c r="K11" i="1" s="1"/>
  <c r="D11" i="1"/>
  <c r="E11" i="1" s="1"/>
  <c r="F11" i="1" s="1"/>
  <c r="L11" i="1" s="1"/>
  <c r="H10" i="1"/>
  <c r="I10" i="1" s="1"/>
  <c r="J10" i="1" s="1"/>
  <c r="K10" i="1" s="1"/>
  <c r="D10" i="1"/>
  <c r="E10" i="1" s="1"/>
  <c r="F10" i="1" s="1"/>
  <c r="L10" i="1" s="1"/>
  <c r="H9" i="1"/>
  <c r="I9" i="1" s="1"/>
  <c r="J9" i="1" s="1"/>
  <c r="K9" i="1" s="1"/>
  <c r="D9" i="1"/>
  <c r="E9" i="1" s="1"/>
  <c r="F9" i="1" s="1"/>
  <c r="L9" i="1" s="1"/>
  <c r="H8" i="1"/>
  <c r="I8" i="1" s="1"/>
  <c r="J8" i="1" s="1"/>
  <c r="K8" i="1" s="1"/>
  <c r="D8" i="1"/>
  <c r="E8" i="1" s="1"/>
  <c r="F8" i="1" s="1"/>
  <c r="L8" i="1" s="1"/>
  <c r="H7" i="1"/>
  <c r="I7" i="1" s="1"/>
  <c r="J7" i="1" s="1"/>
  <c r="K7" i="1" s="1"/>
  <c r="D7" i="1"/>
  <c r="E7" i="1" s="1"/>
  <c r="F7" i="1" s="1"/>
  <c r="L7" i="1" s="1"/>
  <c r="H6" i="1"/>
  <c r="I6" i="1" s="1"/>
  <c r="J6" i="1" s="1"/>
  <c r="K6" i="1" s="1"/>
  <c r="D6" i="1"/>
  <c r="E6" i="1" s="1"/>
  <c r="F6" i="1" s="1"/>
  <c r="L6" i="1" s="1"/>
  <c r="H5" i="1"/>
  <c r="I5" i="1" s="1"/>
  <c r="J5" i="1" s="1"/>
  <c r="K5" i="1" s="1"/>
  <c r="D5" i="1"/>
  <c r="E5" i="1" s="1"/>
  <c r="F5" i="1" s="1"/>
  <c r="L5" i="1" s="1"/>
  <c r="H4" i="1"/>
  <c r="I4" i="1" s="1"/>
  <c r="J4" i="1" s="1"/>
  <c r="K4" i="1" s="1"/>
  <c r="D4" i="1"/>
  <c r="E4" i="1" s="1"/>
  <c r="F4" i="1" s="1"/>
  <c r="I7" i="2" l="1"/>
  <c r="F8" i="2"/>
  <c r="F9" i="2"/>
  <c r="I8" i="2"/>
  <c r="I9" i="2"/>
  <c r="F11" i="2"/>
  <c r="I10" i="2"/>
  <c r="F12" i="2"/>
  <c r="I11" i="2"/>
  <c r="F13" i="2"/>
  <c r="I6" i="2"/>
  <c r="F7" i="2"/>
  <c r="L5" i="2"/>
  <c r="F15" i="2"/>
  <c r="F5" i="2"/>
  <c r="I5" i="2"/>
  <c r="I3" i="2"/>
  <c r="F3" i="2"/>
  <c r="I13" i="2"/>
  <c r="F16" i="2"/>
  <c r="F4" i="2"/>
  <c r="I4" i="2"/>
  <c r="L4" i="1"/>
  <c r="L12" i="1"/>
  <c r="F18" i="2"/>
  <c r="I15" i="2"/>
  <c r="F14" i="2"/>
  <c r="L4" i="2"/>
  <c r="L3" i="2"/>
  <c r="E17" i="2"/>
  <c r="E2" i="2"/>
  <c r="L2" i="2" l="1"/>
  <c r="I2" i="2"/>
  <c r="F2" i="2"/>
  <c r="F17" i="2"/>
  <c r="I14" i="2"/>
</calcChain>
</file>

<file path=xl/sharedStrings.xml><?xml version="1.0" encoding="utf-8"?>
<sst xmlns="http://schemas.openxmlformats.org/spreadsheetml/2006/main" count="87" uniqueCount="65">
  <si>
    <t>filename</t>
  </si>
  <si>
    <t>Biphenyl</t>
  </si>
  <si>
    <t>4-SO2Me-ArOPh</t>
  </si>
  <si>
    <t>Ratio of integral with IS</t>
  </si>
  <si>
    <t>concentrations</t>
  </si>
  <si>
    <t>Product</t>
  </si>
  <si>
    <t>4-Me-piperidine</t>
  </si>
  <si>
    <t>C1_E1-S0</t>
  </si>
  <si>
    <t>Ar-4SO2Me-Oph</t>
  </si>
  <si>
    <t>C1_E1-S1</t>
  </si>
  <si>
    <t>C1_E1-S2</t>
  </si>
  <si>
    <t>SUM</t>
  </si>
  <si>
    <t>C1_E1-S3</t>
  </si>
  <si>
    <t>C1_E1-S4</t>
  </si>
  <si>
    <t>Compound</t>
  </si>
  <si>
    <t>C1_E1-S5</t>
  </si>
  <si>
    <t>DMSO</t>
  </si>
  <si>
    <t>C1_E1-S6</t>
  </si>
  <si>
    <t>C1_E1-S7</t>
  </si>
  <si>
    <t>C1_E1-S8</t>
  </si>
  <si>
    <t>C1_E1-S9</t>
  </si>
  <si>
    <t>Phenol</t>
  </si>
  <si>
    <t>C1_E1-S10</t>
  </si>
  <si>
    <t>C1_E1-S11</t>
  </si>
  <si>
    <t>C1_E1-S12</t>
  </si>
  <si>
    <t>C1_E1-S13</t>
  </si>
  <si>
    <t>CC 4SO2ArOPh</t>
  </si>
  <si>
    <t>CC product</t>
  </si>
  <si>
    <t>IR</t>
  </si>
  <si>
    <t>amine</t>
  </si>
  <si>
    <t>S0</t>
  </si>
  <si>
    <t>V1</t>
  </si>
  <si>
    <t>S1:</t>
  </si>
  <si>
    <t>S1</t>
  </si>
  <si>
    <t>V2</t>
  </si>
  <si>
    <t>S2:</t>
  </si>
  <si>
    <t>S2</t>
  </si>
  <si>
    <t>S3:</t>
  </si>
  <si>
    <t>S3</t>
  </si>
  <si>
    <t>V3</t>
  </si>
  <si>
    <t>V2:</t>
  </si>
  <si>
    <t>S4</t>
  </si>
  <si>
    <t>S4:</t>
  </si>
  <si>
    <t>S5</t>
  </si>
  <si>
    <t>S5:</t>
  </si>
  <si>
    <t>S6</t>
  </si>
  <si>
    <t>S6:</t>
  </si>
  <si>
    <t>S7</t>
  </si>
  <si>
    <t>Phenol:</t>
  </si>
  <si>
    <t>S8</t>
  </si>
  <si>
    <t>S7:</t>
  </si>
  <si>
    <t>S9</t>
  </si>
  <si>
    <t>S8:</t>
  </si>
  <si>
    <t>S10</t>
  </si>
  <si>
    <t>S9:</t>
  </si>
  <si>
    <t>S11</t>
  </si>
  <si>
    <t>S10:</t>
  </si>
  <si>
    <t>S12</t>
  </si>
  <si>
    <t>V3:</t>
  </si>
  <si>
    <t>S13</t>
  </si>
  <si>
    <t>s11:</t>
  </si>
  <si>
    <t>S12:</t>
  </si>
  <si>
    <t>S13:</t>
  </si>
  <si>
    <t>Time / min</t>
  </si>
  <si>
    <t>4-SO2MeArOPh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</si>
</sst>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00000"/>
      <name val="Courier New"/>
      <family val="3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 wrapText="1"/>
    </xf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4-SO2MeArOPh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HPLC'!$A$2:$A$15</c:f>
              <c:numCache>
                <c:formatCode>General</c:formatCode>
                <c:ptCount val="14"/>
                <c:pt idx="0">
                  <c:v>0</c:v>
                </c:pt>
                <c:pt idx="1">
                  <c:v>5.4666666686534882</c:v>
                </c:pt>
                <c:pt idx="2">
                  <c:v>57.366666667163372</c:v>
                </c:pt>
                <c:pt idx="3">
                  <c:v>299.18333334475761</c:v>
                </c:pt>
                <c:pt idx="4">
                  <c:v>376.30000000447029</c:v>
                </c:pt>
                <c:pt idx="5">
                  <c:v>399.14999999850988</c:v>
                </c:pt>
                <c:pt idx="6">
                  <c:v>427.0666666701436</c:v>
                </c:pt>
                <c:pt idx="7">
                  <c:v>430.64999999850988</c:v>
                </c:pt>
                <c:pt idx="8">
                  <c:v>446.5</c:v>
                </c:pt>
                <c:pt idx="9">
                  <c:v>539.5666666701436</c:v>
                </c:pt>
                <c:pt idx="10">
                  <c:v>555.35000000149012</c:v>
                </c:pt>
                <c:pt idx="11">
                  <c:v>568.05000000447035</c:v>
                </c:pt>
                <c:pt idx="12">
                  <c:v>592.73333333432674</c:v>
                </c:pt>
                <c:pt idx="13">
                  <c:v>1415.3000000044699</c:v>
                </c:pt>
              </c:numCache>
            </c:numRef>
          </c:xVal>
          <c:yVal>
            <c:numRef>
              <c:f>'Concentration vs time HPLC'!$B$2:$B$15</c:f>
              <c:numCache>
                <c:formatCode>General</c:formatCode>
                <c:ptCount val="14"/>
                <c:pt idx="0">
                  <c:v>122.3399466780473</c:v>
                </c:pt>
                <c:pt idx="1">
                  <c:v>120.337107515863</c:v>
                </c:pt>
                <c:pt idx="2">
                  <c:v>115.4440238214582</c:v>
                </c:pt>
                <c:pt idx="3">
                  <c:v>102.11324214952479</c:v>
                </c:pt>
                <c:pt idx="4">
                  <c:v>96.59551368077895</c:v>
                </c:pt>
                <c:pt idx="5">
                  <c:v>90.262465562694999</c:v>
                </c:pt>
                <c:pt idx="6">
                  <c:v>82.916731815719274</c:v>
                </c:pt>
                <c:pt idx="7">
                  <c:v>80.880793406350008</c:v>
                </c:pt>
                <c:pt idx="8">
                  <c:v>77.474521300024747</c:v>
                </c:pt>
                <c:pt idx="9">
                  <c:v>64.418529238471947</c:v>
                </c:pt>
                <c:pt idx="10">
                  <c:v>61.957730448611933</c:v>
                </c:pt>
                <c:pt idx="11">
                  <c:v>56.866164516398847</c:v>
                </c:pt>
                <c:pt idx="12">
                  <c:v>46.11749035097791</c:v>
                </c:pt>
                <c:pt idx="13">
                  <c:v>0.6088075259560396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9-4FB2-9119-CF4A23E97A1F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HPLC'!$A$2:$A$15</c:f>
              <c:numCache>
                <c:formatCode>General</c:formatCode>
                <c:ptCount val="14"/>
                <c:pt idx="0">
                  <c:v>0</c:v>
                </c:pt>
                <c:pt idx="1">
                  <c:v>5.4666666686534882</c:v>
                </c:pt>
                <c:pt idx="2">
                  <c:v>57.366666667163372</c:v>
                </c:pt>
                <c:pt idx="3">
                  <c:v>299.18333334475761</c:v>
                </c:pt>
                <c:pt idx="4">
                  <c:v>376.30000000447029</c:v>
                </c:pt>
                <c:pt idx="5">
                  <c:v>399.14999999850988</c:v>
                </c:pt>
                <c:pt idx="6">
                  <c:v>427.0666666701436</c:v>
                </c:pt>
                <c:pt idx="7">
                  <c:v>430.64999999850988</c:v>
                </c:pt>
                <c:pt idx="8">
                  <c:v>446.5</c:v>
                </c:pt>
                <c:pt idx="9">
                  <c:v>539.5666666701436</c:v>
                </c:pt>
                <c:pt idx="10">
                  <c:v>555.35000000149012</c:v>
                </c:pt>
                <c:pt idx="11">
                  <c:v>568.05000000447035</c:v>
                </c:pt>
                <c:pt idx="12">
                  <c:v>592.73333333432674</c:v>
                </c:pt>
                <c:pt idx="13">
                  <c:v>1415.3000000044699</c:v>
                </c:pt>
              </c:numCache>
            </c:numRef>
          </c:xVal>
          <c:yVal>
            <c:numRef>
              <c:f>'Concentration vs time HPLC'!$C$2:$C$15</c:f>
              <c:numCache>
                <c:formatCode>General</c:formatCode>
                <c:ptCount val="14"/>
                <c:pt idx="0">
                  <c:v>0</c:v>
                </c:pt>
                <c:pt idx="1">
                  <c:v>0.83113447658382467</c:v>
                </c:pt>
                <c:pt idx="2">
                  <c:v>6.1112576146983262</c:v>
                </c:pt>
                <c:pt idx="3">
                  <c:v>19.94151777579707</c:v>
                </c:pt>
                <c:pt idx="4">
                  <c:v>23.61974878827424</c:v>
                </c:pt>
                <c:pt idx="5">
                  <c:v>31.015977424441552</c:v>
                </c:pt>
                <c:pt idx="6">
                  <c:v>38.128093393438597</c:v>
                </c:pt>
                <c:pt idx="7">
                  <c:v>38.404653499997067</c:v>
                </c:pt>
                <c:pt idx="8">
                  <c:v>41.542240862757573</c:v>
                </c:pt>
                <c:pt idx="9">
                  <c:v>54.895706079866763</c:v>
                </c:pt>
                <c:pt idx="10">
                  <c:v>55.694260846249591</c:v>
                </c:pt>
                <c:pt idx="11">
                  <c:v>60.77658174990173</c:v>
                </c:pt>
                <c:pt idx="12">
                  <c:v>71.683605647769369</c:v>
                </c:pt>
                <c:pt idx="13">
                  <c:v>116.8257508878204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89-4FB2-9119-CF4A23E97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747024"/>
        <c:axId val="1740751344"/>
      </c:scatterChart>
      <c:valAx>
        <c:axId val="174074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751344"/>
        <c:crosses val="autoZero"/>
        <c:crossBetween val="midCat"/>
      </c:valAx>
      <c:valAx>
        <c:axId val="17407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74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0</xdr:row>
      <xdr:rowOff>171450</xdr:rowOff>
    </xdr:from>
    <xdr:to>
      <xdr:col>11</xdr:col>
      <xdr:colOff>152400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F7454A-7D00-0504-5C0E-4FA7E8EB8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workbookViewId="0">
      <selection activeCell="A4" sqref="A4:A17"/>
    </sheetView>
  </sheetViews>
  <sheetFormatPr defaultRowHeight="14.4" x14ac:dyDescent="0.3"/>
  <cols>
    <col min="1" max="1" width="13.44140625" bestFit="1" customWidth="1"/>
    <col min="13" max="13" width="14.664062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</row>
    <row r="3" spans="1:14" x14ac:dyDescent="0.3">
      <c r="B3">
        <v>4.0952780246734601</v>
      </c>
      <c r="C3">
        <v>1.5827231625148199</v>
      </c>
      <c r="G3">
        <v>2.5953860003607598</v>
      </c>
      <c r="M3" t="s">
        <v>6</v>
      </c>
      <c r="N3">
        <v>44.399073363638557</v>
      </c>
    </row>
    <row r="4" spans="1:14" x14ac:dyDescent="0.3">
      <c r="A4" t="s">
        <v>7</v>
      </c>
      <c r="B4">
        <v>273.433837890625</v>
      </c>
      <c r="C4" s="1">
        <v>1173.1585689999999</v>
      </c>
      <c r="D4">
        <f t="shared" ref="D4:D17" si="0">C4/B4</f>
        <v>4.2904659425117302</v>
      </c>
      <c r="E4">
        <f t="shared" ref="E4:E17" si="1">D4/$B$19</f>
        <v>7.3694021685189455</v>
      </c>
      <c r="F4">
        <f>E4*$N$5</f>
        <v>122.3399466780473</v>
      </c>
      <c r="G4" s="1">
        <v>0</v>
      </c>
      <c r="H4">
        <f t="shared" ref="H4:H17" si="2">G4/B4</f>
        <v>0</v>
      </c>
      <c r="I4">
        <f t="shared" ref="I4:I17" si="3">H4/$B$20</f>
        <v>0</v>
      </c>
      <c r="J4">
        <f t="shared" ref="J4:J17" si="4">I4</f>
        <v>0</v>
      </c>
      <c r="K4" s="2">
        <f>J4*$N$5</f>
        <v>0</v>
      </c>
      <c r="L4">
        <f t="shared" ref="L4:L17" si="5">SUM(F4,K4)</f>
        <v>122.3399466780473</v>
      </c>
      <c r="M4" t="s">
        <v>8</v>
      </c>
      <c r="N4">
        <v>121.4274730435495</v>
      </c>
    </row>
    <row r="5" spans="1:14" x14ac:dyDescent="0.3">
      <c r="A5" t="s">
        <v>9</v>
      </c>
      <c r="B5">
        <v>605.86535644531295</v>
      </c>
      <c r="C5">
        <v>2556.88891601563</v>
      </c>
      <c r="D5">
        <f t="shared" si="0"/>
        <v>4.2202263074046913</v>
      </c>
      <c r="E5">
        <f t="shared" si="1"/>
        <v>7.2487569690908469</v>
      </c>
      <c r="F5">
        <f>E5*$N$5</f>
        <v>120.33710751586295</v>
      </c>
      <c r="G5">
        <v>19.091415405273501</v>
      </c>
      <c r="H5">
        <f t="shared" si="2"/>
        <v>3.1510987057066932E-2</v>
      </c>
      <c r="I5">
        <f t="shared" si="3"/>
        <v>5.0065120840589346E-2</v>
      </c>
      <c r="J5">
        <f t="shared" si="4"/>
        <v>5.0065120840589346E-2</v>
      </c>
      <c r="K5" s="2">
        <f>J5*$N$5</f>
        <v>0.83113447658382456</v>
      </c>
      <c r="L5">
        <f t="shared" si="5"/>
        <v>121.16824199244678</v>
      </c>
      <c r="M5" t="s">
        <v>1</v>
      </c>
      <c r="N5">
        <v>16.601068021591551</v>
      </c>
    </row>
    <row r="6" spans="1:14" x14ac:dyDescent="0.3">
      <c r="A6" t="s">
        <v>10</v>
      </c>
      <c r="B6">
        <v>984.93316650390705</v>
      </c>
      <c r="C6">
        <v>3987.62573242188</v>
      </c>
      <c r="D6">
        <f t="shared" si="0"/>
        <v>4.0486257017582741</v>
      </c>
      <c r="E6">
        <f t="shared" si="1"/>
        <v>6.9540118546174403</v>
      </c>
      <c r="F6">
        <f>E6*$N$5</f>
        <v>115.44402382145815</v>
      </c>
      <c r="G6">
        <v>228.20652770996099</v>
      </c>
      <c r="H6">
        <f t="shared" si="2"/>
        <v>0.23169747498705612</v>
      </c>
      <c r="I6">
        <f t="shared" si="3"/>
        <v>0.36812436445353691</v>
      </c>
      <c r="J6">
        <f t="shared" si="4"/>
        <v>0.36812436445353691</v>
      </c>
      <c r="K6" s="2">
        <f>J6*$N$5</f>
        <v>6.1112576146983253</v>
      </c>
      <c r="L6">
        <f t="shared" si="5"/>
        <v>121.55528143615648</v>
      </c>
      <c r="M6" t="s">
        <v>11</v>
      </c>
      <c r="N6">
        <v>0</v>
      </c>
    </row>
    <row r="7" spans="1:14" x14ac:dyDescent="0.3">
      <c r="A7" t="s">
        <v>12</v>
      </c>
      <c r="B7">
        <v>368.977142333985</v>
      </c>
      <c r="C7">
        <v>1321.34948730469</v>
      </c>
      <c r="D7">
        <f t="shared" si="0"/>
        <v>3.581114751299828</v>
      </c>
      <c r="E7">
        <f t="shared" si="1"/>
        <v>6.1510043821707789</v>
      </c>
      <c r="F7">
        <f>E7*$N$5</f>
        <v>102.11324214952482</v>
      </c>
      <c r="G7">
        <v>278.96414184570301</v>
      </c>
      <c r="H7">
        <f t="shared" si="2"/>
        <v>0.75604721767072114</v>
      </c>
      <c r="I7">
        <f t="shared" si="3"/>
        <v>1.2012189667472533</v>
      </c>
      <c r="J7">
        <f t="shared" si="4"/>
        <v>1.2012189667472533</v>
      </c>
      <c r="K7" s="2">
        <f>J7*$N$5</f>
        <v>19.94151777579707</v>
      </c>
      <c r="L7">
        <f t="shared" si="5"/>
        <v>122.05475992532189</v>
      </c>
    </row>
    <row r="8" spans="1:14" x14ac:dyDescent="0.3">
      <c r="A8" t="s">
        <v>13</v>
      </c>
      <c r="B8">
        <v>564.34460449218795</v>
      </c>
      <c r="C8">
        <v>1931.5986328125</v>
      </c>
      <c r="D8">
        <f t="shared" si="0"/>
        <v>3.4227289805501075</v>
      </c>
      <c r="E8">
        <f t="shared" si="1"/>
        <v>5.8789573695467316</v>
      </c>
      <c r="F8">
        <f>E8*$N$12</f>
        <v>96.59551368077895</v>
      </c>
      <c r="G8">
        <v>510.61050415039102</v>
      </c>
      <c r="H8">
        <f t="shared" si="2"/>
        <v>0.90478494892292227</v>
      </c>
      <c r="I8">
        <f t="shared" si="3"/>
        <v>1.4375356671797304</v>
      </c>
      <c r="J8">
        <f t="shared" si="4"/>
        <v>1.4375356671797304</v>
      </c>
      <c r="K8" s="3">
        <f>J8*$N$12</f>
        <v>23.619748788274244</v>
      </c>
      <c r="L8">
        <f t="shared" si="5"/>
        <v>120.21526246905319</v>
      </c>
      <c r="M8" t="s">
        <v>14</v>
      </c>
    </row>
    <row r="9" spans="1:14" x14ac:dyDescent="0.3">
      <c r="A9" t="s">
        <v>15</v>
      </c>
      <c r="B9">
        <v>833.38720703125</v>
      </c>
      <c r="C9">
        <v>2665.44409179688</v>
      </c>
      <c r="D9">
        <f t="shared" si="0"/>
        <v>3.198326143368472</v>
      </c>
      <c r="E9">
        <f t="shared" si="1"/>
        <v>5.4935179377679004</v>
      </c>
      <c r="F9">
        <f>E9*$N$12</f>
        <v>90.262465562694999</v>
      </c>
      <c r="G9">
        <v>990.15319824218795</v>
      </c>
      <c r="H9">
        <f t="shared" si="2"/>
        <v>1.1881070286276421</v>
      </c>
      <c r="I9">
        <f t="shared" si="3"/>
        <v>1.8876819647722309</v>
      </c>
      <c r="J9">
        <f t="shared" si="4"/>
        <v>1.8876819647722309</v>
      </c>
      <c r="K9" s="3">
        <f>J9*$N$12</f>
        <v>31.015977424441552</v>
      </c>
      <c r="L9">
        <f t="shared" si="5"/>
        <v>121.27844298713654</v>
      </c>
      <c r="M9" t="s">
        <v>16</v>
      </c>
    </row>
    <row r="10" spans="1:14" x14ac:dyDescent="0.3">
      <c r="A10" t="s">
        <v>17</v>
      </c>
      <c r="B10">
        <v>666.48797607421898</v>
      </c>
      <c r="C10">
        <v>1958.16845703125</v>
      </c>
      <c r="D10">
        <f t="shared" si="0"/>
        <v>2.9380401857590175</v>
      </c>
      <c r="E10">
        <f t="shared" si="1"/>
        <v>5.0464448398471609</v>
      </c>
      <c r="F10">
        <f>E10*$N$12</f>
        <v>82.916731815719274</v>
      </c>
      <c r="G10">
        <v>973.43621826171898</v>
      </c>
      <c r="H10">
        <f t="shared" si="2"/>
        <v>1.4605458060856582</v>
      </c>
      <c r="I10">
        <f t="shared" si="3"/>
        <v>2.3205367112895745</v>
      </c>
      <c r="J10">
        <f t="shared" si="4"/>
        <v>2.3205367112895745</v>
      </c>
      <c r="K10" s="3">
        <f>J10*$N$12</f>
        <v>38.128093393438597</v>
      </c>
      <c r="L10">
        <f t="shared" si="5"/>
        <v>121.04482520915786</v>
      </c>
      <c r="M10" t="s">
        <v>6</v>
      </c>
      <c r="N10">
        <v>130.65163197816159</v>
      </c>
    </row>
    <row r="11" spans="1:14" x14ac:dyDescent="0.3">
      <c r="A11" t="s">
        <v>18</v>
      </c>
      <c r="B11">
        <v>785.8935546875</v>
      </c>
      <c r="C11">
        <v>2281.70629882813</v>
      </c>
      <c r="D11">
        <f t="shared" si="0"/>
        <v>2.903327410205597</v>
      </c>
      <c r="E11">
        <f t="shared" si="1"/>
        <v>4.986821384757123</v>
      </c>
      <c r="F11">
        <f>E11*$N$20</f>
        <v>80.880793406350023</v>
      </c>
      <c r="G11">
        <v>1171.25842285156</v>
      </c>
      <c r="H11">
        <f t="shared" si="2"/>
        <v>1.4903524985865231</v>
      </c>
      <c r="I11">
        <f t="shared" si="3"/>
        <v>2.367894023810809</v>
      </c>
      <c r="J11">
        <f t="shared" si="4"/>
        <v>2.367894023810809</v>
      </c>
      <c r="K11" s="4">
        <f>J11*$N$20</f>
        <v>38.404653499997082</v>
      </c>
      <c r="L11">
        <f t="shared" si="5"/>
        <v>119.2854469063471</v>
      </c>
      <c r="M11" t="s">
        <v>8</v>
      </c>
      <c r="N11">
        <v>120.1814870977977</v>
      </c>
    </row>
    <row r="12" spans="1:14" x14ac:dyDescent="0.3">
      <c r="A12" t="s">
        <v>19</v>
      </c>
      <c r="B12">
        <v>1229.74072265625</v>
      </c>
      <c r="C12">
        <v>3419.97607421875</v>
      </c>
      <c r="D12">
        <f t="shared" si="0"/>
        <v>2.781054584279826</v>
      </c>
      <c r="E12">
        <f t="shared" si="1"/>
        <v>4.7768027899000787</v>
      </c>
      <c r="F12">
        <f>E12*$N$20</f>
        <v>77.474521300024762</v>
      </c>
      <c r="G12">
        <v>1982.47912597656</v>
      </c>
      <c r="H12">
        <f t="shared" si="2"/>
        <v>1.6121114715095299</v>
      </c>
      <c r="I12">
        <f t="shared" si="3"/>
        <v>2.5613464752296315</v>
      </c>
      <c r="J12">
        <f t="shared" si="4"/>
        <v>2.5613464752296315</v>
      </c>
      <c r="K12" s="4">
        <f>J12*$N$20</f>
        <v>41.542240862757573</v>
      </c>
      <c r="L12">
        <f t="shared" si="5"/>
        <v>119.01676216278233</v>
      </c>
      <c r="M12" t="s">
        <v>1</v>
      </c>
      <c r="N12">
        <v>16.430721913574018</v>
      </c>
    </row>
    <row r="13" spans="1:14" x14ac:dyDescent="0.3">
      <c r="A13" t="s">
        <v>20</v>
      </c>
      <c r="B13">
        <v>898.03326416015602</v>
      </c>
      <c r="C13">
        <v>2076.60473632813</v>
      </c>
      <c r="D13">
        <f t="shared" si="0"/>
        <v>2.3123917779038825</v>
      </c>
      <c r="E13">
        <f t="shared" si="1"/>
        <v>3.971816863455655</v>
      </c>
      <c r="F13">
        <f>E13*$N$20</f>
        <v>64.418529238471962</v>
      </c>
      <c r="G13">
        <v>1913.09240722656</v>
      </c>
      <c r="H13">
        <f t="shared" si="2"/>
        <v>2.1303135235371164</v>
      </c>
      <c r="I13">
        <f t="shared" si="3"/>
        <v>3.3846735359661846</v>
      </c>
      <c r="J13">
        <f t="shared" si="4"/>
        <v>3.3846735359661846</v>
      </c>
      <c r="K13" s="4">
        <f>J13*$N$20</f>
        <v>54.89570607986677</v>
      </c>
      <c r="L13">
        <f t="shared" si="5"/>
        <v>119.31423531833873</v>
      </c>
      <c r="M13" t="s">
        <v>21</v>
      </c>
      <c r="N13">
        <v>0</v>
      </c>
    </row>
    <row r="14" spans="1:14" x14ac:dyDescent="0.3">
      <c r="A14" t="s">
        <v>22</v>
      </c>
      <c r="B14">
        <v>537.78863525390705</v>
      </c>
      <c r="C14">
        <v>1215.02331542969</v>
      </c>
      <c r="D14">
        <f t="shared" si="0"/>
        <v>2.259295261708234</v>
      </c>
      <c r="E14">
        <f t="shared" si="1"/>
        <v>3.8806170761048331</v>
      </c>
      <c r="F14">
        <f>E14*$N$28</f>
        <v>61.957730448611905</v>
      </c>
      <c r="G14">
        <v>1180.73950195313</v>
      </c>
      <c r="H14">
        <f t="shared" si="2"/>
        <v>2.1955456559539708</v>
      </c>
      <c r="I14">
        <f t="shared" si="3"/>
        <v>3.4883153097457433</v>
      </c>
      <c r="J14">
        <f t="shared" si="4"/>
        <v>3.4883153097457433</v>
      </c>
      <c r="K14" s="5">
        <f>J14*$N$28</f>
        <v>55.694260846249577</v>
      </c>
      <c r="L14">
        <f t="shared" si="5"/>
        <v>117.65199129486149</v>
      </c>
      <c r="M14" t="s">
        <v>11</v>
      </c>
    </row>
    <row r="15" spans="1:14" x14ac:dyDescent="0.3">
      <c r="A15" t="s">
        <v>23</v>
      </c>
      <c r="B15">
        <v>557.20050048828205</v>
      </c>
      <c r="C15">
        <v>1155.42810058594</v>
      </c>
      <c r="D15">
        <f t="shared" si="0"/>
        <v>2.0736307658974162</v>
      </c>
      <c r="E15">
        <f t="shared" si="1"/>
        <v>3.5617155030872829</v>
      </c>
      <c r="F15">
        <f>E15*$N$28</f>
        <v>56.866164516398825</v>
      </c>
      <c r="G15">
        <v>1334.99548339844</v>
      </c>
      <c r="H15">
        <f t="shared" si="2"/>
        <v>2.3958978540553466</v>
      </c>
      <c r="I15">
        <f t="shared" si="3"/>
        <v>3.8066378361222544</v>
      </c>
      <c r="J15">
        <f t="shared" si="4"/>
        <v>3.8066378361222544</v>
      </c>
      <c r="K15" s="5">
        <f>J15*$N$28</f>
        <v>60.776581749901709</v>
      </c>
      <c r="L15">
        <f t="shared" si="5"/>
        <v>117.64274626630053</v>
      </c>
    </row>
    <row r="16" spans="1:14" x14ac:dyDescent="0.3">
      <c r="A16" t="s">
        <v>24</v>
      </c>
      <c r="B16">
        <v>582.80242919921898</v>
      </c>
      <c r="C16">
        <v>980.08673095703102</v>
      </c>
      <c r="D16">
        <f t="shared" si="0"/>
        <v>1.681679213835275</v>
      </c>
      <c r="E16">
        <f t="shared" si="1"/>
        <v>2.8884905768383287</v>
      </c>
      <c r="F16">
        <f>E16*$N$28</f>
        <v>46.117490350977896</v>
      </c>
      <c r="G16">
        <v>1646.92272949219</v>
      </c>
      <c r="H16">
        <f t="shared" si="2"/>
        <v>2.8258679905557216</v>
      </c>
      <c r="I16">
        <f t="shared" si="3"/>
        <v>4.4897807285600919</v>
      </c>
      <c r="J16">
        <f t="shared" si="4"/>
        <v>4.4897807285600919</v>
      </c>
      <c r="K16" s="5">
        <f>J16*$N$28</f>
        <v>71.68360564776934</v>
      </c>
      <c r="L16">
        <f t="shared" si="5"/>
        <v>117.80109599874723</v>
      </c>
      <c r="M16" t="s">
        <v>14</v>
      </c>
    </row>
    <row r="17" spans="1:14" x14ac:dyDescent="0.3">
      <c r="A17" t="s">
        <v>25</v>
      </c>
      <c r="B17">
        <v>944.00744628906295</v>
      </c>
      <c r="C17">
        <v>20.9571838378906</v>
      </c>
      <c r="D17">
        <f t="shared" si="0"/>
        <v>2.2200231492107675E-2</v>
      </c>
      <c r="E17">
        <f t="shared" si="1"/>
        <v>3.8131623998810843E-2</v>
      </c>
      <c r="F17">
        <f>E17*$N$28</f>
        <v>0.60880752595603949</v>
      </c>
      <c r="G17">
        <v>4347.564453125</v>
      </c>
      <c r="H17">
        <f t="shared" si="2"/>
        <v>4.6054344912378369</v>
      </c>
      <c r="I17">
        <f t="shared" si="3"/>
        <v>7.3171822231297066</v>
      </c>
      <c r="J17">
        <f t="shared" si="4"/>
        <v>7.3171822231297066</v>
      </c>
      <c r="K17" s="5">
        <f>J17*$N$28</f>
        <v>116.82575088782039</v>
      </c>
      <c r="L17">
        <f t="shared" si="5"/>
        <v>117.43455841377643</v>
      </c>
      <c r="M17" t="s">
        <v>16</v>
      </c>
    </row>
    <row r="18" spans="1:14" x14ac:dyDescent="0.3">
      <c r="M18" t="s">
        <v>6</v>
      </c>
      <c r="N18">
        <v>128.96735210425709</v>
      </c>
    </row>
    <row r="19" spans="1:14" x14ac:dyDescent="0.3">
      <c r="A19" t="s">
        <v>26</v>
      </c>
      <c r="B19">
        <v>0.58220000000000005</v>
      </c>
      <c r="M19" t="s">
        <v>8</v>
      </c>
      <c r="N19">
        <v>118.63218184328259</v>
      </c>
    </row>
    <row r="20" spans="1:14" x14ac:dyDescent="0.3">
      <c r="A20" t="s">
        <v>27</v>
      </c>
      <c r="B20">
        <v>0.62939999999999996</v>
      </c>
      <c r="M20" t="s">
        <v>1</v>
      </c>
      <c r="N20">
        <v>16.21890722887586</v>
      </c>
    </row>
    <row r="21" spans="1:14" x14ac:dyDescent="0.3">
      <c r="M21" t="s">
        <v>21</v>
      </c>
      <c r="N21">
        <v>146.57078859766591</v>
      </c>
    </row>
    <row r="22" spans="1:14" x14ac:dyDescent="0.3">
      <c r="M22" t="s">
        <v>11</v>
      </c>
    </row>
    <row r="24" spans="1:14" x14ac:dyDescent="0.3">
      <c r="M24" t="s">
        <v>14</v>
      </c>
    </row>
    <row r="25" spans="1:14" x14ac:dyDescent="0.3">
      <c r="M25" t="s">
        <v>16</v>
      </c>
    </row>
    <row r="26" spans="1:14" x14ac:dyDescent="0.3">
      <c r="M26" t="s">
        <v>6</v>
      </c>
      <c r="N26">
        <v>258.74899521537958</v>
      </c>
    </row>
    <row r="27" spans="1:14" x14ac:dyDescent="0.3">
      <c r="M27" t="s">
        <v>8</v>
      </c>
      <c r="N27">
        <v>116.78192740227151</v>
      </c>
    </row>
    <row r="28" spans="1:14" x14ac:dyDescent="0.3">
      <c r="M28" t="s">
        <v>1</v>
      </c>
      <c r="N28">
        <v>15.96594800093029</v>
      </c>
    </row>
    <row r="29" spans="1:14" x14ac:dyDescent="0.3">
      <c r="M29" t="s">
        <v>21</v>
      </c>
      <c r="N29">
        <v>144.28478788258511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workbookViewId="0">
      <selection activeCell="L2" sqref="L2:L5"/>
    </sheetView>
  </sheetViews>
  <sheetFormatPr defaultRowHeight="14.4" x14ac:dyDescent="0.3"/>
  <cols>
    <col min="3" max="3" width="15.109375" bestFit="1" customWidth="1"/>
    <col min="4" max="6" width="11.33203125" bestFit="1" customWidth="1"/>
  </cols>
  <sheetData>
    <row r="1" spans="1:12" x14ac:dyDescent="0.3">
      <c r="A1" s="6" t="s">
        <v>28</v>
      </c>
      <c r="C1" s="7">
        <v>45292.392534722218</v>
      </c>
      <c r="D1" s="8">
        <f t="shared" ref="D1:D18" si="0">C1*86400/60</f>
        <v>65221045.249999993</v>
      </c>
      <c r="E1" s="8">
        <f t="shared" ref="E1:E18" si="1">D1-$D$2</f>
        <v>-8.6500000059604645</v>
      </c>
      <c r="F1" s="8">
        <f t="shared" ref="F1:F18" si="2">E1-E$1</f>
        <v>0</v>
      </c>
    </row>
    <row r="2" spans="1:12" x14ac:dyDescent="0.3">
      <c r="A2" s="6" t="s">
        <v>29</v>
      </c>
      <c r="C2" s="7">
        <v>45292.398541666669</v>
      </c>
      <c r="D2" s="8">
        <f t="shared" si="0"/>
        <v>65221053.899999999</v>
      </c>
      <c r="E2" s="8">
        <f t="shared" si="1"/>
        <v>0</v>
      </c>
      <c r="F2" s="8">
        <f t="shared" si="2"/>
        <v>8.6500000059604645</v>
      </c>
      <c r="H2" t="s">
        <v>30</v>
      </c>
      <c r="I2" s="8">
        <f>E2</f>
        <v>0</v>
      </c>
      <c r="K2" t="s">
        <v>31</v>
      </c>
      <c r="L2" s="8">
        <f>E2</f>
        <v>0</v>
      </c>
    </row>
    <row r="3" spans="1:12" x14ac:dyDescent="0.3">
      <c r="A3" s="6" t="s">
        <v>32</v>
      </c>
      <c r="C3" s="7">
        <v>45292.402337962973</v>
      </c>
      <c r="D3" s="8">
        <f t="shared" si="0"/>
        <v>65221059.366666682</v>
      </c>
      <c r="E3" s="8">
        <f t="shared" si="1"/>
        <v>5.4666666835546494</v>
      </c>
      <c r="F3" s="8">
        <f t="shared" si="2"/>
        <v>14.116666689515114</v>
      </c>
      <c r="H3" t="s">
        <v>33</v>
      </c>
      <c r="I3" s="8">
        <f>E3</f>
        <v>5.4666666835546494</v>
      </c>
      <c r="K3" t="s">
        <v>34</v>
      </c>
      <c r="L3" s="8">
        <f>E6</f>
        <v>374.76666665077209</v>
      </c>
    </row>
    <row r="4" spans="1:12" x14ac:dyDescent="0.3">
      <c r="A4" s="6" t="s">
        <v>35</v>
      </c>
      <c r="C4" s="7">
        <v>45292.438379629632</v>
      </c>
      <c r="D4" s="8">
        <f t="shared" si="0"/>
        <v>65221111.266666666</v>
      </c>
      <c r="E4" s="8">
        <f t="shared" si="1"/>
        <v>57.366666667163372</v>
      </c>
      <c r="F4" s="8">
        <f t="shared" si="2"/>
        <v>66.016666673123837</v>
      </c>
      <c r="H4" t="s">
        <v>36</v>
      </c>
      <c r="I4" s="8">
        <f>E4</f>
        <v>57.366666667163372</v>
      </c>
      <c r="K4" t="s">
        <v>21</v>
      </c>
      <c r="L4" s="8">
        <f>E10</f>
        <v>429.01666666567326</v>
      </c>
    </row>
    <row r="5" spans="1:12" x14ac:dyDescent="0.3">
      <c r="A5" s="6" t="s">
        <v>37</v>
      </c>
      <c r="C5" s="7">
        <v>45292.606307870366</v>
      </c>
      <c r="D5" s="8">
        <f t="shared" si="0"/>
        <v>65221353.083333328</v>
      </c>
      <c r="E5" s="8">
        <f t="shared" si="1"/>
        <v>299.1833333298564</v>
      </c>
      <c r="F5" s="8">
        <f t="shared" si="2"/>
        <v>307.83333333581686</v>
      </c>
      <c r="H5" t="s">
        <v>38</v>
      </c>
      <c r="I5" s="8">
        <f>E5</f>
        <v>299.1833333298564</v>
      </c>
      <c r="K5" t="s">
        <v>39</v>
      </c>
      <c r="L5" s="8">
        <f>E15</f>
        <v>560.01666666567326</v>
      </c>
    </row>
    <row r="6" spans="1:12" x14ac:dyDescent="0.3">
      <c r="A6" s="6" t="s">
        <v>40</v>
      </c>
      <c r="C6" s="7">
        <v>45292.658796296288</v>
      </c>
      <c r="D6" s="8">
        <f t="shared" si="0"/>
        <v>65221428.666666649</v>
      </c>
      <c r="E6" s="8">
        <f t="shared" si="1"/>
        <v>374.76666665077209</v>
      </c>
      <c r="F6" s="8">
        <f t="shared" si="2"/>
        <v>383.41666665673256</v>
      </c>
      <c r="H6" t="s">
        <v>41</v>
      </c>
      <c r="I6" s="8">
        <f>E7</f>
        <v>376.30000000447035</v>
      </c>
    </row>
    <row r="7" spans="1:12" x14ac:dyDescent="0.3">
      <c r="A7" s="6" t="s">
        <v>42</v>
      </c>
      <c r="C7" s="7">
        <v>45292.659861111111</v>
      </c>
      <c r="D7" s="8">
        <f t="shared" si="0"/>
        <v>65221430.200000003</v>
      </c>
      <c r="E7" s="8">
        <f t="shared" si="1"/>
        <v>376.30000000447035</v>
      </c>
      <c r="F7" s="8">
        <f t="shared" si="2"/>
        <v>384.95000001043081</v>
      </c>
      <c r="H7" t="s">
        <v>43</v>
      </c>
      <c r="I7" s="8">
        <f>E8</f>
        <v>399.15000000596046</v>
      </c>
    </row>
    <row r="8" spans="1:12" x14ac:dyDescent="0.3">
      <c r="A8" s="6" t="s">
        <v>44</v>
      </c>
      <c r="C8" s="7">
        <v>45292.675729166673</v>
      </c>
      <c r="D8" s="8">
        <f t="shared" si="0"/>
        <v>65221453.050000004</v>
      </c>
      <c r="E8" s="8">
        <f t="shared" si="1"/>
        <v>399.15000000596046</v>
      </c>
      <c r="F8" s="8">
        <f t="shared" si="2"/>
        <v>407.80000001192093</v>
      </c>
      <c r="H8" t="s">
        <v>45</v>
      </c>
      <c r="I8" s="8">
        <f>E9</f>
        <v>427.0666666701436</v>
      </c>
    </row>
    <row r="9" spans="1:12" x14ac:dyDescent="0.3">
      <c r="A9" s="6" t="s">
        <v>46</v>
      </c>
      <c r="C9" s="7">
        <v>45292.695115740738</v>
      </c>
      <c r="D9" s="8">
        <f t="shared" si="0"/>
        <v>65221480.966666669</v>
      </c>
      <c r="E9" s="8">
        <f t="shared" si="1"/>
        <v>427.0666666701436</v>
      </c>
      <c r="F9" s="8">
        <f t="shared" si="2"/>
        <v>435.71666667610407</v>
      </c>
      <c r="H9" t="s">
        <v>47</v>
      </c>
      <c r="I9" s="8">
        <f>E11</f>
        <v>430.64999998360872</v>
      </c>
    </row>
    <row r="10" spans="1:12" x14ac:dyDescent="0.3">
      <c r="A10" s="6" t="s">
        <v>48</v>
      </c>
      <c r="C10" s="7">
        <v>45292.696469907409</v>
      </c>
      <c r="D10" s="8">
        <f t="shared" si="0"/>
        <v>65221482.916666664</v>
      </c>
      <c r="E10" s="8">
        <f t="shared" si="1"/>
        <v>429.01666666567326</v>
      </c>
      <c r="F10" s="8">
        <f t="shared" si="2"/>
        <v>437.66666667163372</v>
      </c>
      <c r="H10" t="s">
        <v>49</v>
      </c>
      <c r="I10" s="8">
        <f>E12</f>
        <v>446.5</v>
      </c>
    </row>
    <row r="11" spans="1:12" x14ac:dyDescent="0.3">
      <c r="A11" s="6" t="s">
        <v>50</v>
      </c>
      <c r="C11" s="7">
        <v>45292.697604166657</v>
      </c>
      <c r="D11" s="8">
        <f t="shared" si="0"/>
        <v>65221484.549999982</v>
      </c>
      <c r="E11" s="8">
        <f t="shared" si="1"/>
        <v>430.64999998360872</v>
      </c>
      <c r="F11" s="8">
        <f t="shared" si="2"/>
        <v>439.29999998956919</v>
      </c>
      <c r="H11" t="s">
        <v>51</v>
      </c>
      <c r="I11" s="8">
        <f>E13</f>
        <v>539.5666666701436</v>
      </c>
    </row>
    <row r="12" spans="1:12" x14ac:dyDescent="0.3">
      <c r="A12" s="6" t="s">
        <v>52</v>
      </c>
      <c r="C12" s="7">
        <v>45292.708611111113</v>
      </c>
      <c r="D12" s="8">
        <f t="shared" si="0"/>
        <v>65221500.399999999</v>
      </c>
      <c r="E12" s="8">
        <f t="shared" si="1"/>
        <v>446.5</v>
      </c>
      <c r="F12" s="8">
        <f t="shared" si="2"/>
        <v>455.15000000596046</v>
      </c>
      <c r="H12" t="s">
        <v>53</v>
      </c>
      <c r="I12" s="8">
        <f>E14</f>
        <v>555.35000000149012</v>
      </c>
    </row>
    <row r="13" spans="1:12" x14ac:dyDescent="0.3">
      <c r="A13" s="6" t="s">
        <v>54</v>
      </c>
      <c r="C13" s="7">
        <v>45292.773240740738</v>
      </c>
      <c r="D13" s="8">
        <f t="shared" si="0"/>
        <v>65221593.466666669</v>
      </c>
      <c r="E13" s="8">
        <f t="shared" si="1"/>
        <v>539.5666666701436</v>
      </c>
      <c r="F13" s="8">
        <f t="shared" si="2"/>
        <v>548.21666667610407</v>
      </c>
      <c r="H13" t="s">
        <v>55</v>
      </c>
      <c r="I13" s="8">
        <f>E16</f>
        <v>568.04999999701977</v>
      </c>
    </row>
    <row r="14" spans="1:12" x14ac:dyDescent="0.3">
      <c r="A14" s="6" t="s">
        <v>56</v>
      </c>
      <c r="C14" s="7">
        <v>45292.784201388888</v>
      </c>
      <c r="D14" s="8">
        <f t="shared" si="0"/>
        <v>65221609.25</v>
      </c>
      <c r="E14" s="8">
        <f t="shared" si="1"/>
        <v>555.35000000149012</v>
      </c>
      <c r="F14" s="8">
        <f t="shared" si="2"/>
        <v>564.00000000745058</v>
      </c>
      <c r="H14" t="s">
        <v>57</v>
      </c>
      <c r="I14" s="8">
        <f>E17</f>
        <v>592.73333334177732</v>
      </c>
    </row>
    <row r="15" spans="1:12" x14ac:dyDescent="0.3">
      <c r="A15" s="6" t="s">
        <v>58</v>
      </c>
      <c r="C15" s="7">
        <v>45292.787442129629</v>
      </c>
      <c r="D15" s="8">
        <f t="shared" si="0"/>
        <v>65221613.916666664</v>
      </c>
      <c r="E15" s="8">
        <f t="shared" si="1"/>
        <v>560.01666666567326</v>
      </c>
      <c r="F15" s="8">
        <f t="shared" si="2"/>
        <v>568.66666667163372</v>
      </c>
      <c r="H15" t="s">
        <v>59</v>
      </c>
      <c r="I15" s="8">
        <f>E18</f>
        <v>1415.3000000044703</v>
      </c>
    </row>
    <row r="16" spans="1:12" x14ac:dyDescent="0.3">
      <c r="A16" s="6" t="s">
        <v>60</v>
      </c>
      <c r="C16" s="7">
        <v>45292.793020833327</v>
      </c>
      <c r="D16" s="8">
        <f t="shared" si="0"/>
        <v>65221621.949999996</v>
      </c>
      <c r="E16" s="8">
        <f t="shared" si="1"/>
        <v>568.04999999701977</v>
      </c>
      <c r="F16" s="8">
        <f t="shared" si="2"/>
        <v>576.70000000298023</v>
      </c>
    </row>
    <row r="17" spans="1:6" x14ac:dyDescent="0.3">
      <c r="A17" s="6" t="s">
        <v>61</v>
      </c>
      <c r="C17" s="7">
        <v>45292.810162037043</v>
      </c>
      <c r="D17" s="8">
        <f t="shared" si="0"/>
        <v>65221646.63333334</v>
      </c>
      <c r="E17" s="8">
        <f t="shared" si="1"/>
        <v>592.73333334177732</v>
      </c>
      <c r="F17" s="8">
        <f t="shared" si="2"/>
        <v>601.38333334773779</v>
      </c>
    </row>
    <row r="18" spans="1:6" x14ac:dyDescent="0.3">
      <c r="A18" s="6" t="s">
        <v>62</v>
      </c>
      <c r="C18" s="7">
        <v>45293.381388888891</v>
      </c>
      <c r="D18" s="8">
        <f t="shared" si="0"/>
        <v>65222469.200000003</v>
      </c>
      <c r="E18" s="8">
        <f t="shared" si="1"/>
        <v>1415.3000000044703</v>
      </c>
      <c r="F18" s="8">
        <f t="shared" si="2"/>
        <v>1423.9500000104308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workbookViewId="0">
      <selection activeCell="Q12" sqref="Q12"/>
    </sheetView>
  </sheetViews>
  <sheetFormatPr defaultRowHeight="14.4" x14ac:dyDescent="0.3"/>
  <cols>
    <col min="2" max="2" width="13.5546875" bestFit="1" customWidth="1"/>
    <col min="3" max="3" width="11.6640625" bestFit="1" customWidth="1"/>
  </cols>
  <sheetData>
    <row r="1" spans="1:3" x14ac:dyDescent="0.3">
      <c r="A1" t="s">
        <v>63</v>
      </c>
      <c r="B1" t="s">
        <v>64</v>
      </c>
      <c r="C1" t="s">
        <v>5</v>
      </c>
    </row>
    <row r="2" spans="1:3" x14ac:dyDescent="0.3">
      <c r="A2">
        <v>0</v>
      </c>
      <c r="B2">
        <v>122.3399466780473</v>
      </c>
      <c r="C2">
        <v>0</v>
      </c>
    </row>
    <row r="3" spans="1:3" x14ac:dyDescent="0.3">
      <c r="A3">
        <v>5.4666666686534882</v>
      </c>
      <c r="B3">
        <v>120.337107515863</v>
      </c>
      <c r="C3">
        <v>0.83113447658382467</v>
      </c>
    </row>
    <row r="4" spans="1:3" x14ac:dyDescent="0.3">
      <c r="A4">
        <v>57.366666667163372</v>
      </c>
      <c r="B4">
        <v>115.4440238214582</v>
      </c>
      <c r="C4">
        <v>6.1112576146983262</v>
      </c>
    </row>
    <row r="5" spans="1:3" x14ac:dyDescent="0.3">
      <c r="A5">
        <v>299.18333334475761</v>
      </c>
      <c r="B5">
        <v>102.11324214952479</v>
      </c>
      <c r="C5">
        <v>19.94151777579707</v>
      </c>
    </row>
    <row r="6" spans="1:3" x14ac:dyDescent="0.3">
      <c r="A6">
        <v>376.30000000447029</v>
      </c>
      <c r="B6">
        <v>96.59551368077895</v>
      </c>
      <c r="C6">
        <v>23.61974878827424</v>
      </c>
    </row>
    <row r="7" spans="1:3" x14ac:dyDescent="0.3">
      <c r="A7">
        <v>399.14999999850988</v>
      </c>
      <c r="B7">
        <v>90.262465562694999</v>
      </c>
      <c r="C7">
        <v>31.015977424441552</v>
      </c>
    </row>
    <row r="8" spans="1:3" x14ac:dyDescent="0.3">
      <c r="A8">
        <v>427.0666666701436</v>
      </c>
      <c r="B8">
        <v>82.916731815719274</v>
      </c>
      <c r="C8">
        <v>38.128093393438597</v>
      </c>
    </row>
    <row r="9" spans="1:3" x14ac:dyDescent="0.3">
      <c r="A9">
        <v>430.64999999850988</v>
      </c>
      <c r="B9">
        <v>80.880793406350008</v>
      </c>
      <c r="C9">
        <v>38.404653499997067</v>
      </c>
    </row>
    <row r="10" spans="1:3" x14ac:dyDescent="0.3">
      <c r="A10">
        <v>446.5</v>
      </c>
      <c r="B10">
        <v>77.474521300024747</v>
      </c>
      <c r="C10">
        <v>41.542240862757573</v>
      </c>
    </row>
    <row r="11" spans="1:3" x14ac:dyDescent="0.3">
      <c r="A11">
        <v>539.5666666701436</v>
      </c>
      <c r="B11">
        <v>64.418529238471947</v>
      </c>
      <c r="C11">
        <v>54.895706079866763</v>
      </c>
    </row>
    <row r="12" spans="1:3" x14ac:dyDescent="0.3">
      <c r="A12">
        <v>555.35000000149012</v>
      </c>
      <c r="B12">
        <v>61.957730448611933</v>
      </c>
      <c r="C12">
        <v>55.694260846249591</v>
      </c>
    </row>
    <row r="13" spans="1:3" x14ac:dyDescent="0.3">
      <c r="A13">
        <v>568.05000000447035</v>
      </c>
      <c r="B13">
        <v>56.866164516398847</v>
      </c>
      <c r="C13">
        <v>60.77658174990173</v>
      </c>
    </row>
    <row r="14" spans="1:3" x14ac:dyDescent="0.3">
      <c r="A14">
        <v>592.73333333432674</v>
      </c>
      <c r="B14">
        <v>46.11749035097791</v>
      </c>
      <c r="C14">
        <v>71.683605647769369</v>
      </c>
    </row>
    <row r="15" spans="1:3" x14ac:dyDescent="0.3">
      <c r="A15">
        <v>1415.3000000044699</v>
      </c>
      <c r="B15">
        <v>0.6088075259560396</v>
      </c>
      <c r="C15">
        <v>116.8257508878204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C1_E1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2025-01-12T19:22:50Z</dcterms:created>
  <dcterms:modified xsi:type="dcterms:W3CDTF">2026-01-12T10:49:39Z</dcterms:modified>
</cp:coreProperties>
</file>
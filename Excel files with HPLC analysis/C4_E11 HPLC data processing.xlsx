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7D629ED84CB5D87FE26F91C02B422C90EB130254" xr6:coauthVersionLast="47" xr6:coauthVersionMax="47" xr10:uidLastSave="{4E0A856A-57C1-4B65-BE70-33FAB44A21A5}"/>
  <bookViews>
    <workbookView xWindow="40770" yWindow="2190" windowWidth="14925" windowHeight="10125" firstSheet="2" activeTab="2" xr2:uid="{00000000-000D-0000-FFFF-FFFF00000000}"/>
  </bookViews>
  <sheets>
    <sheet name="C4_E11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C11" i="2"/>
  <c r="D10" i="2"/>
  <c r="C10" i="2"/>
  <c r="D9" i="2"/>
  <c r="C9" i="2"/>
  <c r="D8" i="2"/>
  <c r="C8" i="2"/>
  <c r="D7" i="2"/>
  <c r="C7" i="2"/>
  <c r="D6" i="2"/>
  <c r="C6" i="2"/>
  <c r="N5" i="2"/>
  <c r="D5" i="2"/>
  <c r="C5" i="2"/>
  <c r="N4" i="2"/>
  <c r="D4" i="2"/>
  <c r="C4" i="2"/>
  <c r="D3" i="2"/>
  <c r="C3" i="2"/>
  <c r="D2" i="2"/>
  <c r="N3" i="2" s="1"/>
  <c r="C2" i="2"/>
  <c r="D1" i="2"/>
  <c r="C1" i="2"/>
  <c r="H10" i="1"/>
  <c r="E10" i="1"/>
  <c r="I10" i="1" s="1"/>
  <c r="H9" i="1"/>
  <c r="E9" i="1"/>
  <c r="I9" i="1" s="1"/>
  <c r="H8" i="1"/>
  <c r="E8" i="1"/>
  <c r="I8" i="1" s="1"/>
  <c r="I7" i="1"/>
  <c r="H7" i="1"/>
  <c r="E7" i="1"/>
  <c r="H6" i="1"/>
  <c r="E6" i="1"/>
  <c r="I6" i="1" s="1"/>
  <c r="H5" i="1"/>
  <c r="E5" i="1"/>
  <c r="I5" i="1" s="1"/>
  <c r="H4" i="1"/>
  <c r="E4" i="1"/>
  <c r="I4" i="1" s="1"/>
  <c r="I3" i="1"/>
</calcChain>
</file>

<file path=xl/sharedStrings.xml><?xml version="1.0" encoding="utf-8"?>
<sst xmlns="http://schemas.openxmlformats.org/spreadsheetml/2006/main" count="69" uniqueCount="39">
  <si>
    <t>Compound</t>
  </si>
  <si>
    <t>initial concentration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</si>
  <si>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</si>
  <si>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</si>
  <si>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</si>
  <si>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</si>
  <si>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</si>
  <si>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</si>
  <si>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</si>
  <si>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Ar-4SO2Me-Oph</t>
  </si>
  <si>
    <t>C4_E11-S0</t>
  </si>
  <si>
    <t>BP</t>
  </si>
  <si>
    <t>C4_E11-S1</t>
  </si>
  <si>
    <t>Phenol</t>
  </si>
  <si>
    <t>C4_E11-S2</t>
  </si>
  <si>
    <t>C4_E11-S3</t>
  </si>
  <si>
    <t>C4_E11-S4</t>
  </si>
  <si>
    <t>C4_E11-S5</t>
  </si>
  <si>
    <t>C4_E11-S6</t>
  </si>
  <si>
    <t>CC prod</t>
  </si>
  <si>
    <t>CC 4SO2MeArOPh</t>
  </si>
  <si>
    <t>IR</t>
  </si>
  <si>
    <t>pm</t>
  </si>
  <si>
    <t>V2:</t>
  </si>
  <si>
    <t>S0:</t>
  </si>
  <si>
    <t>V1</t>
  </si>
  <si>
    <t>S1:</t>
  </si>
  <si>
    <t>V2</t>
  </si>
  <si>
    <t>V1:</t>
  </si>
  <si>
    <t>V3</t>
  </si>
  <si>
    <t>S2:</t>
  </si>
  <si>
    <t>S3:</t>
  </si>
  <si>
    <t>V3:</t>
  </si>
  <si>
    <t>S4:</t>
  </si>
  <si>
    <t>S5:</t>
  </si>
  <si>
    <t>S6: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</si>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</sst>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HPLC'!$A$2:$A$9</c:f>
              <c:numCache>
                <c:formatCode>General</c:formatCode>
                <c:ptCount val="8"/>
                <c:pt idx="0">
                  <c:v>0</c:v>
                </c:pt>
                <c:pt idx="1">
                  <c:v>4.9833333352580667</c:v>
                </c:pt>
                <c:pt idx="2">
                  <c:v>712.6500000001397</c:v>
                </c:pt>
                <c:pt idx="3">
                  <c:v>761.00000000791624</c:v>
                </c:pt>
                <c:pt idx="4">
                  <c:v>1125.900000000838</c:v>
                </c:pt>
                <c:pt idx="5">
                  <c:v>1240.2833333343731</c:v>
                </c:pt>
                <c:pt idx="6">
                  <c:v>2113.0166666745208</c:v>
                </c:pt>
                <c:pt idx="7">
                  <c:v>2486.3000000012112</c:v>
                </c:pt>
              </c:numCache>
            </c:numRef>
          </c:xVal>
          <c:yVal>
            <c:numRef>
              <c:f>'Concentration vs time HPLC'!$B$2:$B$9</c:f>
              <c:numCache>
                <c:formatCode>General</c:formatCode>
                <c:ptCount val="8"/>
                <c:pt idx="0">
                  <c:v>86</c:v>
                </c:pt>
                <c:pt idx="1">
                  <c:v>86.250334330625222</c:v>
                </c:pt>
                <c:pt idx="2">
                  <c:v>70.157848388809654</c:v>
                </c:pt>
                <c:pt idx="3">
                  <c:v>66.016079492786659</c:v>
                </c:pt>
                <c:pt idx="4">
                  <c:v>49.011307784764703</c:v>
                </c:pt>
                <c:pt idx="5">
                  <c:v>38.855435192987358</c:v>
                </c:pt>
                <c:pt idx="6">
                  <c:v>5.297163034160862</c:v>
                </c:pt>
                <c:pt idx="7">
                  <c:v>2.2497672780799811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13-4459-AB5A-EA6AFB12703A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HPLC'!$A$2:$A$9</c:f>
              <c:numCache>
                <c:formatCode>General</c:formatCode>
                <c:ptCount val="8"/>
                <c:pt idx="0">
                  <c:v>0</c:v>
                </c:pt>
                <c:pt idx="1">
                  <c:v>4.9833333352580667</c:v>
                </c:pt>
                <c:pt idx="2">
                  <c:v>712.6500000001397</c:v>
                </c:pt>
                <c:pt idx="3">
                  <c:v>761.00000000791624</c:v>
                </c:pt>
                <c:pt idx="4">
                  <c:v>1125.900000000838</c:v>
                </c:pt>
                <c:pt idx="5">
                  <c:v>1240.2833333343731</c:v>
                </c:pt>
                <c:pt idx="6">
                  <c:v>2113.0166666745208</c:v>
                </c:pt>
                <c:pt idx="7">
                  <c:v>2486.3000000012112</c:v>
                </c:pt>
              </c:numCache>
            </c:numRef>
          </c:xVal>
          <c:yVal>
            <c:numRef>
              <c:f>'Concentration vs time HPLC'!$C$2:$C$9</c:f>
              <c:numCache>
                <c:formatCode>General</c:formatCode>
                <c:ptCount val="8"/>
                <c:pt idx="0">
                  <c:v>0</c:v>
                </c:pt>
                <c:pt idx="1">
                  <c:v>0.32949066080730188</c:v>
                </c:pt>
                <c:pt idx="2">
                  <c:v>13.81318369446041</c:v>
                </c:pt>
                <c:pt idx="3">
                  <c:v>17.349998667913361</c:v>
                </c:pt>
                <c:pt idx="4">
                  <c:v>37.274163632623392</c:v>
                </c:pt>
                <c:pt idx="5">
                  <c:v>45.629696364265627</c:v>
                </c:pt>
                <c:pt idx="6">
                  <c:v>78.177746932517721</c:v>
                </c:pt>
                <c:pt idx="7">
                  <c:v>78.88510621945538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13-4459-AB5A-EA6AFB12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226000"/>
        <c:axId val="1662217360"/>
      </c:scatterChart>
      <c:valAx>
        <c:axId val="16622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7360"/>
        <c:crosses val="autoZero"/>
        <c:crossBetween val="midCat"/>
      </c:valAx>
      <c:valAx>
        <c:axId val="166221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2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313372</xdr:colOff>
      <xdr:row>0</xdr:row>
      <xdr:rowOff>101917</xdr:rowOff>
    </xdr:from>
    <xdr:to>
      <xdr:col>9</xdr:col>
      <xdr:colOff>541972</xdr:colOff>
      <xdr:row>15</xdr:row>
      <xdr:rowOff>126682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C0E68-9168-BCF3-A59A-DC49E2EC5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HPLC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HPLC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zoomScale="98" workbookViewId="0">
      <selection activeCell="K1" sqref="K1:L1"/>
    </sheetView>
  </sheetViews>
  <sheetFormatPr defaultRowHeight="14.4" x14ac:dyDescent="0.3"/>
  <cols>
    <col min="1" max="1" width="12.33203125" customWidth="1"/>
    <col min="10" max="10" width="15.88671875" bestFit="1" customWidth="1"/>
    <col min="11" max="11" width="14.77734375" bestFit="1" customWidth="1"/>
    <col min="12" max="12" width="23" bestFit="1" customWidth="1"/>
  </cols>
  <sheetData>
    <row r="1" spans="1:12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K1" t="s">
        <v>0</v>
      </c>
      <c r="L1" t="s">
        <v>1</v>
      </c>
    </row>
    <row r="2" spans="1:12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5</v>
      </c>
      <c r="H2" t="s">
        <v>6</v>
      </c>
      <c r="K2" t="s">
        <v>8</v>
      </c>
      <c r="L2">
        <v>32.011602332088742</v>
      </c>
    </row>
    <row r="3" spans="1:12" x14ac:dyDescent="0.3">
      <c r="B3">
        <v>4.0389085837772898</v>
      </c>
      <c r="C3">
        <v>2.1419667175837902</v>
      </c>
      <c r="E3">
        <v>0</v>
      </c>
      <c r="F3">
        <v>2.9727406501770002</v>
      </c>
      <c r="H3">
        <v>0</v>
      </c>
      <c r="I3">
        <f t="shared" ref="I3:I10" si="0">SUM(E3,H3)</f>
        <v>0</v>
      </c>
      <c r="K3" t="s">
        <v>9</v>
      </c>
      <c r="L3">
        <v>88.772790790666974</v>
      </c>
    </row>
    <row r="4" spans="1:12" x14ac:dyDescent="0.3">
      <c r="A4" t="s">
        <v>10</v>
      </c>
      <c r="B4">
        <v>474.82586669921898</v>
      </c>
      <c r="C4">
        <v>1882.1123046875</v>
      </c>
      <c r="D4">
        <v>3.9637948070755198</v>
      </c>
      <c r="E4">
        <f>D4/$B$13*$L$4</f>
        <v>86.250334330625222</v>
      </c>
      <c r="F4">
        <v>7.77288770675659</v>
      </c>
      <c r="G4">
        <v>1.6369975293869899E-2</v>
      </c>
      <c r="H4">
        <f>G4/$B$12*$L$4</f>
        <v>0.32949066080730194</v>
      </c>
      <c r="I4">
        <f t="shared" si="0"/>
        <v>86.579824991432517</v>
      </c>
      <c r="J4" t="s">
        <v>11</v>
      </c>
      <c r="K4" t="s">
        <v>3</v>
      </c>
      <c r="L4">
        <v>12.66840164320678</v>
      </c>
    </row>
    <row r="5" spans="1:12" x14ac:dyDescent="0.3">
      <c r="A5" t="s">
        <v>12</v>
      </c>
      <c r="B5">
        <v>346.33435058593801</v>
      </c>
      <c r="C5">
        <v>1116.66320800781</v>
      </c>
      <c r="D5">
        <v>3.2242346337249201</v>
      </c>
      <c r="E5">
        <f>D5/$B$13*$L$4</f>
        <v>70.157848388809654</v>
      </c>
      <c r="F5">
        <v>237.68089294433599</v>
      </c>
      <c r="G5">
        <v>0.68627582722366598</v>
      </c>
      <c r="H5">
        <f>G5/$B$12*$L$4</f>
        <v>13.813183694460413</v>
      </c>
      <c r="I5">
        <f t="shared" si="0"/>
        <v>83.971032083270075</v>
      </c>
      <c r="K5" t="s">
        <v>13</v>
      </c>
      <c r="L5">
        <v>3.0459631325172709</v>
      </c>
    </row>
    <row r="6" spans="1:12" x14ac:dyDescent="0.3">
      <c r="A6" t="s">
        <v>14</v>
      </c>
      <c r="B6">
        <v>250.01754760742199</v>
      </c>
      <c r="C6">
        <v>765.20666503906295</v>
      </c>
      <c r="D6">
        <v>3.0606118344964801</v>
      </c>
      <c r="E6">
        <f>D6/$B$13*$L$11</f>
        <v>66.016079492786659</v>
      </c>
      <c r="F6">
        <v>217.41174316406301</v>
      </c>
      <c r="G6">
        <v>0.86958593604574996</v>
      </c>
      <c r="H6">
        <f>G6/$B$12*$L$11</f>
        <v>17.349998667913361</v>
      </c>
      <c r="I6">
        <f t="shared" si="0"/>
        <v>83.366078160700027</v>
      </c>
    </row>
    <row r="7" spans="1:12" x14ac:dyDescent="0.3">
      <c r="A7" t="s">
        <v>15</v>
      </c>
      <c r="B7">
        <v>199.784423828125</v>
      </c>
      <c r="C7">
        <v>453.95880126953102</v>
      </c>
      <c r="D7">
        <v>2.2722432138156701</v>
      </c>
      <c r="E7">
        <f>D7/$B$13*$L$11</f>
        <v>49.011307784764711</v>
      </c>
      <c r="F7">
        <v>373.23519897461</v>
      </c>
      <c r="G7">
        <v>1.8681896807716301</v>
      </c>
      <c r="H7">
        <f>G7/$B$12*$L$11</f>
        <v>37.274163632623399</v>
      </c>
      <c r="I7">
        <f t="shared" si="0"/>
        <v>86.285471417388109</v>
      </c>
    </row>
    <row r="8" spans="1:12" x14ac:dyDescent="0.3">
      <c r="A8" t="s">
        <v>16</v>
      </c>
      <c r="B8">
        <v>464.04797363281301</v>
      </c>
      <c r="C8">
        <v>848.646240234375</v>
      </c>
      <c r="D8">
        <v>1.82878988478437</v>
      </c>
      <c r="E8">
        <f>D8/$B$13*$L$18</f>
        <v>38.855435192987379</v>
      </c>
      <c r="F8">
        <v>1077.40014648438</v>
      </c>
      <c r="G8">
        <v>2.32174302594174</v>
      </c>
      <c r="H8">
        <f>G8/$B$12*$L$18</f>
        <v>45.629696364265648</v>
      </c>
      <c r="I8">
        <f t="shared" si="0"/>
        <v>84.485131557253027</v>
      </c>
    </row>
    <row r="9" spans="1:12" x14ac:dyDescent="0.3">
      <c r="A9" t="s">
        <v>17</v>
      </c>
      <c r="B9">
        <v>210.88328552246099</v>
      </c>
      <c r="C9">
        <v>52.5772094726563</v>
      </c>
      <c r="D9">
        <v>0.24931899814817801</v>
      </c>
      <c r="E9">
        <f>D9/$B$13*$L$18</f>
        <v>5.2971630341608638</v>
      </c>
      <c r="F9">
        <v>838.86462402343795</v>
      </c>
      <c r="G9">
        <v>3.9778620763857999</v>
      </c>
      <c r="H9">
        <f>G9/$B$12*$L$18</f>
        <v>78.177746932517735</v>
      </c>
      <c r="I9">
        <f t="shared" si="0"/>
        <v>83.474909966678595</v>
      </c>
      <c r="K9" t="s">
        <v>8</v>
      </c>
      <c r="L9">
        <v>105.5039352145063</v>
      </c>
    </row>
    <row r="10" spans="1:12" x14ac:dyDescent="0.3">
      <c r="A10" t="s">
        <v>18</v>
      </c>
      <c r="B10">
        <v>373.96127319336</v>
      </c>
      <c r="C10">
        <v>39.598274230957102</v>
      </c>
      <c r="D10">
        <v>0.105888703107721</v>
      </c>
      <c r="E10">
        <f>D10/$B$13*$L$18</f>
        <v>2.2497672780799811</v>
      </c>
      <c r="F10">
        <v>1501.02600097656</v>
      </c>
      <c r="G10">
        <v>4.0138541302923603</v>
      </c>
      <c r="H10">
        <f>G10/$B$12*$L$18</f>
        <v>78.885106219455409</v>
      </c>
      <c r="I10">
        <f t="shared" si="0"/>
        <v>81.134873497535395</v>
      </c>
      <c r="K10" t="s">
        <v>9</v>
      </c>
      <c r="L10">
        <v>87.997782120940059</v>
      </c>
    </row>
    <row r="11" spans="1:12" x14ac:dyDescent="0.3">
      <c r="K11" t="s">
        <v>3</v>
      </c>
      <c r="L11">
        <v>12.55780332791646</v>
      </c>
    </row>
    <row r="12" spans="1:12" x14ac:dyDescent="0.3">
      <c r="A12" t="s">
        <v>19</v>
      </c>
      <c r="B12">
        <v>0.62939999999999996</v>
      </c>
      <c r="K12" t="s">
        <v>13</v>
      </c>
      <c r="L12">
        <v>3.019371112436072</v>
      </c>
    </row>
    <row r="13" spans="1:12" x14ac:dyDescent="0.3">
      <c r="A13" t="s">
        <v>20</v>
      </c>
      <c r="B13">
        <v>0.58220000000000005</v>
      </c>
    </row>
    <row r="16" spans="1:12" x14ac:dyDescent="0.3">
      <c r="K16" t="s">
        <v>8</v>
      </c>
      <c r="L16">
        <v>230.49270965425509</v>
      </c>
    </row>
    <row r="17" spans="11:12" x14ac:dyDescent="0.3">
      <c r="K17" t="s">
        <v>9</v>
      </c>
      <c r="L17">
        <v>86.679863153219529</v>
      </c>
    </row>
    <row r="18" spans="11:12" x14ac:dyDescent="0.3">
      <c r="K18" t="s">
        <v>3</v>
      </c>
      <c r="L18">
        <v>12.369728506030389</v>
      </c>
    </row>
    <row r="19" spans="11:12" x14ac:dyDescent="0.3">
      <c r="K19" t="s">
        <v>13</v>
      </c>
      <c r="L19">
        <v>2.9741508084266148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N3" sqref="N3:N5"/>
    </sheetView>
  </sheetViews>
  <sheetFormatPr defaultRowHeight="14.4" x14ac:dyDescent="0.3"/>
  <cols>
    <col min="2" max="2" width="15.5546875" bestFit="1" customWidth="1"/>
  </cols>
  <sheetData>
    <row r="1" spans="1:14" x14ac:dyDescent="0.3">
      <c r="A1" s="1" t="s">
        <v>21</v>
      </c>
      <c r="B1" s="2">
        <v>45292.903391203698</v>
      </c>
      <c r="C1">
        <f t="shared" ref="C1:C11" si="0">(B1-$B$1)*86400/60</f>
        <v>0</v>
      </c>
      <c r="D1">
        <f t="shared" ref="D1:D11" si="1">(B1-$B$2)*86400/60</f>
        <v>-14.633333338424563</v>
      </c>
      <c r="F1" t="s">
        <v>21</v>
      </c>
      <c r="G1">
        <v>0</v>
      </c>
      <c r="H1" t="s">
        <v>22</v>
      </c>
    </row>
    <row r="2" spans="1:14" x14ac:dyDescent="0.3">
      <c r="A2" s="1" t="s">
        <v>23</v>
      </c>
      <c r="B2" s="2">
        <v>45292.913553240738</v>
      </c>
      <c r="C2">
        <f t="shared" si="0"/>
        <v>14.633333338424563</v>
      </c>
      <c r="D2">
        <f t="shared" si="1"/>
        <v>0</v>
      </c>
      <c r="F2" t="s">
        <v>23</v>
      </c>
      <c r="G2">
        <v>14.633333327947179</v>
      </c>
    </row>
    <row r="3" spans="1:14" x14ac:dyDescent="0.3">
      <c r="A3" s="1" t="s">
        <v>24</v>
      </c>
      <c r="B3" s="2">
        <v>45292.917013888888</v>
      </c>
      <c r="C3">
        <f t="shared" si="0"/>
        <v>19.61666667368263</v>
      </c>
      <c r="D3">
        <f t="shared" si="1"/>
        <v>4.9833333352580667</v>
      </c>
      <c r="F3" t="s">
        <v>24</v>
      </c>
      <c r="G3">
        <v>19.616666663205251</v>
      </c>
      <c r="I3" t="s">
        <v>21</v>
      </c>
      <c r="J3">
        <v>0</v>
      </c>
      <c r="K3">
        <v>0</v>
      </c>
      <c r="M3" t="s">
        <v>25</v>
      </c>
      <c r="N3">
        <f>D2</f>
        <v>0</v>
      </c>
    </row>
    <row r="4" spans="1:14" x14ac:dyDescent="0.3">
      <c r="A4" s="1" t="s">
        <v>26</v>
      </c>
      <c r="B4" s="2">
        <v>45293.408449074072</v>
      </c>
      <c r="C4">
        <f t="shared" si="0"/>
        <v>727.28333333856426</v>
      </c>
      <c r="D4">
        <f t="shared" si="1"/>
        <v>712.6500000001397</v>
      </c>
      <c r="F4" t="s">
        <v>26</v>
      </c>
      <c r="G4">
        <v>727.28333332808688</v>
      </c>
      <c r="I4" t="s">
        <v>24</v>
      </c>
      <c r="J4">
        <v>19.616666663205251</v>
      </c>
      <c r="K4">
        <v>4.9833333352580667</v>
      </c>
      <c r="M4" t="s">
        <v>27</v>
      </c>
      <c r="N4">
        <f>D5</f>
        <v>714.88333334214985</v>
      </c>
    </row>
    <row r="5" spans="1:14" x14ac:dyDescent="0.3">
      <c r="A5" s="1" t="s">
        <v>28</v>
      </c>
      <c r="B5" s="2">
        <v>45293.41</v>
      </c>
      <c r="C5">
        <f t="shared" si="0"/>
        <v>729.51666668057442</v>
      </c>
      <c r="D5">
        <f t="shared" si="1"/>
        <v>714.88333334214985</v>
      </c>
      <c r="F5" t="s">
        <v>28</v>
      </c>
      <c r="G5">
        <v>729.51666667009704</v>
      </c>
      <c r="I5" t="s">
        <v>26</v>
      </c>
      <c r="J5">
        <v>727.28333332808688</v>
      </c>
      <c r="K5">
        <v>712.6500000001397</v>
      </c>
      <c r="M5" t="s">
        <v>29</v>
      </c>
      <c r="N5">
        <f>D8</f>
        <v>1185.4333333368413</v>
      </c>
    </row>
    <row r="6" spans="1:14" x14ac:dyDescent="0.3">
      <c r="A6" s="1" t="s">
        <v>30</v>
      </c>
      <c r="B6" s="2">
        <v>45293.442025462973</v>
      </c>
      <c r="C6">
        <f t="shared" si="0"/>
        <v>775.63333335681818</v>
      </c>
      <c r="D6">
        <f t="shared" si="1"/>
        <v>761.00000001839362</v>
      </c>
      <c r="F6" t="s">
        <v>30</v>
      </c>
      <c r="G6">
        <v>775.63333333586343</v>
      </c>
      <c r="I6" t="s">
        <v>30</v>
      </c>
      <c r="J6">
        <v>775.63333333586343</v>
      </c>
      <c r="K6">
        <v>761.00000000791624</v>
      </c>
    </row>
    <row r="7" spans="1:14" x14ac:dyDescent="0.3">
      <c r="A7" s="1" t="s">
        <v>31</v>
      </c>
      <c r="B7" s="2">
        <v>45293.695428240739</v>
      </c>
      <c r="C7">
        <f t="shared" si="0"/>
        <v>1140.5333333392628</v>
      </c>
      <c r="D7">
        <f t="shared" si="1"/>
        <v>1125.9000000008382</v>
      </c>
      <c r="F7" t="s">
        <v>31</v>
      </c>
      <c r="G7">
        <v>1140.5333333287849</v>
      </c>
      <c r="I7" t="s">
        <v>31</v>
      </c>
      <c r="J7">
        <v>1140.5333333287849</v>
      </c>
      <c r="K7">
        <v>1125.900000000838</v>
      </c>
    </row>
    <row r="8" spans="1:14" x14ac:dyDescent="0.3">
      <c r="A8" s="1" t="s">
        <v>32</v>
      </c>
      <c r="B8" s="2">
        <v>45293.736770833333</v>
      </c>
      <c r="C8">
        <f t="shared" si="0"/>
        <v>1200.0666666752659</v>
      </c>
      <c r="D8">
        <f t="shared" si="1"/>
        <v>1185.4333333368413</v>
      </c>
      <c r="F8" t="s">
        <v>32</v>
      </c>
      <c r="G8">
        <v>1200.066666664788</v>
      </c>
      <c r="I8" t="s">
        <v>33</v>
      </c>
      <c r="J8">
        <v>1254.91666666232</v>
      </c>
      <c r="K8">
        <v>1240.2833333343731</v>
      </c>
    </row>
    <row r="9" spans="1:14" x14ac:dyDescent="0.3">
      <c r="A9" s="1" t="s">
        <v>33</v>
      </c>
      <c r="B9" s="2">
        <v>45293.774861111109</v>
      </c>
      <c r="C9">
        <f t="shared" si="0"/>
        <v>1254.9166666727979</v>
      </c>
      <c r="D9">
        <f t="shared" si="1"/>
        <v>1240.2833333343733</v>
      </c>
      <c r="F9" t="s">
        <v>33</v>
      </c>
      <c r="G9">
        <v>1254.91666666232</v>
      </c>
      <c r="I9" t="s">
        <v>34</v>
      </c>
      <c r="J9">
        <v>2127.650000002468</v>
      </c>
      <c r="K9">
        <v>2113.0166666745208</v>
      </c>
    </row>
    <row r="10" spans="1:14" x14ac:dyDescent="0.3">
      <c r="A10" s="1" t="s">
        <v>34</v>
      </c>
      <c r="B10" s="2">
        <v>45294.380925925929</v>
      </c>
      <c r="C10">
        <f t="shared" si="0"/>
        <v>2127.6500000129454</v>
      </c>
      <c r="D10">
        <f t="shared" si="1"/>
        <v>2113.0166666745208</v>
      </c>
      <c r="F10" t="s">
        <v>34</v>
      </c>
      <c r="G10">
        <v>2127.650000002468</v>
      </c>
      <c r="I10" t="s">
        <v>35</v>
      </c>
      <c r="J10">
        <v>2500.9333333291579</v>
      </c>
      <c r="K10">
        <v>2486.3000000012112</v>
      </c>
    </row>
    <row r="11" spans="1:14" x14ac:dyDescent="0.3">
      <c r="A11" s="1" t="s">
        <v>35</v>
      </c>
      <c r="B11" s="2">
        <v>45294.640150462961</v>
      </c>
      <c r="C11">
        <f t="shared" si="0"/>
        <v>2500.9333333396353</v>
      </c>
      <c r="D11">
        <f t="shared" si="1"/>
        <v>2486.3000000012107</v>
      </c>
      <c r="F11" t="s">
        <v>35</v>
      </c>
      <c r="G11">
        <v>2500.9333333291579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L9" sqref="L9"/>
    </sheetView>
  </sheetViews>
  <sheetFormatPr defaultRowHeight="14.4" x14ac:dyDescent="0.3"/>
  <cols>
    <col min="4" max="4" width="13.88671875" bestFit="1" customWidth="1"/>
    <col min="6" max="6" width="13.88671875" bestFit="1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>
        <v>0</v>
      </c>
      <c r="B2">
        <v>86</v>
      </c>
      <c r="C2">
        <v>0</v>
      </c>
    </row>
    <row r="3" spans="1:3" x14ac:dyDescent="0.3">
      <c r="A3">
        <v>4.9833333352580667</v>
      </c>
      <c r="B3">
        <v>86.250334330625222</v>
      </c>
      <c r="C3">
        <v>0.32949066080730188</v>
      </c>
    </row>
    <row r="4" spans="1:3" x14ac:dyDescent="0.3">
      <c r="A4">
        <v>712.6500000001397</v>
      </c>
      <c r="B4">
        <v>70.157848388809654</v>
      </c>
      <c r="C4">
        <v>13.81318369446041</v>
      </c>
    </row>
    <row r="5" spans="1:3" x14ac:dyDescent="0.3">
      <c r="A5">
        <v>761.00000000791624</v>
      </c>
      <c r="B5">
        <v>66.016079492786659</v>
      </c>
      <c r="C5">
        <v>17.349998667913361</v>
      </c>
    </row>
    <row r="6" spans="1:3" x14ac:dyDescent="0.3">
      <c r="A6">
        <v>1125.900000000838</v>
      </c>
      <c r="B6">
        <v>49.011307784764703</v>
      </c>
      <c r="C6">
        <v>37.274163632623392</v>
      </c>
    </row>
    <row r="7" spans="1:3" x14ac:dyDescent="0.3">
      <c r="A7">
        <v>1240.2833333343731</v>
      </c>
      <c r="B7">
        <v>38.855435192987358</v>
      </c>
      <c r="C7">
        <v>45.629696364265627</v>
      </c>
    </row>
    <row r="8" spans="1:3" x14ac:dyDescent="0.3">
      <c r="A8">
        <v>2113.0166666745208</v>
      </c>
      <c r="B8">
        <v>5.297163034160862</v>
      </c>
      <c r="C8">
        <v>78.177746932517721</v>
      </c>
    </row>
    <row r="9" spans="1:3" x14ac:dyDescent="0.3">
      <c r="A9">
        <v>2486.3000000012112</v>
      </c>
      <c r="B9">
        <v>2.2497672780799811</v>
      </c>
      <c r="C9">
        <v>78.88510621945538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C4_E11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2024-11-20T18:16:07Z</dcterms:created>
  <dcterms:modified xsi:type="dcterms:W3CDTF">2026-01-12T11:16:23Z</dcterms:modified>
</cp:coreProperties>
</file>
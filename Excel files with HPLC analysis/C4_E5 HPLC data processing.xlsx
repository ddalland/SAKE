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D3145B57D94CFA66F66BE06123EB0AC80753F0E1" xr6:coauthVersionLast="47" xr6:coauthVersionMax="47" xr10:uidLastSave="{E1530FF2-BD97-40AA-8FDD-48CB0C93D3BB}"/>
  <bookViews>
    <workbookView xWindow="3492" yWindow="2832" windowWidth="17280" windowHeight="8880" firstSheet="1" activeTab="2" xr2:uid="{00000000-000D-0000-FFFF-FFFF00000000}"/>
  </bookViews>
  <sheets>
    <sheet name="C4_E5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C16" i="2"/>
  <c r="D16" i="2" s="1"/>
  <c r="E15" i="2"/>
  <c r="D15" i="2"/>
  <c r="C15" i="2"/>
  <c r="C14" i="2"/>
  <c r="E14" i="2" s="1"/>
  <c r="C13" i="2"/>
  <c r="E13" i="2" s="1"/>
  <c r="E12" i="2"/>
  <c r="D12" i="2"/>
  <c r="C12" i="2"/>
  <c r="E11" i="2"/>
  <c r="C11" i="2"/>
  <c r="D11" i="2" s="1"/>
  <c r="C10" i="2"/>
  <c r="E10" i="2" s="1"/>
  <c r="C9" i="2"/>
  <c r="E9" i="2" s="1"/>
  <c r="C8" i="2"/>
  <c r="E8" i="2" s="1"/>
  <c r="K7" i="2"/>
  <c r="H7" i="2"/>
  <c r="G7" i="2"/>
  <c r="C7" i="2"/>
  <c r="E7" i="2" s="1"/>
  <c r="H6" i="2"/>
  <c r="G6" i="2"/>
  <c r="E6" i="2"/>
  <c r="C6" i="2"/>
  <c r="D6" i="2" s="1"/>
  <c r="H5" i="2"/>
  <c r="G5" i="2"/>
  <c r="C5" i="2"/>
  <c r="K5" i="2" s="1"/>
  <c r="H12" i="1"/>
  <c r="D12" i="1"/>
  <c r="E12" i="1" s="1"/>
  <c r="I12" i="1" s="1"/>
  <c r="H11" i="1"/>
  <c r="D11" i="1"/>
  <c r="E11" i="1" s="1"/>
  <c r="I11" i="1" s="1"/>
  <c r="H10" i="1"/>
  <c r="D10" i="1"/>
  <c r="E10" i="1" s="1"/>
  <c r="I10" i="1" s="1"/>
  <c r="H9" i="1"/>
  <c r="D9" i="1"/>
  <c r="E9" i="1" s="1"/>
  <c r="I9" i="1" s="1"/>
  <c r="H8" i="1"/>
  <c r="D8" i="1"/>
  <c r="E8" i="1" s="1"/>
  <c r="I8" i="1" s="1"/>
  <c r="H7" i="1"/>
  <c r="D7" i="1"/>
  <c r="E7" i="1" s="1"/>
  <c r="I7" i="1" s="1"/>
  <c r="H6" i="1"/>
  <c r="D6" i="1"/>
  <c r="E6" i="1" s="1"/>
  <c r="I6" i="1" s="1"/>
  <c r="H5" i="1"/>
  <c r="D5" i="1"/>
  <c r="E5" i="1" s="1"/>
  <c r="I5" i="1" s="1"/>
  <c r="H4" i="1"/>
  <c r="D4" i="1"/>
  <c r="E4" i="1" s="1"/>
  <c r="I4" i="1" s="1"/>
  <c r="K6" i="2" l="1"/>
  <c r="D7" i="2"/>
  <c r="D13" i="2"/>
  <c r="D8" i="2"/>
  <c r="D14" i="2"/>
  <c r="D10" i="2"/>
  <c r="D5" i="2"/>
  <c r="E5" i="2"/>
  <c r="D9" i="2"/>
</calcChain>
</file>

<file path=xl/sharedStrings.xml><?xml version="1.0" encoding="utf-8"?>
<sst xmlns="http://schemas.openxmlformats.org/spreadsheetml/2006/main" count="65" uniqueCount="43">
  <si>
    <t>Compound</t>
  </si>
  <si>
    <t>initial concentration / mM</t>
  </si>
  <si>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</si>
  <si>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</si>
  <si>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</si>
  <si>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</si>
  <si>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</si>
  <si>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</si>
  <si>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</si>
  <si>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Ar-4SO2Me-Oph</t>
  </si>
  <si>
    <t>C4_E5-S0</t>
  </si>
  <si>
    <t>C4_E5-S1</t>
  </si>
  <si>
    <t>Phenol</t>
  </si>
  <si>
    <t>C4_E5-S2</t>
  </si>
  <si>
    <t>C4_E5-S3</t>
  </si>
  <si>
    <t>C4_E5-S4</t>
  </si>
  <si>
    <t>C4_E5-S5</t>
  </si>
  <si>
    <t>C4_E5-S6</t>
  </si>
  <si>
    <t>C4_E5-S7</t>
  </si>
  <si>
    <t>C4_E5-S8</t>
  </si>
  <si>
    <t>CC 4SO2MeArOPh</t>
  </si>
  <si>
    <t>CC prod</t>
  </si>
  <si>
    <t>V1:</t>
  </si>
  <si>
    <t>mg</t>
  </si>
  <si>
    <t>V2:</t>
  </si>
  <si>
    <t>151,45</t>
  </si>
  <si>
    <t>V3:</t>
  </si>
  <si>
    <t>Since V1</t>
  </si>
  <si>
    <t>Since V2</t>
  </si>
  <si>
    <t>Since V3</t>
  </si>
  <si>
    <t>V1</t>
  </si>
  <si>
    <t>S1:</t>
  </si>
  <si>
    <t>V2</t>
  </si>
  <si>
    <t>S2:</t>
  </si>
  <si>
    <t>V3</t>
  </si>
  <si>
    <t>S3:</t>
  </si>
  <si>
    <t>S4:</t>
  </si>
  <si>
    <t>S5:</t>
  </si>
  <si>
    <t>S6:</t>
  </si>
  <si>
    <t>S7:</t>
  </si>
  <si>
    <t>S8:</t>
  </si>
  <si>
    <t>Time / min</t>
  </si>
  <si>
    <t>4SO2Me-ArOPh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</si>
</sst>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22" fontId="0" fillId="0" borderId="0" xfId="0" applyNumberFormat="1"/>
    <xf numFmtId="2" fontId="0" fillId="0" borderId="0" xfId="0" applyNumberFormat="1"/>
    <xf numFmtId="22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HPLC'!$A$2:$A$10</c:f>
              <c:numCache>
                <c:formatCode>General</c:formatCode>
                <c:ptCount val="9"/>
                <c:pt idx="0">
                  <c:v>0</c:v>
                </c:pt>
                <c:pt idx="1">
                  <c:v>44.316666674567387</c:v>
                </c:pt>
                <c:pt idx="2">
                  <c:v>195.9333333384711</c:v>
                </c:pt>
                <c:pt idx="3">
                  <c:v>461.71666667098179</c:v>
                </c:pt>
                <c:pt idx="4">
                  <c:v>1180.450000001583</c:v>
                </c:pt>
                <c:pt idx="5">
                  <c:v>1404.0500000095931</c:v>
                </c:pt>
                <c:pt idx="6">
                  <c:v>1671.1666666727981</c:v>
                </c:pt>
                <c:pt idx="7">
                  <c:v>2479.9666666751732</c:v>
                </c:pt>
                <c:pt idx="8">
                  <c:v>2543.5500000044699</c:v>
                </c:pt>
              </c:numCache>
            </c:numRef>
          </c:xVal>
          <c:yVal>
            <c:numRef>
              <c:f>'Concentration vs time HPLC'!$B$2:$B$10</c:f>
              <c:numCache>
                <c:formatCode>General</c:formatCode>
                <c:ptCount val="9"/>
                <c:pt idx="0">
                  <c:v>117.5</c:v>
                </c:pt>
                <c:pt idx="1">
                  <c:v>113.73315891253689</c:v>
                </c:pt>
                <c:pt idx="2">
                  <c:v>105.5351097833035</c:v>
                </c:pt>
                <c:pt idx="3">
                  <c:v>94.436175630550764</c:v>
                </c:pt>
                <c:pt idx="4">
                  <c:v>39.205266967805088</c:v>
                </c:pt>
                <c:pt idx="5">
                  <c:v>14.395969799952949</c:v>
                </c:pt>
                <c:pt idx="6">
                  <c:v>5.3510074504985239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3-4665-9B05-30C15E0AD706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HPLC'!$A$2:$A$10</c:f>
              <c:numCache>
                <c:formatCode>General</c:formatCode>
                <c:ptCount val="9"/>
                <c:pt idx="0">
                  <c:v>0</c:v>
                </c:pt>
                <c:pt idx="1">
                  <c:v>44.316666674567387</c:v>
                </c:pt>
                <c:pt idx="2">
                  <c:v>195.9333333384711</c:v>
                </c:pt>
                <c:pt idx="3">
                  <c:v>461.71666667098179</c:v>
                </c:pt>
                <c:pt idx="4">
                  <c:v>1180.450000001583</c:v>
                </c:pt>
                <c:pt idx="5">
                  <c:v>1404.0500000095931</c:v>
                </c:pt>
                <c:pt idx="6">
                  <c:v>1671.1666666727981</c:v>
                </c:pt>
                <c:pt idx="7">
                  <c:v>2479.9666666751732</c:v>
                </c:pt>
                <c:pt idx="8">
                  <c:v>2543.5500000044699</c:v>
                </c:pt>
              </c:numCache>
            </c:numRef>
          </c:xVal>
          <c:yVal>
            <c:numRef>
              <c:f>'Concentration vs time HPLC'!$C$2:$C$10</c:f>
              <c:numCache>
                <c:formatCode>General</c:formatCode>
                <c:ptCount val="9"/>
                <c:pt idx="0">
                  <c:v>0</c:v>
                </c:pt>
                <c:pt idx="1">
                  <c:v>3.6530969124495201</c:v>
                </c:pt>
                <c:pt idx="2">
                  <c:v>12.193476834165329</c:v>
                </c:pt>
                <c:pt idx="3">
                  <c:v>21.311174790488689</c:v>
                </c:pt>
                <c:pt idx="4">
                  <c:v>77.352044023754857</c:v>
                </c:pt>
                <c:pt idx="5">
                  <c:v>99.031392475987957</c:v>
                </c:pt>
                <c:pt idx="6">
                  <c:v>108.31792905850681</c:v>
                </c:pt>
                <c:pt idx="7">
                  <c:v>113.08152231733339</c:v>
                </c:pt>
                <c:pt idx="8">
                  <c:v>114.1473584528303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F3-4665-9B05-30C15E0AD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96543"/>
        <c:axId val="1777495583"/>
      </c:scatterChart>
      <c:valAx>
        <c:axId val="177749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95583"/>
        <c:crosses val="autoZero"/>
        <c:crossBetween val="midCat"/>
      </c:valAx>
      <c:valAx>
        <c:axId val="17774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96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0</xdr:row>
      <xdr:rowOff>60966</xdr:rowOff>
    </xdr:from>
    <xdr:to>
      <xdr:col>10</xdr:col>
      <xdr:colOff>518160</xdr:colOff>
      <xdr:row>15</xdr:row>
      <xdr:rowOff>60966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AB7E8F-90AD-D593-1BC5-6CA57B745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L1" sqref="L1:M1"/>
    </sheetView>
  </sheetViews>
  <sheetFormatPr defaultRowHeight="14.4" x14ac:dyDescent="0.3"/>
  <cols>
    <col min="2" max="2" width="12" bestFit="1" customWidth="1"/>
    <col min="8" max="8" width="13.33203125" bestFit="1" customWidth="1"/>
    <col min="11" max="11" width="10.109375" bestFit="1" customWidth="1"/>
    <col min="12" max="12" width="14.33203125" bestFit="1" customWidth="1"/>
    <col min="13" max="13" width="21.5546875" bestFit="1" customWidth="1"/>
  </cols>
  <sheetData>
    <row r="1" spans="1:13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L1" t="s">
        <v>0</v>
      </c>
      <c r="M1" t="s">
        <v>1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5</v>
      </c>
      <c r="H2" t="s">
        <v>6</v>
      </c>
      <c r="L2" t="s">
        <v>8</v>
      </c>
      <c r="M2">
        <v>47.487990213507608</v>
      </c>
    </row>
    <row r="3" spans="1:13" x14ac:dyDescent="0.3">
      <c r="B3">
        <v>4.04428911209106</v>
      </c>
      <c r="C3">
        <v>2.14046162499322</v>
      </c>
      <c r="E3">
        <v>0</v>
      </c>
      <c r="F3">
        <v>2.9761660830179801</v>
      </c>
      <c r="H3">
        <v>0</v>
      </c>
      <c r="L3" t="s">
        <v>9</v>
      </c>
      <c r="M3">
        <v>119.5245778887343</v>
      </c>
    </row>
    <row r="4" spans="1:13" x14ac:dyDescent="0.3">
      <c r="A4" s="5" t="s">
        <v>10</v>
      </c>
      <c r="B4" s="5">
        <v>104.990278778076</v>
      </c>
      <c r="C4" s="5">
        <v>721.26239013671898</v>
      </c>
      <c r="D4" s="5">
        <f t="shared" ref="D4:D12" si="0">C4/B4</f>
        <v>6.8698016476486625</v>
      </c>
      <c r="E4" s="5">
        <f>D4*$M$4/$B$14</f>
        <v>117.5252913024255</v>
      </c>
      <c r="F4" s="5">
        <v>0</v>
      </c>
      <c r="G4" s="5">
        <v>0</v>
      </c>
      <c r="H4" s="5">
        <f>G4*$M$4/$B$15</f>
        <v>0</v>
      </c>
      <c r="I4" s="5">
        <f t="shared" ref="I4:I12" si="1">SUM(E4,H4)</f>
        <v>117.5252913024255</v>
      </c>
      <c r="L4" t="s">
        <v>3</v>
      </c>
      <c r="M4">
        <v>9.9600000270301035</v>
      </c>
    </row>
    <row r="5" spans="1:13" x14ac:dyDescent="0.3">
      <c r="A5" s="5" t="s">
        <v>11</v>
      </c>
      <c r="B5" s="5">
        <v>166.9052734375</v>
      </c>
      <c r="C5" s="5">
        <v>1109.60913085938</v>
      </c>
      <c r="D5" s="5">
        <f t="shared" si="0"/>
        <v>6.6481370420862618</v>
      </c>
      <c r="E5" s="5">
        <f>D5*$M$4/$B$14</f>
        <v>113.73315891253692</v>
      </c>
      <c r="F5" s="5">
        <v>38.5299682617188</v>
      </c>
      <c r="G5" s="5">
        <v>0.230849316310828</v>
      </c>
      <c r="H5" s="5">
        <f>G5*$M$4/$B$15</f>
        <v>3.6530969124495201</v>
      </c>
      <c r="I5" s="5">
        <f t="shared" si="1"/>
        <v>117.38625582498645</v>
      </c>
      <c r="L5" t="s">
        <v>12</v>
      </c>
      <c r="M5">
        <v>4.1011153804691407</v>
      </c>
    </row>
    <row r="6" spans="1:13" x14ac:dyDescent="0.3">
      <c r="A6" s="5" t="s">
        <v>13</v>
      </c>
      <c r="B6" s="5">
        <v>192.535568237305</v>
      </c>
      <c r="C6" s="5">
        <v>1187.73840332031</v>
      </c>
      <c r="D6" s="5">
        <f t="shared" si="0"/>
        <v>6.1689297940855896</v>
      </c>
      <c r="E6" s="5">
        <f>D6*$M$4/$B$14</f>
        <v>105.53510978330347</v>
      </c>
      <c r="F6" s="5">
        <v>148.35627746582099</v>
      </c>
      <c r="G6" s="5">
        <v>0.77053958821243895</v>
      </c>
      <c r="H6" s="5">
        <f>G6*$M$4/$B$15</f>
        <v>12.193476834165327</v>
      </c>
      <c r="I6" s="5">
        <f t="shared" si="1"/>
        <v>117.72858661746879</v>
      </c>
    </row>
    <row r="7" spans="1:13" x14ac:dyDescent="0.3">
      <c r="A7" s="6" t="s">
        <v>14</v>
      </c>
      <c r="B7" s="6">
        <v>178.741455078125</v>
      </c>
      <c r="C7" s="6">
        <v>997.46350097656295</v>
      </c>
      <c r="D7" s="6">
        <f t="shared" si="0"/>
        <v>5.5804821581014199</v>
      </c>
      <c r="E7" s="6">
        <f>D7*$M$11/$B$14</f>
        <v>94.436175630550764</v>
      </c>
      <c r="F7" s="6">
        <v>243.34394836425801</v>
      </c>
      <c r="G7" s="6">
        <v>1.36142982755677</v>
      </c>
      <c r="H7" s="6">
        <f>G7*$M$11/$B$15</f>
        <v>21.311174790488689</v>
      </c>
      <c r="I7" s="6">
        <f t="shared" si="1"/>
        <v>115.74735042103946</v>
      </c>
    </row>
    <row r="8" spans="1:13" x14ac:dyDescent="0.3">
      <c r="A8" s="6" t="s">
        <v>15</v>
      </c>
      <c r="B8" s="6">
        <v>125.21395111084</v>
      </c>
      <c r="C8" s="6">
        <v>290.088470458985</v>
      </c>
      <c r="D8" s="6">
        <f t="shared" si="0"/>
        <v>2.3167424067801941</v>
      </c>
      <c r="E8" s="6">
        <f>D8*$M$11/$B$14</f>
        <v>39.205266967805095</v>
      </c>
      <c r="F8" s="6">
        <v>618.74597167968795</v>
      </c>
      <c r="G8" s="6">
        <v>4.9415098412793501</v>
      </c>
      <c r="H8" s="6">
        <f>G8*$M$11/$B$15</f>
        <v>77.352044023754857</v>
      </c>
      <c r="I8" s="6">
        <f t="shared" si="1"/>
        <v>116.55731099155994</v>
      </c>
    </row>
    <row r="9" spans="1:13" x14ac:dyDescent="0.3">
      <c r="A9" s="7" t="s">
        <v>16</v>
      </c>
      <c r="B9" s="7">
        <v>142.93395996093801</v>
      </c>
      <c r="C9" s="7">
        <v>123.690223693848</v>
      </c>
      <c r="D9" s="7">
        <f t="shared" si="0"/>
        <v>0.86536624135825335</v>
      </c>
      <c r="E9" s="7">
        <f>D9*$M$18/$B$14</f>
        <v>14.395969799952949</v>
      </c>
      <c r="F9" s="7">
        <v>919.86029052734398</v>
      </c>
      <c r="G9" s="7">
        <v>6.4355615053184598</v>
      </c>
      <c r="H9" s="7">
        <f>G9*$M$18/$B$15</f>
        <v>99.031392475987957</v>
      </c>
      <c r="I9" s="7">
        <f t="shared" si="1"/>
        <v>113.42736227594091</v>
      </c>
      <c r="L9" t="s">
        <v>8</v>
      </c>
      <c r="M9">
        <v>138.32422534262341</v>
      </c>
    </row>
    <row r="10" spans="1:13" x14ac:dyDescent="0.3">
      <c r="A10" s="7" t="s">
        <v>17</v>
      </c>
      <c r="B10" s="7">
        <v>157.05563354492199</v>
      </c>
      <c r="C10" s="7">
        <v>50.518226623535199</v>
      </c>
      <c r="D10" s="7">
        <f t="shared" si="0"/>
        <v>0.32165816330991831</v>
      </c>
      <c r="E10" s="7">
        <f>D10*$M$18/$B$14</f>
        <v>5.3510074504985239</v>
      </c>
      <c r="F10" s="7">
        <v>1105.52209472656</v>
      </c>
      <c r="G10" s="7">
        <v>7.0390476914051696</v>
      </c>
      <c r="H10" s="7">
        <f>G10*$M$18/$B$15</f>
        <v>108.31792905850683</v>
      </c>
      <c r="I10" s="7">
        <f t="shared" si="1"/>
        <v>113.66893650900536</v>
      </c>
      <c r="L10" t="s">
        <v>9</v>
      </c>
      <c r="M10">
        <v>118.2324658687678</v>
      </c>
    </row>
    <row r="11" spans="1:13" x14ac:dyDescent="0.3">
      <c r="A11" s="7" t="s">
        <v>18</v>
      </c>
      <c r="B11" s="7">
        <v>101.61321258544901</v>
      </c>
      <c r="C11" s="7">
        <v>0</v>
      </c>
      <c r="D11" s="7">
        <f t="shared" si="0"/>
        <v>0</v>
      </c>
      <c r="E11" s="7">
        <f>D11*$M$18/$B$14</f>
        <v>0</v>
      </c>
      <c r="F11" s="7">
        <v>746.71588134765705</v>
      </c>
      <c r="G11" s="7">
        <v>7.3486101103212897</v>
      </c>
      <c r="H11" s="7">
        <f>G11*$M$18/$B$15</f>
        <v>113.08152231733335</v>
      </c>
      <c r="I11" s="7">
        <f t="shared" si="1"/>
        <v>113.08152231733335</v>
      </c>
      <c r="L11" t="s">
        <v>3</v>
      </c>
      <c r="M11">
        <v>9.8523281491526333</v>
      </c>
    </row>
    <row r="12" spans="1:13" x14ac:dyDescent="0.3">
      <c r="A12" s="7" t="s">
        <v>19</v>
      </c>
      <c r="B12" s="7">
        <v>111.006484985352</v>
      </c>
      <c r="C12" s="7">
        <v>0</v>
      </c>
      <c r="D12" s="7">
        <f t="shared" si="0"/>
        <v>0</v>
      </c>
      <c r="E12" s="7">
        <f>D12*$M$18/$B$14</f>
        <v>0</v>
      </c>
      <c r="F12" s="7">
        <v>823.43206787109398</v>
      </c>
      <c r="G12" s="7">
        <v>7.4178735411696897</v>
      </c>
      <c r="H12" s="7">
        <f>G12*$M$18/$B$15</f>
        <v>114.14735845283028</v>
      </c>
      <c r="I12" s="7">
        <f t="shared" si="1"/>
        <v>114.14735845283028</v>
      </c>
      <c r="L12" t="s">
        <v>12</v>
      </c>
      <c r="M12">
        <v>4.0567805618738682</v>
      </c>
    </row>
    <row r="14" spans="1:13" x14ac:dyDescent="0.3">
      <c r="A14" t="s">
        <v>20</v>
      </c>
      <c r="B14">
        <v>0.58220000000000005</v>
      </c>
    </row>
    <row r="15" spans="1:13" x14ac:dyDescent="0.3">
      <c r="A15" t="s">
        <v>21</v>
      </c>
      <c r="B15">
        <v>0.62939999999999996</v>
      </c>
    </row>
    <row r="16" spans="1:13" x14ac:dyDescent="0.3">
      <c r="L16" t="s">
        <v>8</v>
      </c>
      <c r="M16">
        <v>279.23383683329882</v>
      </c>
    </row>
    <row r="17" spans="12:13" x14ac:dyDescent="0.3">
      <c r="L17" t="s">
        <v>9</v>
      </c>
      <c r="M17">
        <v>116.2280784954128</v>
      </c>
    </row>
    <row r="18" spans="12:13" x14ac:dyDescent="0.3">
      <c r="L18" t="s">
        <v>3</v>
      </c>
      <c r="M18">
        <v>9.6853022650589118</v>
      </c>
    </row>
    <row r="19" spans="12:13" x14ac:dyDescent="0.3">
      <c r="L19" t="s">
        <v>12</v>
      </c>
      <c r="M19">
        <v>3.9880062224828801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6"/>
  <sheetViews>
    <sheetView topLeftCell="A3" workbookViewId="0">
      <selection activeCell="K5" sqref="K5:K7"/>
    </sheetView>
  </sheetViews>
  <sheetFormatPr defaultRowHeight="14.4" x14ac:dyDescent="0.3"/>
  <cols>
    <col min="2" max="2" width="15.109375" bestFit="1" customWidth="1"/>
  </cols>
  <sheetData>
    <row r="2" spans="1:11" x14ac:dyDescent="0.3">
      <c r="A2" s="1" t="s">
        <v>22</v>
      </c>
      <c r="B2">
        <v>77.88</v>
      </c>
      <c r="C2" t="s">
        <v>23</v>
      </c>
    </row>
    <row r="3" spans="1:11" x14ac:dyDescent="0.3">
      <c r="A3" s="1" t="s">
        <v>24</v>
      </c>
      <c r="B3" t="s">
        <v>25</v>
      </c>
      <c r="C3" t="s">
        <v>23</v>
      </c>
    </row>
    <row r="4" spans="1:11" x14ac:dyDescent="0.3">
      <c r="A4" s="1" t="s">
        <v>26</v>
      </c>
      <c r="B4">
        <v>241.6</v>
      </c>
      <c r="C4" t="s">
        <v>27</v>
      </c>
      <c r="D4" t="s">
        <v>28</v>
      </c>
      <c r="E4" t="s">
        <v>29</v>
      </c>
      <c r="H4" t="s">
        <v>27</v>
      </c>
    </row>
    <row r="5" spans="1:11" x14ac:dyDescent="0.3">
      <c r="A5" s="1" t="s">
        <v>22</v>
      </c>
      <c r="B5" s="2">
        <v>45292.634074074071</v>
      </c>
      <c r="C5" s="3">
        <f t="shared" ref="C5:C16" si="0">(B5-$B$5)*86400/60</f>
        <v>0</v>
      </c>
      <c r="D5" s="3">
        <f t="shared" ref="D5:D16" si="1">C5-$C$9</f>
        <v>-463.86666667065583</v>
      </c>
      <c r="E5" s="3">
        <f t="shared" ref="E5:E16" si="2">C5-$C$11</f>
        <v>-1182.8166666766629</v>
      </c>
      <c r="G5" t="str">
        <f>A6</f>
        <v>S1:</v>
      </c>
      <c r="H5" s="3">
        <f>C6</f>
        <v>44.316666674567387</v>
      </c>
      <c r="J5" t="s">
        <v>30</v>
      </c>
      <c r="K5" s="3">
        <f>C5</f>
        <v>0</v>
      </c>
    </row>
    <row r="6" spans="1:11" x14ac:dyDescent="0.3">
      <c r="A6" s="1" t="s">
        <v>31</v>
      </c>
      <c r="B6" s="2">
        <v>45292.664849537039</v>
      </c>
      <c r="C6" s="3">
        <f t="shared" si="0"/>
        <v>44.316666674567387</v>
      </c>
      <c r="D6" s="3">
        <f t="shared" si="1"/>
        <v>-419.54999999608845</v>
      </c>
      <c r="E6" s="3">
        <f t="shared" si="2"/>
        <v>-1138.5000000020955</v>
      </c>
      <c r="G6" t="str">
        <f>A7</f>
        <v>S2:</v>
      </c>
      <c r="H6" s="3">
        <f>C7</f>
        <v>195.93333333847113</v>
      </c>
      <c r="J6" t="s">
        <v>32</v>
      </c>
      <c r="K6" s="3">
        <f>C9</f>
        <v>463.86666667065583</v>
      </c>
    </row>
    <row r="7" spans="1:11" x14ac:dyDescent="0.3">
      <c r="A7" s="1" t="s">
        <v>33</v>
      </c>
      <c r="B7" s="2">
        <v>45292.770138888889</v>
      </c>
      <c r="C7" s="3">
        <f t="shared" si="0"/>
        <v>195.93333333847113</v>
      </c>
      <c r="D7" s="3">
        <f t="shared" si="1"/>
        <v>-267.9333333321847</v>
      </c>
      <c r="E7" s="3">
        <f t="shared" si="2"/>
        <v>-986.88333333819173</v>
      </c>
      <c r="G7" t="str">
        <f>A8</f>
        <v>S3:</v>
      </c>
      <c r="H7" s="3">
        <f>C8</f>
        <v>461.71666667098179</v>
      </c>
      <c r="J7" t="s">
        <v>34</v>
      </c>
      <c r="K7" s="3">
        <f>C11</f>
        <v>1182.8166666766629</v>
      </c>
    </row>
    <row r="8" spans="1:11" x14ac:dyDescent="0.3">
      <c r="A8" s="1" t="s">
        <v>35</v>
      </c>
      <c r="B8" s="2">
        <v>45292.954710648148</v>
      </c>
      <c r="C8" s="3">
        <f t="shared" si="0"/>
        <v>461.71666667098179</v>
      </c>
      <c r="D8" s="3">
        <f t="shared" si="1"/>
        <v>-2.1499999996740371</v>
      </c>
      <c r="E8" s="3">
        <f t="shared" si="2"/>
        <v>-721.10000000568107</v>
      </c>
      <c r="G8" t="s">
        <v>36</v>
      </c>
      <c r="H8" s="3">
        <v>1180.450000001583</v>
      </c>
    </row>
    <row r="9" spans="1:11" x14ac:dyDescent="0.3">
      <c r="A9" s="1" t="s">
        <v>24</v>
      </c>
      <c r="B9" s="2">
        <v>45292.956203703703</v>
      </c>
      <c r="C9" s="3">
        <f t="shared" si="0"/>
        <v>463.86666667065583</v>
      </c>
      <c r="D9" s="3">
        <f t="shared" si="1"/>
        <v>0</v>
      </c>
      <c r="E9" s="3">
        <f t="shared" si="2"/>
        <v>-718.95000000600703</v>
      </c>
      <c r="G9" t="s">
        <v>37</v>
      </c>
      <c r="H9" s="3">
        <v>1404.0500000095931</v>
      </c>
    </row>
    <row r="10" spans="1:11" x14ac:dyDescent="0.3">
      <c r="A10" s="1" t="s">
        <v>36</v>
      </c>
      <c r="B10" s="2">
        <v>45293.453831018523</v>
      </c>
      <c r="C10" s="3">
        <f t="shared" si="0"/>
        <v>1180.4500000120606</v>
      </c>
      <c r="D10" s="3">
        <f t="shared" si="1"/>
        <v>716.5833333414048</v>
      </c>
      <c r="E10" s="3">
        <f t="shared" si="2"/>
        <v>-2.366666664602235</v>
      </c>
      <c r="G10" t="s">
        <v>38</v>
      </c>
      <c r="H10" s="3">
        <v>1671.1666666727981</v>
      </c>
    </row>
    <row r="11" spans="1:11" x14ac:dyDescent="0.3">
      <c r="A11" s="1" t="s">
        <v>26</v>
      </c>
      <c r="B11" s="2">
        <v>45293.455474537041</v>
      </c>
      <c r="C11" s="3">
        <f t="shared" si="0"/>
        <v>1182.8166666766629</v>
      </c>
      <c r="D11" s="3">
        <f t="shared" si="1"/>
        <v>718.95000000600703</v>
      </c>
      <c r="E11" s="3">
        <f t="shared" si="2"/>
        <v>0</v>
      </c>
      <c r="G11" t="s">
        <v>39</v>
      </c>
      <c r="H11" s="3">
        <v>2479.9666666751732</v>
      </c>
    </row>
    <row r="12" spans="1:11" x14ac:dyDescent="0.3">
      <c r="A12" s="1" t="s">
        <v>37</v>
      </c>
      <c r="B12" s="2">
        <v>45293.6091087963</v>
      </c>
      <c r="C12" s="3">
        <f t="shared" si="0"/>
        <v>1404.0500000095926</v>
      </c>
      <c r="D12" s="3">
        <f t="shared" si="1"/>
        <v>940.18333333893679</v>
      </c>
      <c r="E12" s="3">
        <f t="shared" si="2"/>
        <v>221.23333333292976</v>
      </c>
      <c r="G12" t="s">
        <v>40</v>
      </c>
      <c r="H12" s="3">
        <v>2543.5500000044699</v>
      </c>
    </row>
    <row r="13" spans="1:11" x14ac:dyDescent="0.3">
      <c r="A13" s="1" t="s">
        <v>38</v>
      </c>
      <c r="B13" s="2">
        <v>45293.794606481482</v>
      </c>
      <c r="C13" s="3">
        <f t="shared" si="0"/>
        <v>1671.1666666727979</v>
      </c>
      <c r="D13" s="3">
        <f t="shared" si="1"/>
        <v>1207.300000002142</v>
      </c>
      <c r="E13" s="3">
        <f t="shared" si="2"/>
        <v>488.34999999613501</v>
      </c>
      <c r="H13" s="3"/>
    </row>
    <row r="14" spans="1:11" x14ac:dyDescent="0.3">
      <c r="A14" s="1" t="s">
        <v>39</v>
      </c>
      <c r="B14" s="2">
        <v>45294.356273148151</v>
      </c>
      <c r="C14" s="3">
        <f t="shared" si="0"/>
        <v>2479.9666666751727</v>
      </c>
      <c r="D14" s="3">
        <f t="shared" si="1"/>
        <v>2016.1000000045169</v>
      </c>
      <c r="E14" s="3">
        <f t="shared" si="2"/>
        <v>1297.1499999985099</v>
      </c>
      <c r="H14" s="3"/>
    </row>
    <row r="15" spans="1:11" x14ac:dyDescent="0.3">
      <c r="A15" s="1" t="s">
        <v>40</v>
      </c>
      <c r="B15" s="2">
        <v>45294.40042824074</v>
      </c>
      <c r="C15" s="3">
        <f t="shared" si="0"/>
        <v>2543.5500000044703</v>
      </c>
      <c r="D15" s="3">
        <f t="shared" si="1"/>
        <v>2079.6833333338145</v>
      </c>
      <c r="E15" s="3">
        <f t="shared" si="2"/>
        <v>1360.7333333278075</v>
      </c>
    </row>
    <row r="16" spans="1:11" x14ac:dyDescent="0.3">
      <c r="B16" s="4">
        <v>45292.624583333331</v>
      </c>
      <c r="C16" s="3">
        <f t="shared" si="0"/>
        <v>-13.666666665812954</v>
      </c>
      <c r="D16" s="3">
        <f t="shared" si="1"/>
        <v>-477.53333333646879</v>
      </c>
      <c r="E16" s="3">
        <f t="shared" si="2"/>
        <v>-1196.4833333424758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L5" sqref="L5"/>
    </sheetView>
  </sheetViews>
  <sheetFormatPr defaultRowHeight="14.4" x14ac:dyDescent="0.3"/>
  <sheetData>
    <row r="1" spans="1:3" x14ac:dyDescent="0.3">
      <c r="A1" t="s">
        <v>41</v>
      </c>
      <c r="B1" t="s">
        <v>42</v>
      </c>
      <c r="C1" t="s">
        <v>7</v>
      </c>
    </row>
    <row r="2" spans="1:3" x14ac:dyDescent="0.3">
      <c r="A2">
        <v>0</v>
      </c>
      <c r="B2">
        <v>117.5</v>
      </c>
      <c r="C2">
        <v>0</v>
      </c>
    </row>
    <row r="3" spans="1:3" x14ac:dyDescent="0.3">
      <c r="A3">
        <v>44.316666674567387</v>
      </c>
      <c r="B3">
        <v>113.73315891253689</v>
      </c>
      <c r="C3">
        <v>3.6530969124495201</v>
      </c>
    </row>
    <row r="4" spans="1:3" x14ac:dyDescent="0.3">
      <c r="A4">
        <v>195.9333333384711</v>
      </c>
      <c r="B4">
        <v>105.5351097833035</v>
      </c>
      <c r="C4">
        <v>12.193476834165329</v>
      </c>
    </row>
    <row r="5" spans="1:3" x14ac:dyDescent="0.3">
      <c r="A5">
        <v>461.71666667098179</v>
      </c>
      <c r="B5">
        <v>94.436175630550764</v>
      </c>
      <c r="C5">
        <v>21.311174790488689</v>
      </c>
    </row>
    <row r="6" spans="1:3" x14ac:dyDescent="0.3">
      <c r="A6">
        <v>1180.450000001583</v>
      </c>
      <c r="B6">
        <v>39.205266967805088</v>
      </c>
      <c r="C6">
        <v>77.352044023754857</v>
      </c>
    </row>
    <row r="7" spans="1:3" x14ac:dyDescent="0.3">
      <c r="A7">
        <v>1404.0500000095931</v>
      </c>
      <c r="B7">
        <v>14.395969799952949</v>
      </c>
      <c r="C7">
        <v>99.031392475987957</v>
      </c>
    </row>
    <row r="8" spans="1:3" x14ac:dyDescent="0.3">
      <c r="A8">
        <v>1671.1666666727981</v>
      </c>
      <c r="B8">
        <v>5.3510074504985239</v>
      </c>
      <c r="C8">
        <v>108.31792905850681</v>
      </c>
    </row>
    <row r="9" spans="1:3" x14ac:dyDescent="0.3">
      <c r="A9">
        <v>2479.9666666751732</v>
      </c>
      <c r="B9">
        <v>0</v>
      </c>
      <c r="C9">
        <v>113.08152231733339</v>
      </c>
    </row>
    <row r="10" spans="1:3" x14ac:dyDescent="0.3">
      <c r="A10">
        <v>2543.5500000044699</v>
      </c>
      <c r="B10">
        <v>0</v>
      </c>
      <c r="C10">
        <v>114.1473584528303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C4_E5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2024-11-22T18:48:54Z</dcterms:created>
  <dcterms:modified xsi:type="dcterms:W3CDTF">2026-01-12T11:24:15Z</dcterms:modified>
</cp:coreProperties>
</file>
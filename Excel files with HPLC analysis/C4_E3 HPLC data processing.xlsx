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4" documentId="11_F9BD9201019ADF09EB24419E90B355FD43D2F95B" xr6:coauthVersionLast="47" xr6:coauthVersionMax="47" xr10:uidLastSave="{A6F8DE70-0E9B-418F-BD6A-8B939AFC523E}"/>
  <bookViews>
    <workbookView xWindow="1020" yWindow="2268" windowWidth="17280" windowHeight="8880" firstSheet="1" activeTab="2" xr2:uid="{00000000-000D-0000-FFFF-FFFF00000000}"/>
  </bookViews>
  <sheets>
    <sheet name="C4_E3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H13" i="2" s="1"/>
  <c r="C19" i="2"/>
  <c r="H12" i="2" s="1"/>
  <c r="C18" i="2"/>
  <c r="H11" i="2" s="1"/>
  <c r="C17" i="2"/>
  <c r="C16" i="2"/>
  <c r="H10" i="2" s="1"/>
  <c r="C15" i="2"/>
  <c r="H14" i="2"/>
  <c r="C14" i="2"/>
  <c r="C13" i="2"/>
  <c r="C12" i="2"/>
  <c r="C11" i="2"/>
  <c r="H6" i="2" s="1"/>
  <c r="C10" i="2"/>
  <c r="H5" i="2" s="1"/>
  <c r="H9" i="2"/>
  <c r="C9" i="2"/>
  <c r="H8" i="2"/>
  <c r="C8" i="2"/>
  <c r="H4" i="2" s="1"/>
  <c r="H7" i="2"/>
  <c r="C7" i="2"/>
  <c r="C6" i="2"/>
  <c r="C5" i="2"/>
  <c r="C4" i="2"/>
  <c r="F4" i="2" s="1"/>
  <c r="H3" i="2"/>
  <c r="C3" i="2"/>
  <c r="F3" i="2" s="1"/>
  <c r="H2" i="2"/>
  <c r="C2" i="2"/>
  <c r="F2" i="2" s="1"/>
  <c r="H1" i="2"/>
  <c r="F1" i="2"/>
  <c r="C1" i="2"/>
  <c r="H16" i="1"/>
  <c r="I16" i="1" s="1"/>
  <c r="J16" i="1" s="1"/>
  <c r="B16" i="1"/>
  <c r="D16" i="1" s="1"/>
  <c r="E16" i="1" s="1"/>
  <c r="F16" i="1" s="1"/>
  <c r="K16" i="1" s="1"/>
  <c r="H15" i="1"/>
  <c r="I15" i="1" s="1"/>
  <c r="J15" i="1" s="1"/>
  <c r="D15" i="1"/>
  <c r="E15" i="1" s="1"/>
  <c r="F15" i="1" s="1"/>
  <c r="K15" i="1" s="1"/>
  <c r="B15" i="1"/>
  <c r="H14" i="1"/>
  <c r="I14" i="1" s="1"/>
  <c r="J14" i="1" s="1"/>
  <c r="B14" i="1"/>
  <c r="D14" i="1" s="1"/>
  <c r="E14" i="1" s="1"/>
  <c r="F14" i="1" s="1"/>
  <c r="K14" i="1" s="1"/>
  <c r="H13" i="1"/>
  <c r="I13" i="1" s="1"/>
  <c r="J13" i="1" s="1"/>
  <c r="D13" i="1"/>
  <c r="E13" i="1" s="1"/>
  <c r="F13" i="1" s="1"/>
  <c r="K13" i="1" s="1"/>
  <c r="B13" i="1"/>
  <c r="H12" i="1"/>
  <c r="I12" i="1" s="1"/>
  <c r="J12" i="1" s="1"/>
  <c r="B12" i="1"/>
  <c r="D12" i="1" s="1"/>
  <c r="E12" i="1" s="1"/>
  <c r="F12" i="1" s="1"/>
  <c r="K12" i="1" s="1"/>
  <c r="H11" i="1"/>
  <c r="I11" i="1" s="1"/>
  <c r="J11" i="1" s="1"/>
  <c r="D11" i="1"/>
  <c r="E11" i="1" s="1"/>
  <c r="F11" i="1" s="1"/>
  <c r="K11" i="1" s="1"/>
  <c r="B11" i="1"/>
  <c r="H10" i="1"/>
  <c r="I10" i="1" s="1"/>
  <c r="J10" i="1" s="1"/>
  <c r="B10" i="1"/>
  <c r="D10" i="1" s="1"/>
  <c r="E10" i="1" s="1"/>
  <c r="F10" i="1" s="1"/>
  <c r="K10" i="1" s="1"/>
  <c r="H9" i="1"/>
  <c r="I9" i="1" s="1"/>
  <c r="J9" i="1" s="1"/>
  <c r="D9" i="1"/>
  <c r="E9" i="1" s="1"/>
  <c r="F9" i="1" s="1"/>
  <c r="K9" i="1" s="1"/>
  <c r="B9" i="1"/>
  <c r="H8" i="1"/>
  <c r="I8" i="1" s="1"/>
  <c r="J8" i="1" s="1"/>
  <c r="B8" i="1"/>
  <c r="D8" i="1" s="1"/>
  <c r="E8" i="1" s="1"/>
  <c r="F8" i="1" s="1"/>
  <c r="K8" i="1" s="1"/>
  <c r="H7" i="1"/>
  <c r="I7" i="1" s="1"/>
  <c r="J7" i="1" s="1"/>
  <c r="D7" i="1"/>
  <c r="E7" i="1" s="1"/>
  <c r="F7" i="1" s="1"/>
  <c r="K7" i="1" s="1"/>
  <c r="B7" i="1"/>
  <c r="H6" i="1"/>
  <c r="I6" i="1" s="1"/>
  <c r="J6" i="1" s="1"/>
  <c r="B6" i="1"/>
  <c r="D6" i="1" s="1"/>
  <c r="E6" i="1" s="1"/>
  <c r="F6" i="1" s="1"/>
  <c r="K6" i="1" s="1"/>
  <c r="H5" i="1"/>
  <c r="I5" i="1" s="1"/>
  <c r="J5" i="1" s="1"/>
  <c r="D5" i="1"/>
  <c r="E5" i="1" s="1"/>
  <c r="F5" i="1" s="1"/>
  <c r="K5" i="1" s="1"/>
  <c r="B5" i="1"/>
  <c r="H4" i="1"/>
  <c r="I4" i="1" s="1"/>
  <c r="J4" i="1" s="1"/>
  <c r="B4" i="1"/>
  <c r="D4" i="1" s="1"/>
  <c r="E4" i="1" s="1"/>
  <c r="F4" i="1" s="1"/>
  <c r="K4" i="1" s="1"/>
</calcChain>
</file>

<file path=xl/sharedStrings.xml><?xml version="1.0" encoding="utf-8"?>
<sst xmlns="http://schemas.openxmlformats.org/spreadsheetml/2006/main" count="77" uniqueCount="61">
  <si>
    <t>filename</t>
  </si>
  <si>
    <t>Biphenyl</t>
  </si>
  <si>
    <t>4-SO2Me-ArOPh</t>
  </si>
  <si>
    <t>Ratio of integral with IS</t>
  </si>
  <si>
    <t>concentrations</t>
  </si>
  <si>
    <t>Product</t>
  </si>
  <si>
    <t>4-Me-piperidine</t>
  </si>
  <si>
    <t>C4_E3-S0</t>
  </si>
  <si>
    <t>Ar-4SO2Me-Oph</t>
  </si>
  <si>
    <t>C4_E3-S1</t>
  </si>
  <si>
    <t>C4_E3-S2</t>
  </si>
  <si>
    <t>Phenol</t>
  </si>
  <si>
    <t>C4_E3-S3</t>
  </si>
  <si>
    <t>C4_E3-S4</t>
  </si>
  <si>
    <t>C4_E3-S5</t>
  </si>
  <si>
    <t>C4_E3-S6</t>
  </si>
  <si>
    <t>C4_E3-S7</t>
  </si>
  <si>
    <t>C4_E3-S8</t>
  </si>
  <si>
    <t>C4_E3-S9</t>
  </si>
  <si>
    <t>C4_E3-S10</t>
  </si>
  <si>
    <t>C4_E3-S11</t>
  </si>
  <si>
    <t>C4_E3-S12</t>
  </si>
  <si>
    <t>CC Product</t>
  </si>
  <si>
    <t>CC 4SO2ArOPh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</si>
  <si>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</si>
  <si>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</si>
  <si>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</si>
  <si>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</si>
  <si>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</si>
  <si>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</si>
  <si>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</si>
  <si>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</si>
  <si>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</si>
  <si>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V3:</t>
  </si>
  <si>
    <t>V4</t>
  </si>
  <si>
    <t>S3</t>
  </si>
  <si>
    <t>Start:</t>
  </si>
  <si>
    <t>S4</t>
  </si>
  <si>
    <t>S1:</t>
  </si>
  <si>
    <t>S5</t>
  </si>
  <si>
    <t>S2:</t>
  </si>
  <si>
    <t>S6</t>
  </si>
  <si>
    <t>S3:</t>
  </si>
  <si>
    <t>S7</t>
  </si>
  <si>
    <t>S8</t>
  </si>
  <si>
    <t>S4:</t>
  </si>
  <si>
    <t>S9</t>
  </si>
  <si>
    <t>S5:</t>
  </si>
  <si>
    <t>S10</t>
  </si>
  <si>
    <t>S6:</t>
  </si>
  <si>
    <t>S11</t>
  </si>
  <si>
    <t>S12</t>
  </si>
  <si>
    <t>S7:</t>
  </si>
  <si>
    <t>S13</t>
  </si>
  <si>
    <t>S8:</t>
  </si>
  <si>
    <t>S9: </t>
  </si>
  <si>
    <t>S10:</t>
  </si>
  <si>
    <t>S11:</t>
  </si>
  <si>
    <t>S12:</t>
  </si>
  <si>
    <t>Time / min</t>
  </si>
  <si>
    <t>4SO2Me-ArOPh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</si>
</sst>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4SO2Me-ArOPh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62.016666666666723</c:v>
                </c:pt>
                <c:pt idx="2">
                  <c:v>74.566666666666762</c:v>
                </c:pt>
                <c:pt idx="3">
                  <c:v>193.13333333333341</c:v>
                </c:pt>
                <c:pt idx="4">
                  <c:v>271.03333333333342</c:v>
                </c:pt>
                <c:pt idx="5">
                  <c:v>287.64999999999998</c:v>
                </c:pt>
                <c:pt idx="6">
                  <c:v>317.48333333333329</c:v>
                </c:pt>
                <c:pt idx="7">
                  <c:v>330.88333333333333</c:v>
                </c:pt>
                <c:pt idx="8">
                  <c:v>396.43333333333328</c:v>
                </c:pt>
                <c:pt idx="9">
                  <c:v>426.76666666666671</c:v>
                </c:pt>
                <c:pt idx="10">
                  <c:v>431.65</c:v>
                </c:pt>
                <c:pt idx="11">
                  <c:v>442.53333333333342</c:v>
                </c:pt>
                <c:pt idx="12">
                  <c:v>1080</c:v>
                </c:pt>
              </c:numCache>
            </c:numRef>
          </c:xVal>
          <c:yVal>
            <c:numRef>
              <c:f>'Concentration vs time HPLC'!$B$2:$B$14</c:f>
              <c:numCache>
                <c:formatCode>General</c:formatCode>
                <c:ptCount val="13"/>
                <c:pt idx="0">
                  <c:v>139.1912696725478</c:v>
                </c:pt>
                <c:pt idx="1">
                  <c:v>125.99212118427459</c:v>
                </c:pt>
                <c:pt idx="2">
                  <c:v>124.0609010285968</c:v>
                </c:pt>
                <c:pt idx="3">
                  <c:v>113.3146231601082</c:v>
                </c:pt>
                <c:pt idx="4">
                  <c:v>96.593315168349321</c:v>
                </c:pt>
                <c:pt idx="5">
                  <c:v>90.056118938349513</c:v>
                </c:pt>
                <c:pt idx="6">
                  <c:v>79.121450457761767</c:v>
                </c:pt>
                <c:pt idx="7">
                  <c:v>75.68555477295655</c:v>
                </c:pt>
                <c:pt idx="8">
                  <c:v>64.329186526035812</c:v>
                </c:pt>
                <c:pt idx="9">
                  <c:v>55.771063831572448</c:v>
                </c:pt>
                <c:pt idx="10">
                  <c:v>51.813066036480677</c:v>
                </c:pt>
                <c:pt idx="11">
                  <c:v>45.101713228937733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EF-4D5A-859A-0EC8E9DD0120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62.016666666666723</c:v>
                </c:pt>
                <c:pt idx="2">
                  <c:v>74.566666666666762</c:v>
                </c:pt>
                <c:pt idx="3">
                  <c:v>193.13333333333341</c:v>
                </c:pt>
                <c:pt idx="4">
                  <c:v>271.03333333333342</c:v>
                </c:pt>
                <c:pt idx="5">
                  <c:v>287.64999999999998</c:v>
                </c:pt>
                <c:pt idx="6">
                  <c:v>317.48333333333329</c:v>
                </c:pt>
                <c:pt idx="7">
                  <c:v>330.88333333333333</c:v>
                </c:pt>
                <c:pt idx="8">
                  <c:v>396.43333333333328</c:v>
                </c:pt>
                <c:pt idx="9">
                  <c:v>426.76666666666671</c:v>
                </c:pt>
                <c:pt idx="10">
                  <c:v>431.65</c:v>
                </c:pt>
                <c:pt idx="11">
                  <c:v>442.53333333333342</c:v>
                </c:pt>
                <c:pt idx="12">
                  <c:v>1080</c:v>
                </c:pt>
              </c:numCache>
            </c:numRef>
          </c:xVal>
          <c:yVal>
            <c:numRef>
              <c:f>'Concentration vs time HPLC'!$C$2:$C$14</c:f>
              <c:numCache>
                <c:formatCode>General</c:formatCode>
                <c:ptCount val="13"/>
                <c:pt idx="0">
                  <c:v>0</c:v>
                </c:pt>
                <c:pt idx="1">
                  <c:v>13.19914848827321</c:v>
                </c:pt>
                <c:pt idx="2">
                  <c:v>15.13036864395095</c:v>
                </c:pt>
                <c:pt idx="3">
                  <c:v>25.876646512439521</c:v>
                </c:pt>
                <c:pt idx="4">
                  <c:v>41.19361575987076</c:v>
                </c:pt>
                <c:pt idx="5">
                  <c:v>47.73081198987056</c:v>
                </c:pt>
                <c:pt idx="6">
                  <c:v>56.869617891995283</c:v>
                </c:pt>
                <c:pt idx="7">
                  <c:v>60.305513576800458</c:v>
                </c:pt>
                <c:pt idx="8">
                  <c:v>71.661881823721217</c:v>
                </c:pt>
                <c:pt idx="9">
                  <c:v>77.817932672588199</c:v>
                </c:pt>
                <c:pt idx="10">
                  <c:v>81.775930467679984</c:v>
                </c:pt>
                <c:pt idx="11">
                  <c:v>88.487283275222893</c:v>
                </c:pt>
                <c:pt idx="12">
                  <c:v>133.58000000000001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EF-4D5A-859A-0EC8E9DD0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583728"/>
        <c:axId val="2121594288"/>
      </c:scatterChart>
      <c:valAx>
        <c:axId val="212158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594288"/>
        <c:crosses val="autoZero"/>
        <c:crossBetween val="midCat"/>
      </c:valAx>
      <c:valAx>
        <c:axId val="212159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58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0</xdr:row>
      <xdr:rowOff>60966</xdr:rowOff>
    </xdr:from>
    <xdr:to>
      <xdr:col>11</xdr:col>
      <xdr:colOff>38100</xdr:colOff>
      <xdr:row>15</xdr:row>
      <xdr:rowOff>60966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5F334B-3432-1817-7495-AE69C1C43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workbookViewId="0">
      <selection activeCell="K10" sqref="K10"/>
    </sheetView>
  </sheetViews>
  <sheetFormatPr defaultRowHeight="14.4" x14ac:dyDescent="0.3"/>
  <cols>
    <col min="1" max="1" width="10" bestFit="1" customWidth="1"/>
    <col min="3" max="3" width="14.109375" bestFit="1" customWidth="1"/>
  </cols>
  <sheetData>
    <row r="1" spans="1:15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</row>
    <row r="3" spans="1:15" x14ac:dyDescent="0.3">
      <c r="B3">
        <v>4.3927010468074199</v>
      </c>
      <c r="C3">
        <v>1.73665294987815</v>
      </c>
      <c r="G3">
        <v>2.71967321804591</v>
      </c>
      <c r="N3" t="s">
        <v>6</v>
      </c>
      <c r="O3">
        <v>39.920752374077772</v>
      </c>
    </row>
    <row r="4" spans="1:15" x14ac:dyDescent="0.3">
      <c r="A4" s="1" t="s">
        <v>7</v>
      </c>
      <c r="B4">
        <f>L4/$O$4*M4</f>
        <v>807.6969091128359</v>
      </c>
      <c r="C4">
        <v>4639.2</v>
      </c>
      <c r="D4" s="1">
        <f t="shared" ref="D4:D16" si="0">C4/B4</f>
        <v>5.7437387065101424</v>
      </c>
      <c r="E4" s="1">
        <f t="shared" ref="E4:E16" si="1">D4/$B$19</f>
        <v>9.8655766171592951</v>
      </c>
      <c r="F4" s="1">
        <f>E4*$O$5</f>
        <v>139.1912696725478</v>
      </c>
      <c r="G4">
        <v>0</v>
      </c>
      <c r="H4" s="1">
        <f t="shared" ref="H4:H16" si="2">G4/B4</f>
        <v>0</v>
      </c>
      <c r="I4" s="1">
        <f t="shared" ref="I4:I16" si="3">H4/$B$18</f>
        <v>0</v>
      </c>
      <c r="J4" s="1">
        <f>I4*$O$5</f>
        <v>0</v>
      </c>
      <c r="K4" s="1">
        <f t="shared" ref="K4:K16" si="4">SUM(F4,J4)</f>
        <v>139.1912696725478</v>
      </c>
      <c r="L4">
        <v>863.6</v>
      </c>
      <c r="M4">
        <v>130.18105406439099</v>
      </c>
      <c r="N4" t="s">
        <v>8</v>
      </c>
      <c r="O4">
        <v>139.1912696725478</v>
      </c>
    </row>
    <row r="5" spans="1:15" x14ac:dyDescent="0.3">
      <c r="A5" s="1" t="s">
        <v>9</v>
      </c>
      <c r="B5">
        <f>L5/$O$4*M5</f>
        <v>413.70822326632981</v>
      </c>
      <c r="C5">
        <v>2150.9</v>
      </c>
      <c r="D5" s="1">
        <f t="shared" si="0"/>
        <v>5.1990748045037805</v>
      </c>
      <c r="E5" s="1">
        <f t="shared" si="1"/>
        <v>8.9300494752727246</v>
      </c>
      <c r="F5" s="1">
        <f>E5*$O$5</f>
        <v>125.99212118427461</v>
      </c>
      <c r="G5">
        <v>243.6</v>
      </c>
      <c r="H5" s="1">
        <f t="shared" si="2"/>
        <v>0.58882078310340824</v>
      </c>
      <c r="I5" s="1">
        <f t="shared" si="3"/>
        <v>0.93552714188657182</v>
      </c>
      <c r="J5" s="1">
        <f>I5*$O$5</f>
        <v>13.199148488273218</v>
      </c>
      <c r="K5" s="1">
        <f t="shared" si="4"/>
        <v>139.19126967254783</v>
      </c>
      <c r="L5">
        <v>458.2</v>
      </c>
      <c r="M5">
        <v>125.6756282636716</v>
      </c>
      <c r="N5" t="s">
        <v>1</v>
      </c>
      <c r="O5">
        <v>14.108781987507051</v>
      </c>
    </row>
    <row r="6" spans="1:15" x14ac:dyDescent="0.3">
      <c r="A6" s="1" t="s">
        <v>10</v>
      </c>
      <c r="B6">
        <f>L6/$O$4*M6</f>
        <v>779.58615615581107</v>
      </c>
      <c r="C6">
        <v>3991</v>
      </c>
      <c r="D6" s="1">
        <f t="shared" si="0"/>
        <v>5.119382852666182</v>
      </c>
      <c r="E6" s="1">
        <f t="shared" si="1"/>
        <v>8.7931687610205795</v>
      </c>
      <c r="F6" s="1">
        <f>E6*$O$5</f>
        <v>124.06090102859685</v>
      </c>
      <c r="G6">
        <v>526.20000000000005</v>
      </c>
      <c r="H6" s="1">
        <f t="shared" si="2"/>
        <v>0.6749735046537072</v>
      </c>
      <c r="I6" s="1">
        <f t="shared" si="3"/>
        <v>1.0724078561387151</v>
      </c>
      <c r="J6" s="1">
        <f>I6*$O$5</f>
        <v>15.130368643950957</v>
      </c>
      <c r="K6" s="1">
        <f t="shared" si="4"/>
        <v>139.1912696725478</v>
      </c>
      <c r="L6">
        <v>825.8</v>
      </c>
      <c r="M6">
        <v>131.401776331398</v>
      </c>
      <c r="N6" t="s">
        <v>11</v>
      </c>
      <c r="O6">
        <v>0</v>
      </c>
    </row>
    <row r="7" spans="1:15" x14ac:dyDescent="0.3">
      <c r="A7" s="1" t="s">
        <v>12</v>
      </c>
      <c r="B7">
        <f>L7/$O$4*M7</f>
        <v>217.26127460486447</v>
      </c>
      <c r="C7">
        <v>1015.9</v>
      </c>
      <c r="D7" s="1">
        <f t="shared" si="0"/>
        <v>4.6759368499868597</v>
      </c>
      <c r="E7" s="1">
        <f t="shared" si="1"/>
        <v>8.0314957918015448</v>
      </c>
      <c r="F7" s="1">
        <f>E7*$O$5</f>
        <v>113.31462316010831</v>
      </c>
      <c r="G7">
        <v>250.8</v>
      </c>
      <c r="H7" s="1">
        <f t="shared" si="2"/>
        <v>1.1543704714801697</v>
      </c>
      <c r="I7" s="1">
        <f t="shared" si="3"/>
        <v>1.834080825357753</v>
      </c>
      <c r="J7" s="1">
        <f>I7*$O$5</f>
        <v>25.876646512439532</v>
      </c>
      <c r="K7" s="1">
        <f t="shared" si="4"/>
        <v>139.19126967254783</v>
      </c>
      <c r="L7">
        <v>260.10000000000002</v>
      </c>
      <c r="M7">
        <v>116.2663308839952</v>
      </c>
    </row>
    <row r="8" spans="1:15" x14ac:dyDescent="0.3">
      <c r="A8" s="2" t="s">
        <v>13</v>
      </c>
      <c r="B8">
        <f>L8/$O$11*M8</f>
        <v>596.83935637722243</v>
      </c>
      <c r="C8">
        <v>2533.8000000000002</v>
      </c>
      <c r="D8" s="1">
        <f t="shared" si="0"/>
        <v>4.2453634682873593</v>
      </c>
      <c r="E8" s="2">
        <f t="shared" si="1"/>
        <v>7.2919331300023345</v>
      </c>
      <c r="F8" s="2">
        <f>E8*$O$5</f>
        <v>102.88029479868284</v>
      </c>
      <c r="G8">
        <v>929.4</v>
      </c>
      <c r="H8" s="1">
        <f t="shared" si="2"/>
        <v>1.5572029392320905</v>
      </c>
      <c r="I8" s="2">
        <f t="shared" si="3"/>
        <v>2.4741069895648087</v>
      </c>
      <c r="J8" s="2">
        <f>I8*$O$5</f>
        <v>34.906636129537269</v>
      </c>
      <c r="K8" s="2">
        <f t="shared" si="4"/>
        <v>137.7869309282201</v>
      </c>
      <c r="L8">
        <v>641.4</v>
      </c>
      <c r="M8">
        <v>128.2143173875767</v>
      </c>
    </row>
    <row r="9" spans="1:15" x14ac:dyDescent="0.3">
      <c r="A9" s="2" t="s">
        <v>14</v>
      </c>
      <c r="B9">
        <f>L9/$O$11*M9</f>
        <v>611.61452482502477</v>
      </c>
      <c r="C9">
        <v>2462.6999999999998</v>
      </c>
      <c r="D9" s="1">
        <f t="shared" si="0"/>
        <v>4.0265557798918321</v>
      </c>
      <c r="E9" s="2">
        <f t="shared" si="1"/>
        <v>6.9161040534040392</v>
      </c>
      <c r="F9" s="2">
        <f>E9*$O$12</f>
        <v>96.593315168349349</v>
      </c>
      <c r="G9">
        <v>1135.4000000000001</v>
      </c>
      <c r="H9" s="1">
        <f t="shared" si="2"/>
        <v>1.8563980316275579</v>
      </c>
      <c r="I9" s="2">
        <f t="shared" si="3"/>
        <v>2.9494725637552559</v>
      </c>
      <c r="J9" s="2">
        <f>I9*$O$12</f>
        <v>41.193615759870781</v>
      </c>
      <c r="K9" s="2">
        <f t="shared" si="4"/>
        <v>137.78693092822013</v>
      </c>
      <c r="L9">
        <v>658.5</v>
      </c>
      <c r="M9">
        <v>127.9764438675199</v>
      </c>
    </row>
    <row r="10" spans="1:15" x14ac:dyDescent="0.3">
      <c r="A10" s="2" t="s">
        <v>15</v>
      </c>
      <c r="B10">
        <f>L10/$O$11*M10</f>
        <v>600.6049263764063</v>
      </c>
      <c r="C10">
        <v>2254.6999999999998</v>
      </c>
      <c r="D10" s="1">
        <f t="shared" si="0"/>
        <v>3.7540484617786043</v>
      </c>
      <c r="E10" s="2">
        <f t="shared" si="1"/>
        <v>6.4480392679124083</v>
      </c>
      <c r="F10" s="2">
        <f>E10*$O$12</f>
        <v>90.056118938349599</v>
      </c>
      <c r="G10">
        <v>1291.9000000000001</v>
      </c>
      <c r="H10" s="1">
        <f t="shared" si="2"/>
        <v>2.1509980076159931</v>
      </c>
      <c r="I10" s="2">
        <f t="shared" si="3"/>
        <v>3.4175373492468912</v>
      </c>
      <c r="J10" s="2">
        <f>I10*$O$12</f>
        <v>47.730811989870602</v>
      </c>
      <c r="K10" s="2">
        <f t="shared" si="4"/>
        <v>137.78693092822022</v>
      </c>
      <c r="L10">
        <v>648.70000000000005</v>
      </c>
      <c r="M10">
        <v>127.5713110926077</v>
      </c>
      <c r="N10" t="s">
        <v>6</v>
      </c>
      <c r="O10">
        <v>124.7737128403091</v>
      </c>
    </row>
    <row r="11" spans="1:15" x14ac:dyDescent="0.3">
      <c r="A11" s="7" t="s">
        <v>16</v>
      </c>
      <c r="B11">
        <f>L11/$O$19*M11</f>
        <v>970.6419394954645</v>
      </c>
      <c r="C11">
        <v>3201.4</v>
      </c>
      <c r="D11" s="1">
        <f t="shared" si="0"/>
        <v>3.2982296248852321</v>
      </c>
      <c r="E11" s="7">
        <f t="shared" si="1"/>
        <v>5.6651144364225896</v>
      </c>
      <c r="F11" s="7">
        <f>E11*$O$12</f>
        <v>79.121450457761767</v>
      </c>
      <c r="G11">
        <v>2487.6</v>
      </c>
      <c r="H11" s="1">
        <f t="shared" si="2"/>
        <v>2.562840012139846</v>
      </c>
      <c r="I11" s="7">
        <f t="shared" si="3"/>
        <v>4.0718779983156121</v>
      </c>
      <c r="J11" s="7">
        <f>I11*$O$12</f>
        <v>56.869617891995276</v>
      </c>
      <c r="K11" s="7">
        <f t="shared" si="4"/>
        <v>135.99106834975703</v>
      </c>
      <c r="L11">
        <v>1011.1</v>
      </c>
      <c r="M11">
        <v>130.54953450407319</v>
      </c>
      <c r="N11" t="s">
        <v>8</v>
      </c>
      <c r="O11">
        <v>137.7869309282201</v>
      </c>
    </row>
    <row r="12" spans="1:15" x14ac:dyDescent="0.3">
      <c r="A12" s="7" t="s">
        <v>17</v>
      </c>
      <c r="B12">
        <f>L12/$O$19*M12</f>
        <v>229.52036783295571</v>
      </c>
      <c r="C12">
        <v>733.7</v>
      </c>
      <c r="D12" s="1">
        <f t="shared" si="0"/>
        <v>3.1966661910109209</v>
      </c>
      <c r="E12" s="7">
        <f t="shared" si="1"/>
        <v>5.4906667657350061</v>
      </c>
      <c r="F12" s="7">
        <f>E12*$O$20</f>
        <v>75.685554772956522</v>
      </c>
      <c r="G12">
        <v>632</v>
      </c>
      <c r="H12" s="1">
        <f t="shared" si="2"/>
        <v>2.7535682604864413</v>
      </c>
      <c r="I12" s="7">
        <f t="shared" si="3"/>
        <v>4.3749098514242792</v>
      </c>
      <c r="J12" s="7">
        <f>I12*$O$20</f>
        <v>60.305513576800436</v>
      </c>
      <c r="K12" s="7">
        <f t="shared" si="4"/>
        <v>135.99106834975697</v>
      </c>
      <c r="L12">
        <v>272.7</v>
      </c>
      <c r="M12">
        <v>114.4580859172455</v>
      </c>
      <c r="N12" t="s">
        <v>1</v>
      </c>
      <c r="O12">
        <v>13.96643463176455</v>
      </c>
    </row>
    <row r="13" spans="1:15" x14ac:dyDescent="0.3">
      <c r="A13" s="7" t="s">
        <v>18</v>
      </c>
      <c r="B13">
        <f>L13/$O$19*M13</f>
        <v>368.05070269856139</v>
      </c>
      <c r="C13">
        <v>1000</v>
      </c>
      <c r="D13" s="1">
        <f t="shared" si="0"/>
        <v>2.7170169562725</v>
      </c>
      <c r="E13" s="7">
        <f t="shared" si="1"/>
        <v>4.6668102993344203</v>
      </c>
      <c r="F13" s="7">
        <f>E13*$O$20</f>
        <v>64.329186526035784</v>
      </c>
      <c r="G13">
        <v>1204.3</v>
      </c>
      <c r="H13" s="1">
        <f t="shared" si="2"/>
        <v>3.2721035204389715</v>
      </c>
      <c r="I13" s="7">
        <f t="shared" si="3"/>
        <v>5.1987663178248678</v>
      </c>
      <c r="J13" s="7">
        <f>I13*$O$20</f>
        <v>71.661881823721203</v>
      </c>
      <c r="K13" s="7">
        <f t="shared" si="4"/>
        <v>135.99106834975697</v>
      </c>
      <c r="L13">
        <v>412.7</v>
      </c>
      <c r="M13">
        <v>121.2784304988034</v>
      </c>
      <c r="N13" t="s">
        <v>11</v>
      </c>
      <c r="O13">
        <v>0</v>
      </c>
    </row>
    <row r="14" spans="1:15" x14ac:dyDescent="0.3">
      <c r="A14" s="3" t="s">
        <v>19</v>
      </c>
      <c r="B14">
        <f>L14/$O$27*M14</f>
        <v>407.88691790567725</v>
      </c>
      <c r="C14">
        <v>960.8</v>
      </c>
      <c r="D14" s="1">
        <f t="shared" si="0"/>
        <v>2.355554831062717</v>
      </c>
      <c r="E14" s="3">
        <f t="shared" si="1"/>
        <v>4.0459547081118465</v>
      </c>
      <c r="F14" s="3">
        <f>E14*$O$20</f>
        <v>55.771063831572448</v>
      </c>
      <c r="G14">
        <v>1449.3</v>
      </c>
      <c r="H14" s="1">
        <f t="shared" si="2"/>
        <v>3.5531906917768485</v>
      </c>
      <c r="I14" s="3">
        <f t="shared" si="3"/>
        <v>5.6453617600521904</v>
      </c>
      <c r="J14" s="3">
        <f>I14*$O$20</f>
        <v>77.817932672588185</v>
      </c>
      <c r="K14" s="3">
        <f t="shared" si="4"/>
        <v>133.58899650416063</v>
      </c>
      <c r="L14">
        <v>448.7</v>
      </c>
      <c r="M14">
        <v>121.43794082949491</v>
      </c>
    </row>
    <row r="15" spans="1:15" x14ac:dyDescent="0.3">
      <c r="A15" s="3" t="s">
        <v>20</v>
      </c>
      <c r="B15">
        <f>L15/$O$27*M15</f>
        <v>630.64089921666471</v>
      </c>
      <c r="C15">
        <v>1404.9</v>
      </c>
      <c r="D15" s="1">
        <f t="shared" si="0"/>
        <v>2.2277337257146859</v>
      </c>
      <c r="E15" s="3">
        <f t="shared" si="1"/>
        <v>3.8264062619627031</v>
      </c>
      <c r="F15" s="3">
        <f>E15*$O$28</f>
        <v>51.813066036480663</v>
      </c>
      <c r="G15">
        <v>2397.1</v>
      </c>
      <c r="H15" s="1">
        <f t="shared" si="2"/>
        <v>3.8010538215607323</v>
      </c>
      <c r="I15" s="3">
        <f t="shared" si="3"/>
        <v>6.0391703551965881</v>
      </c>
      <c r="J15" s="3">
        <f>I15*$O$28</f>
        <v>81.77593046767997</v>
      </c>
      <c r="K15" s="3">
        <f t="shared" si="4"/>
        <v>133.58899650416063</v>
      </c>
      <c r="L15">
        <v>678.8</v>
      </c>
      <c r="M15">
        <v>124.11120341902731</v>
      </c>
    </row>
    <row r="16" spans="1:15" x14ac:dyDescent="0.3">
      <c r="A16" s="3" t="s">
        <v>21</v>
      </c>
      <c r="B16">
        <f>L16/$O$27*M16</f>
        <v>605.56676827274441</v>
      </c>
      <c r="C16">
        <v>1174.3</v>
      </c>
      <c r="D16" s="1">
        <f t="shared" si="0"/>
        <v>1.939175102605863</v>
      </c>
      <c r="E16" s="3">
        <f t="shared" si="1"/>
        <v>3.3307713888798745</v>
      </c>
      <c r="F16" s="3">
        <f>E16*$O$28</f>
        <v>45.101713228937719</v>
      </c>
      <c r="G16">
        <v>2490.6999999999998</v>
      </c>
      <c r="H16" s="1">
        <f t="shared" si="2"/>
        <v>4.1130064106790618</v>
      </c>
      <c r="I16" s="3">
        <f t="shared" si="3"/>
        <v>6.5348052282794127</v>
      </c>
      <c r="J16" s="3">
        <f>I16*$O$28</f>
        <v>88.487283275222865</v>
      </c>
      <c r="K16" s="3">
        <f t="shared" si="4"/>
        <v>133.58899650416058</v>
      </c>
      <c r="L16">
        <v>650.1</v>
      </c>
      <c r="M16">
        <v>124.4378663126034</v>
      </c>
    </row>
    <row r="18" spans="1:15" x14ac:dyDescent="0.3">
      <c r="A18" t="s">
        <v>22</v>
      </c>
      <c r="B18">
        <v>0.62939999999999996</v>
      </c>
      <c r="N18" t="s">
        <v>6</v>
      </c>
      <c r="O18">
        <v>123.1474596089156</v>
      </c>
    </row>
    <row r="19" spans="1:15" x14ac:dyDescent="0.3">
      <c r="A19" t="s">
        <v>23</v>
      </c>
      <c r="B19">
        <v>0.58220000000000005</v>
      </c>
      <c r="N19" t="s">
        <v>8</v>
      </c>
      <c r="O19">
        <v>135.991068349757</v>
      </c>
    </row>
    <row r="20" spans="1:15" x14ac:dyDescent="0.3">
      <c r="N20" t="s">
        <v>1</v>
      </c>
      <c r="O20">
        <v>13.784401421932751</v>
      </c>
    </row>
    <row r="21" spans="1:15" x14ac:dyDescent="0.3">
      <c r="N21" t="s">
        <v>11</v>
      </c>
      <c r="O21">
        <v>148.18801423364209</v>
      </c>
    </row>
    <row r="26" spans="1:15" x14ac:dyDescent="0.3">
      <c r="N26" t="s">
        <v>6</v>
      </c>
      <c r="O26">
        <v>270.23083270228511</v>
      </c>
    </row>
    <row r="27" spans="1:15" x14ac:dyDescent="0.3">
      <c r="N27" t="s">
        <v>8</v>
      </c>
      <c r="O27">
        <v>133.5889965041606</v>
      </c>
    </row>
    <row r="28" spans="1:15" x14ac:dyDescent="0.3">
      <c r="N28" t="s">
        <v>1</v>
      </c>
      <c r="O28">
        <v>13.54092129514336</v>
      </c>
    </row>
    <row r="29" spans="1:15" x14ac:dyDescent="0.3">
      <c r="N29" t="s">
        <v>11</v>
      </c>
      <c r="O29">
        <v>145.57050220755841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H1" sqref="H1:H13"/>
    </sheetView>
  </sheetViews>
  <sheetFormatPr defaultRowHeight="14.4" x14ac:dyDescent="0.3"/>
  <sheetData>
    <row r="1" spans="1:8" x14ac:dyDescent="0.3">
      <c r="A1" s="4" t="s">
        <v>24</v>
      </c>
      <c r="B1" s="5">
        <v>0.52336805555555554</v>
      </c>
      <c r="C1" s="6">
        <f t="shared" ref="C1:C20" si="0">(B1-$B$1)*86400/60</f>
        <v>0</v>
      </c>
      <c r="E1" t="s">
        <v>25</v>
      </c>
      <c r="F1" s="6">
        <f>C1</f>
        <v>0</v>
      </c>
      <c r="G1" t="s">
        <v>26</v>
      </c>
      <c r="H1">
        <f>0</f>
        <v>0</v>
      </c>
    </row>
    <row r="2" spans="1:8" x14ac:dyDescent="0.3">
      <c r="A2" s="4" t="s">
        <v>27</v>
      </c>
      <c r="B2" s="5">
        <v>0.6965393518518519</v>
      </c>
      <c r="C2" s="6">
        <f t="shared" si="0"/>
        <v>249.36666666666676</v>
      </c>
      <c r="E2" t="s">
        <v>28</v>
      </c>
      <c r="F2" s="6">
        <f>C2</f>
        <v>249.36666666666676</v>
      </c>
      <c r="G2" t="s">
        <v>29</v>
      </c>
      <c r="H2" s="6">
        <f>C6</f>
        <v>62.016666666666715</v>
      </c>
    </row>
    <row r="3" spans="1:8" x14ac:dyDescent="0.3">
      <c r="A3" s="4" t="s">
        <v>30</v>
      </c>
      <c r="B3" s="5">
        <v>0.73806712962962961</v>
      </c>
      <c r="C3" s="6">
        <f t="shared" si="0"/>
        <v>309.16666666666669</v>
      </c>
      <c r="E3" t="s">
        <v>31</v>
      </c>
      <c r="F3" s="6">
        <f>C3</f>
        <v>309.16666666666669</v>
      </c>
      <c r="G3" t="s">
        <v>32</v>
      </c>
      <c r="H3" s="6">
        <f>C7</f>
        <v>74.566666666666762</v>
      </c>
    </row>
    <row r="4" spans="1:8" x14ac:dyDescent="0.3">
      <c r="A4" s="4" t="s">
        <v>33</v>
      </c>
      <c r="B4" s="5">
        <v>0.81726851851851856</v>
      </c>
      <c r="C4" s="6">
        <f t="shared" si="0"/>
        <v>423.21666666666675</v>
      </c>
      <c r="E4" t="s">
        <v>34</v>
      </c>
      <c r="F4" s="6">
        <f>C4</f>
        <v>423.21666666666675</v>
      </c>
      <c r="G4" t="s">
        <v>35</v>
      </c>
      <c r="H4" s="6">
        <f>C8</f>
        <v>193.13333333333335</v>
      </c>
    </row>
    <row r="5" spans="1:8" x14ac:dyDescent="0.3">
      <c r="A5" s="4" t="s">
        <v>36</v>
      </c>
      <c r="B5" s="5">
        <v>0.51375000000000004</v>
      </c>
      <c r="C5" s="6">
        <f t="shared" si="0"/>
        <v>-13.849999999999927</v>
      </c>
      <c r="G5" t="s">
        <v>37</v>
      </c>
      <c r="H5" s="6">
        <f>C10</f>
        <v>258.78333333333342</v>
      </c>
    </row>
    <row r="6" spans="1:8" x14ac:dyDescent="0.3">
      <c r="A6" s="4" t="s">
        <v>38</v>
      </c>
      <c r="B6" s="5">
        <v>0.56643518518518521</v>
      </c>
      <c r="C6" s="6">
        <f t="shared" si="0"/>
        <v>62.016666666666715</v>
      </c>
      <c r="G6" t="s">
        <v>39</v>
      </c>
      <c r="H6" s="6">
        <f>C11</f>
        <v>271.03333333333342</v>
      </c>
    </row>
    <row r="7" spans="1:8" x14ac:dyDescent="0.3">
      <c r="A7" s="4" t="s">
        <v>40</v>
      </c>
      <c r="B7" s="5">
        <v>0.57515046296296302</v>
      </c>
      <c r="C7" s="6">
        <f t="shared" si="0"/>
        <v>74.566666666666762</v>
      </c>
      <c r="G7" t="s">
        <v>41</v>
      </c>
      <c r="H7" s="6">
        <f>C12</f>
        <v>287.65000000000003</v>
      </c>
    </row>
    <row r="8" spans="1:8" x14ac:dyDescent="0.3">
      <c r="A8" s="4" t="s">
        <v>42</v>
      </c>
      <c r="B8" s="5">
        <v>0.65748842592592593</v>
      </c>
      <c r="C8" s="6">
        <f t="shared" si="0"/>
        <v>193.13333333333335</v>
      </c>
      <c r="G8" t="s">
        <v>43</v>
      </c>
      <c r="H8" s="6">
        <f>C14</f>
        <v>317.48333333333329</v>
      </c>
    </row>
    <row r="9" spans="1:8" x14ac:dyDescent="0.3">
      <c r="C9" s="6">
        <f t="shared" si="0"/>
        <v>-753.65</v>
      </c>
      <c r="G9" t="s">
        <v>44</v>
      </c>
      <c r="H9" s="6">
        <f>C15</f>
        <v>330.88333333333333</v>
      </c>
    </row>
    <row r="10" spans="1:8" x14ac:dyDescent="0.3">
      <c r="A10" s="4" t="s">
        <v>45</v>
      </c>
      <c r="B10" s="5">
        <v>0.70307870370370373</v>
      </c>
      <c r="C10" s="6">
        <f t="shared" si="0"/>
        <v>258.78333333333342</v>
      </c>
      <c r="G10" t="s">
        <v>46</v>
      </c>
      <c r="H10" s="6">
        <f>C16</f>
        <v>396.43333333333334</v>
      </c>
    </row>
    <row r="11" spans="1:8" x14ac:dyDescent="0.3">
      <c r="A11" s="4" t="s">
        <v>47</v>
      </c>
      <c r="B11" s="5">
        <v>0.71158564814814818</v>
      </c>
      <c r="C11" s="6">
        <f t="shared" si="0"/>
        <v>271.03333333333342</v>
      </c>
      <c r="G11" t="s">
        <v>48</v>
      </c>
      <c r="H11" s="6">
        <f>C18</f>
        <v>426.76666666666665</v>
      </c>
    </row>
    <row r="12" spans="1:8" x14ac:dyDescent="0.3">
      <c r="A12" s="4" t="s">
        <v>49</v>
      </c>
      <c r="B12" s="5">
        <v>0.72312500000000002</v>
      </c>
      <c r="C12" s="6">
        <f t="shared" si="0"/>
        <v>287.65000000000003</v>
      </c>
      <c r="G12" t="s">
        <v>50</v>
      </c>
      <c r="H12" s="6">
        <f>C19</f>
        <v>431.65</v>
      </c>
    </row>
    <row r="13" spans="1:8" x14ac:dyDescent="0.3">
      <c r="C13" s="6">
        <f t="shared" si="0"/>
        <v>-753.65</v>
      </c>
      <c r="G13" t="s">
        <v>51</v>
      </c>
      <c r="H13" s="6">
        <f>C20</f>
        <v>442.53333333333336</v>
      </c>
    </row>
    <row r="14" spans="1:8" x14ac:dyDescent="0.3">
      <c r="A14" s="4" t="s">
        <v>52</v>
      </c>
      <c r="B14" s="5">
        <v>0.74384259259259256</v>
      </c>
      <c r="C14" s="6">
        <f t="shared" si="0"/>
        <v>317.48333333333329</v>
      </c>
      <c r="G14" t="s">
        <v>53</v>
      </c>
      <c r="H14">
        <f>0</f>
        <v>0</v>
      </c>
    </row>
    <row r="15" spans="1:8" x14ac:dyDescent="0.3">
      <c r="A15" s="4" t="s">
        <v>54</v>
      </c>
      <c r="B15" s="5">
        <v>0.75314814814814812</v>
      </c>
      <c r="C15" s="6">
        <f t="shared" si="0"/>
        <v>330.88333333333333</v>
      </c>
    </row>
    <row r="16" spans="1:8" x14ac:dyDescent="0.3">
      <c r="A16" s="4" t="s">
        <v>55</v>
      </c>
      <c r="B16" s="5">
        <v>0.79866898148148147</v>
      </c>
      <c r="C16" s="6">
        <f t="shared" si="0"/>
        <v>396.43333333333334</v>
      </c>
    </row>
    <row r="17" spans="1:3" x14ac:dyDescent="0.3">
      <c r="C17" s="6">
        <f t="shared" si="0"/>
        <v>-753.65</v>
      </c>
    </row>
    <row r="18" spans="1:3" x14ac:dyDescent="0.3">
      <c r="A18" s="4" t="s">
        <v>56</v>
      </c>
      <c r="B18" s="5">
        <v>0.81973379629629628</v>
      </c>
      <c r="C18" s="6">
        <f t="shared" si="0"/>
        <v>426.76666666666665</v>
      </c>
    </row>
    <row r="19" spans="1:3" x14ac:dyDescent="0.3">
      <c r="A19" s="4" t="s">
        <v>57</v>
      </c>
      <c r="B19" s="5">
        <v>0.823125</v>
      </c>
      <c r="C19" s="6">
        <f t="shared" si="0"/>
        <v>431.65</v>
      </c>
    </row>
    <row r="20" spans="1:3" x14ac:dyDescent="0.3">
      <c r="A20" s="4" t="s">
        <v>58</v>
      </c>
      <c r="B20" s="5">
        <v>0.83068287037037036</v>
      </c>
      <c r="C20" s="6">
        <f t="shared" si="0"/>
        <v>442.53333333333336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abSelected="1" workbookViewId="0">
      <selection activeCell="M4" sqref="M4"/>
    </sheetView>
  </sheetViews>
  <sheetFormatPr defaultRowHeight="14.4" x14ac:dyDescent="0.3"/>
  <cols>
    <col min="2" max="2" width="13.5546875" bestFit="1" customWidth="1"/>
  </cols>
  <sheetData>
    <row r="1" spans="1:3" x14ac:dyDescent="0.3">
      <c r="A1" t="s">
        <v>59</v>
      </c>
      <c r="B1" t="s">
        <v>60</v>
      </c>
      <c r="C1" t="s">
        <v>5</v>
      </c>
    </row>
    <row r="2" spans="1:3" x14ac:dyDescent="0.3">
      <c r="A2">
        <v>0</v>
      </c>
      <c r="B2">
        <v>139.1912696725478</v>
      </c>
      <c r="C2">
        <v>0</v>
      </c>
    </row>
    <row r="3" spans="1:3" x14ac:dyDescent="0.3">
      <c r="A3">
        <v>62.016666666666723</v>
      </c>
      <c r="B3">
        <v>125.99212118427459</v>
      </c>
      <c r="C3">
        <v>13.19914848827321</v>
      </c>
    </row>
    <row r="4" spans="1:3" x14ac:dyDescent="0.3">
      <c r="A4">
        <v>74.566666666666762</v>
      </c>
      <c r="B4">
        <v>124.0609010285968</v>
      </c>
      <c r="C4">
        <v>15.13036864395095</v>
      </c>
    </row>
    <row r="5" spans="1:3" x14ac:dyDescent="0.3">
      <c r="A5">
        <v>193.13333333333341</v>
      </c>
      <c r="B5">
        <v>113.3146231601082</v>
      </c>
      <c r="C5">
        <v>25.876646512439521</v>
      </c>
    </row>
    <row r="6" spans="1:3" x14ac:dyDescent="0.3">
      <c r="A6">
        <v>271.03333333333342</v>
      </c>
      <c r="B6">
        <v>96.593315168349321</v>
      </c>
      <c r="C6">
        <v>41.19361575987076</v>
      </c>
    </row>
    <row r="7" spans="1:3" x14ac:dyDescent="0.3">
      <c r="A7">
        <v>287.64999999999998</v>
      </c>
      <c r="B7">
        <v>90.056118938349513</v>
      </c>
      <c r="C7">
        <v>47.73081198987056</v>
      </c>
    </row>
    <row r="8" spans="1:3" x14ac:dyDescent="0.3">
      <c r="A8">
        <v>317.48333333333329</v>
      </c>
      <c r="B8">
        <v>79.121450457761767</v>
      </c>
      <c r="C8">
        <v>56.869617891995283</v>
      </c>
    </row>
    <row r="9" spans="1:3" x14ac:dyDescent="0.3">
      <c r="A9">
        <v>330.88333333333333</v>
      </c>
      <c r="B9">
        <v>75.68555477295655</v>
      </c>
      <c r="C9">
        <v>60.305513576800458</v>
      </c>
    </row>
    <row r="10" spans="1:3" x14ac:dyDescent="0.3">
      <c r="A10">
        <v>396.43333333333328</v>
      </c>
      <c r="B10">
        <v>64.329186526035812</v>
      </c>
      <c r="C10">
        <v>71.661881823721217</v>
      </c>
    </row>
    <row r="11" spans="1:3" x14ac:dyDescent="0.3">
      <c r="A11">
        <v>426.76666666666671</v>
      </c>
      <c r="B11">
        <v>55.771063831572448</v>
      </c>
      <c r="C11">
        <v>77.817932672588199</v>
      </c>
    </row>
    <row r="12" spans="1:3" x14ac:dyDescent="0.3">
      <c r="A12">
        <v>431.65</v>
      </c>
      <c r="B12">
        <v>51.813066036480677</v>
      </c>
      <c r="C12">
        <v>81.775930467679984</v>
      </c>
    </row>
    <row r="13" spans="1:3" x14ac:dyDescent="0.3">
      <c r="A13">
        <v>442.53333333333342</v>
      </c>
      <c r="B13">
        <v>45.101713228937733</v>
      </c>
      <c r="C13">
        <v>88.487283275222893</v>
      </c>
    </row>
    <row r="14" spans="1:3" x14ac:dyDescent="0.3">
      <c r="A14">
        <v>1080</v>
      </c>
      <c r="B14">
        <v>0</v>
      </c>
      <c r="C14">
        <v>133.58000000000001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C4_E3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2025-02-06T07:56:56Z</dcterms:created>
  <dcterms:modified xsi:type="dcterms:W3CDTF">2026-01-12T11:23:19Z</dcterms:modified>
</cp:coreProperties>
</file>
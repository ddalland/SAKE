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2E6960E1E1483A9D524B9C85C18BD1BD45D2BCB8" xr6:coauthVersionLast="47" xr6:coauthVersionMax="47" xr10:uidLastSave="{6A840CF3-E82D-4FBC-B620-3679610AE71B}"/>
  <bookViews>
    <workbookView xWindow="4260" yWindow="2064" windowWidth="17280" windowHeight="8880" firstSheet="1" activeTab="2" xr2:uid="{00000000-000D-0000-FFFF-FFFF00000000}"/>
  </bookViews>
  <sheets>
    <sheet name="C4_E10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H13" i="2" s="1"/>
  <c r="C19" i="2"/>
  <c r="H12" i="2" s="1"/>
  <c r="C18" i="2"/>
  <c r="H11" i="2" s="1"/>
  <c r="C17" i="2"/>
  <c r="C16" i="2"/>
  <c r="C15" i="2"/>
  <c r="C14" i="2"/>
  <c r="C13" i="2"/>
  <c r="C12" i="2"/>
  <c r="C11" i="2"/>
  <c r="H10" i="2"/>
  <c r="C10" i="2"/>
  <c r="H5" i="2" s="1"/>
  <c r="H9" i="2"/>
  <c r="C9" i="2"/>
  <c r="H8" i="2"/>
  <c r="C8" i="2"/>
  <c r="H4" i="2" s="1"/>
  <c r="H7" i="2"/>
  <c r="C7" i="2"/>
  <c r="H3" i="2" s="1"/>
  <c r="H6" i="2"/>
  <c r="C6" i="2"/>
  <c r="C5" i="2"/>
  <c r="C4" i="2"/>
  <c r="F4" i="2" s="1"/>
  <c r="C3" i="2"/>
  <c r="F3" i="2" s="1"/>
  <c r="H2" i="2"/>
  <c r="C2" i="2"/>
  <c r="F2" i="2" s="1"/>
  <c r="H1" i="2"/>
  <c r="F1" i="2"/>
  <c r="C1" i="2"/>
  <c r="H19" i="1"/>
  <c r="I19" i="1" s="1"/>
  <c r="J19" i="1" s="1"/>
  <c r="D19" i="1"/>
  <c r="E19" i="1" s="1"/>
  <c r="F19" i="1" s="1"/>
  <c r="K19" i="1" s="1"/>
  <c r="B19" i="1"/>
  <c r="B18" i="1"/>
  <c r="D18" i="1" s="1"/>
  <c r="E18" i="1" s="1"/>
  <c r="F18" i="1" s="1"/>
  <c r="K18" i="1" s="1"/>
  <c r="H17" i="1"/>
  <c r="I17" i="1" s="1"/>
  <c r="J17" i="1" s="1"/>
  <c r="D17" i="1"/>
  <c r="E17" i="1" s="1"/>
  <c r="F17" i="1" s="1"/>
  <c r="K17" i="1" s="1"/>
  <c r="B17" i="1"/>
  <c r="B16" i="1"/>
  <c r="D16" i="1" s="1"/>
  <c r="E16" i="1" s="1"/>
  <c r="F16" i="1" s="1"/>
  <c r="H15" i="1"/>
  <c r="I15" i="1" s="1"/>
  <c r="J15" i="1" s="1"/>
  <c r="D15" i="1"/>
  <c r="E15" i="1" s="1"/>
  <c r="F15" i="1" s="1"/>
  <c r="K15" i="1" s="1"/>
  <c r="B15" i="1"/>
  <c r="B14" i="1"/>
  <c r="H14" i="1" s="1"/>
  <c r="I14" i="1" s="1"/>
  <c r="J14" i="1" s="1"/>
  <c r="H13" i="1"/>
  <c r="I13" i="1" s="1"/>
  <c r="J13" i="1" s="1"/>
  <c r="D13" i="1"/>
  <c r="E13" i="1" s="1"/>
  <c r="F13" i="1" s="1"/>
  <c r="K13" i="1" s="1"/>
  <c r="B13" i="1"/>
  <c r="B12" i="1"/>
  <c r="D12" i="1" s="1"/>
  <c r="E12" i="1" s="1"/>
  <c r="F12" i="1" s="1"/>
  <c r="H11" i="1"/>
  <c r="I11" i="1" s="1"/>
  <c r="J11" i="1" s="1"/>
  <c r="D11" i="1"/>
  <c r="E11" i="1" s="1"/>
  <c r="F11" i="1" s="1"/>
  <c r="K11" i="1" s="1"/>
  <c r="B11" i="1"/>
  <c r="B10" i="1"/>
  <c r="D10" i="1" s="1"/>
  <c r="E10" i="1" s="1"/>
  <c r="F10" i="1" s="1"/>
  <c r="H9" i="1"/>
  <c r="I9" i="1" s="1"/>
  <c r="J9" i="1" s="1"/>
  <c r="D9" i="1"/>
  <c r="E9" i="1" s="1"/>
  <c r="F9" i="1" s="1"/>
  <c r="K9" i="1" s="1"/>
  <c r="B9" i="1"/>
  <c r="B8" i="1"/>
  <c r="H8" i="1" s="1"/>
  <c r="I8" i="1" s="1"/>
  <c r="J8" i="1" s="1"/>
  <c r="H7" i="1"/>
  <c r="I7" i="1" s="1"/>
  <c r="J7" i="1" s="1"/>
  <c r="D7" i="1"/>
  <c r="E7" i="1" s="1"/>
  <c r="F7" i="1" s="1"/>
  <c r="K7" i="1" s="1"/>
  <c r="B7" i="1"/>
  <c r="B6" i="1"/>
  <c r="D6" i="1" s="1"/>
  <c r="E6" i="1" s="1"/>
  <c r="F6" i="1" s="1"/>
  <c r="H5" i="1"/>
  <c r="I5" i="1" s="1"/>
  <c r="J5" i="1" s="1"/>
  <c r="D5" i="1"/>
  <c r="E5" i="1" s="1"/>
  <c r="F5" i="1" s="1"/>
  <c r="K5" i="1" s="1"/>
  <c r="B5" i="1"/>
  <c r="B4" i="1"/>
  <c r="H4" i="1" s="1"/>
  <c r="I4" i="1" s="1"/>
  <c r="J4" i="1" s="1"/>
  <c r="D4" i="1" l="1"/>
  <c r="E4" i="1" s="1"/>
  <c r="F4" i="1" s="1"/>
  <c r="K4" i="1" s="1"/>
  <c r="D8" i="1"/>
  <c r="E8" i="1" s="1"/>
  <c r="F8" i="1" s="1"/>
  <c r="K8" i="1" s="1"/>
  <c r="D14" i="1"/>
  <c r="E14" i="1" s="1"/>
  <c r="F14" i="1" s="1"/>
  <c r="K14" i="1" s="1"/>
  <c r="H6" i="1"/>
  <c r="I6" i="1" s="1"/>
  <c r="J6" i="1" s="1"/>
  <c r="K6" i="1" s="1"/>
  <c r="H10" i="1"/>
  <c r="I10" i="1" s="1"/>
  <c r="J10" i="1" s="1"/>
  <c r="K10" i="1" s="1"/>
  <c r="H12" i="1"/>
  <c r="I12" i="1" s="1"/>
  <c r="J12" i="1" s="1"/>
  <c r="K12" i="1" s="1"/>
  <c r="H16" i="1"/>
  <c r="I16" i="1" s="1"/>
  <c r="J16" i="1" s="1"/>
  <c r="K16" i="1" s="1"/>
  <c r="H18" i="1"/>
  <c r="I18" i="1" s="1"/>
  <c r="J18" i="1" s="1"/>
</calcChain>
</file>

<file path=xl/sharedStrings.xml><?xml version="1.0" encoding="utf-8"?>
<sst xmlns="http://schemas.openxmlformats.org/spreadsheetml/2006/main" count="81" uniqueCount="65">
  <si>
    <t>filename</t>
  </si>
  <si>
    <t>Biphenyl</t>
  </si>
  <si>
    <t>4-SO2Me-ArOPh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</si>
  <si>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</si>
  <si>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</si>
  <si>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</si>
  <si>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</si>
  <si>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</si>
  <si>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</si>
  <si>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C4_E10-S0</t>
  </si>
  <si>
    <t>Ar-4SO2Me-Oph</t>
  </si>
  <si>
    <t>C4_E10-S1</t>
  </si>
  <si>
    <t>C4_E10-S2</t>
  </si>
  <si>
    <t>C4_E10-S3</t>
  </si>
  <si>
    <t>C4_E10-S4</t>
  </si>
  <si>
    <t>C4_E10-S5</t>
  </si>
  <si>
    <t>C4_E10-S6</t>
  </si>
  <si>
    <t>C4_E10-S7</t>
  </si>
  <si>
    <t>C4_E10-S8</t>
  </si>
  <si>
    <t>C4_E10-S9</t>
  </si>
  <si>
    <t>Phenol</t>
  </si>
  <si>
    <t>C4_E10-S10</t>
  </si>
  <si>
    <t>C4_E10-S11</t>
  </si>
  <si>
    <t>C4_E10-S12</t>
  </si>
  <si>
    <t>C4_E10-S13</t>
  </si>
  <si>
    <t>C4_E10-S90</t>
  </si>
  <si>
    <t>nan</t>
  </si>
  <si>
    <t>C4_E10-S95</t>
  </si>
  <si>
    <t>CC 4SO2ArOPh</t>
  </si>
  <si>
    <t>CC Product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</si>
  <si>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</si>
  <si>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</si>
  <si>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</si>
  <si>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</si>
  <si>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</si>
  <si>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</si>
  <si>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</si>
  <si>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</si>
  <si>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</si>
  <si>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</si>
  <si>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</si>
  <si>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</si>
  <si>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Start:</t>
  </si>
  <si>
    <t>S4</t>
  </si>
  <si>
    <t>S1:</t>
  </si>
  <si>
    <t>S5</t>
  </si>
  <si>
    <t>S6</t>
  </si>
  <si>
    <t>S3:</t>
  </si>
  <si>
    <t>S7</t>
  </si>
  <si>
    <t>S8</t>
  </si>
  <si>
    <t>S4:</t>
  </si>
  <si>
    <t>S9</t>
  </si>
  <si>
    <t>S5:</t>
  </si>
  <si>
    <t>S10</t>
  </si>
  <si>
    <t>S6:</t>
  </si>
  <si>
    <t>S11</t>
  </si>
  <si>
    <t>S12</t>
  </si>
  <si>
    <t>S7:</t>
  </si>
  <si>
    <t>S8:</t>
  </si>
  <si>
    <t>S9: </t>
  </si>
  <si>
    <t>S10:</t>
  </si>
  <si>
    <t>S11:</t>
  </si>
  <si>
    <t>S12:</t>
  </si>
  <si>
    <t>Time / min</t>
  </si>
  <si>
    <t>4SO2MeArOPh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</si>
</sst>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vertical="center" wrapText="1"/>
    </xf>
    <xf numFmtId="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4SO2MeArOPh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HPLC'!$A$2:$A$15</c:f>
              <c:numCache>
                <c:formatCode>General</c:formatCode>
                <c:ptCount val="14"/>
                <c:pt idx="0">
                  <c:v>0</c:v>
                </c:pt>
                <c:pt idx="1">
                  <c:v>108.5666666587349</c:v>
                </c:pt>
                <c:pt idx="2">
                  <c:v>311.91666666883981</c:v>
                </c:pt>
                <c:pt idx="3">
                  <c:v>453.6833333352115</c:v>
                </c:pt>
                <c:pt idx="4">
                  <c:v>569.14999999338761</c:v>
                </c:pt>
                <c:pt idx="5">
                  <c:v>855.46666666050442</c:v>
                </c:pt>
                <c:pt idx="6">
                  <c:v>862.40000000107102</c:v>
                </c:pt>
                <c:pt idx="7">
                  <c:v>867.51666665892117</c:v>
                </c:pt>
                <c:pt idx="8">
                  <c:v>1521.016666662181</c:v>
                </c:pt>
                <c:pt idx="9">
                  <c:v>1529.7999999951569</c:v>
                </c:pt>
                <c:pt idx="10">
                  <c:v>1547.716666659107</c:v>
                </c:pt>
                <c:pt idx="11">
                  <c:v>1573.6166666680949</c:v>
                </c:pt>
                <c:pt idx="12">
                  <c:v>1657.9666666674891</c:v>
                </c:pt>
                <c:pt idx="13">
                  <c:v>1812.6</c:v>
                </c:pt>
              </c:numCache>
            </c:numRef>
          </c:xVal>
          <c:yVal>
            <c:numRef>
              <c:f>'Concentration vs time HPLC'!$B$2:$B$15</c:f>
              <c:numCache>
                <c:formatCode>General</c:formatCode>
                <c:ptCount val="14"/>
                <c:pt idx="0">
                  <c:v>110.222143063327</c:v>
                </c:pt>
                <c:pt idx="1">
                  <c:v>106.8577100502379</c:v>
                </c:pt>
                <c:pt idx="2">
                  <c:v>102.4902292100512</c:v>
                </c:pt>
                <c:pt idx="3">
                  <c:v>100.5766247476659</c:v>
                </c:pt>
                <c:pt idx="4">
                  <c:v>97.899262635009364</c:v>
                </c:pt>
                <c:pt idx="5">
                  <c:v>77.139380903059134</c:v>
                </c:pt>
                <c:pt idx="6">
                  <c:v>76.521521120835942</c:v>
                </c:pt>
                <c:pt idx="7">
                  <c:v>75.356964178299663</c:v>
                </c:pt>
                <c:pt idx="8">
                  <c:v>58.014983275753607</c:v>
                </c:pt>
                <c:pt idx="9">
                  <c:v>57.606570222833817</c:v>
                </c:pt>
                <c:pt idx="10">
                  <c:v>54.210044219950419</c:v>
                </c:pt>
                <c:pt idx="11">
                  <c:v>50.608710621382087</c:v>
                </c:pt>
                <c:pt idx="12">
                  <c:v>41.369329991370464</c:v>
                </c:pt>
                <c:pt idx="13">
                  <c:v>31.47124706811897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1-44A1-8884-6DD4076A2B23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HPLC'!$A$2:$A$15</c:f>
              <c:numCache>
                <c:formatCode>General</c:formatCode>
                <c:ptCount val="14"/>
                <c:pt idx="0">
                  <c:v>0</c:v>
                </c:pt>
                <c:pt idx="1">
                  <c:v>108.5666666587349</c:v>
                </c:pt>
                <c:pt idx="2">
                  <c:v>311.91666666883981</c:v>
                </c:pt>
                <c:pt idx="3">
                  <c:v>453.6833333352115</c:v>
                </c:pt>
                <c:pt idx="4">
                  <c:v>569.14999999338761</c:v>
                </c:pt>
                <c:pt idx="5">
                  <c:v>855.46666666050442</c:v>
                </c:pt>
                <c:pt idx="6">
                  <c:v>862.40000000107102</c:v>
                </c:pt>
                <c:pt idx="7">
                  <c:v>867.51666665892117</c:v>
                </c:pt>
                <c:pt idx="8">
                  <c:v>1521.016666662181</c:v>
                </c:pt>
                <c:pt idx="9">
                  <c:v>1529.7999999951569</c:v>
                </c:pt>
                <c:pt idx="10">
                  <c:v>1547.716666659107</c:v>
                </c:pt>
                <c:pt idx="11">
                  <c:v>1573.6166666680949</c:v>
                </c:pt>
                <c:pt idx="12">
                  <c:v>1657.9666666674891</c:v>
                </c:pt>
                <c:pt idx="13">
                  <c:v>1812.6</c:v>
                </c:pt>
              </c:numCache>
            </c:numRef>
          </c:xVal>
          <c:yVal>
            <c:numRef>
              <c:f>'Concentration vs time HPLC'!$C$2:$C$15</c:f>
              <c:numCache>
                <c:formatCode>General</c:formatCode>
                <c:ptCount val="14"/>
                <c:pt idx="0">
                  <c:v>0</c:v>
                </c:pt>
                <c:pt idx="1">
                  <c:v>3.364433013089188</c:v>
                </c:pt>
                <c:pt idx="2">
                  <c:v>7.7319138532758034</c:v>
                </c:pt>
                <c:pt idx="3">
                  <c:v>9.6455183156611461</c:v>
                </c:pt>
                <c:pt idx="4">
                  <c:v>11.378757360362631</c:v>
                </c:pt>
                <c:pt idx="5">
                  <c:v>32.138639092312893</c:v>
                </c:pt>
                <c:pt idx="6">
                  <c:v>32.756498874536099</c:v>
                </c:pt>
                <c:pt idx="7">
                  <c:v>32.510442742795149</c:v>
                </c:pt>
                <c:pt idx="8">
                  <c:v>49.852423645341197</c:v>
                </c:pt>
                <c:pt idx="9">
                  <c:v>50.260836698260967</c:v>
                </c:pt>
                <c:pt idx="10">
                  <c:v>51.836538326735841</c:v>
                </c:pt>
                <c:pt idx="11">
                  <c:v>55.437871925304172</c:v>
                </c:pt>
                <c:pt idx="12">
                  <c:v>64.677252555315818</c:v>
                </c:pt>
                <c:pt idx="13">
                  <c:v>74.575335478567297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31-44A1-8884-6DD4076A2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361952"/>
        <c:axId val="1916365792"/>
      </c:scatterChart>
      <c:valAx>
        <c:axId val="191636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65792"/>
        <c:crosses val="autoZero"/>
        <c:crossBetween val="midCat"/>
      </c:valAx>
      <c:valAx>
        <c:axId val="191636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6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30486</xdr:rowOff>
    </xdr:from>
    <xdr:to>
      <xdr:col>11</xdr:col>
      <xdr:colOff>38100</xdr:colOff>
      <xdr:row>16</xdr:row>
      <xdr:rowOff>30486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C50308-635F-6625-B5DD-B615FB525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workbookViewId="0">
      <selection activeCell="A21" sqref="A21:B22"/>
    </sheetView>
  </sheetViews>
  <sheetFormatPr defaultRowHeight="14.4" x14ac:dyDescent="0.3"/>
  <cols>
    <col min="1" max="1" width="10" bestFit="1" customWidth="1"/>
  </cols>
  <sheetData>
    <row r="1" spans="1:15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N2" t="s">
        <v>6</v>
      </c>
      <c r="O2" t="s">
        <v>7</v>
      </c>
    </row>
    <row r="3" spans="1:15" x14ac:dyDescent="0.3">
      <c r="B3">
        <v>4.3452500000000001</v>
      </c>
      <c r="C3">
        <v>1.6863125000000001</v>
      </c>
      <c r="G3">
        <v>2.6544999999999899</v>
      </c>
      <c r="N3" t="s">
        <v>8</v>
      </c>
      <c r="O3">
        <v>35.630005766096801</v>
      </c>
    </row>
    <row r="4" spans="1:15" x14ac:dyDescent="0.3">
      <c r="A4" t="s">
        <v>9</v>
      </c>
      <c r="B4">
        <f>L4/$O$4*M4</f>
        <v>187.84183772704239</v>
      </c>
      <c r="C4">
        <v>1241.8</v>
      </c>
      <c r="D4">
        <f t="shared" ref="D4:D19" si="0">C4/B4</f>
        <v>6.6108808081642074</v>
      </c>
      <c r="E4">
        <f t="shared" ref="E4:E19" si="1">D4/$B$21</f>
        <v>11.354999670498465</v>
      </c>
      <c r="F4" s="1">
        <f>E4*$O$5</f>
        <v>110.22214306332722</v>
      </c>
      <c r="G4">
        <v>0</v>
      </c>
      <c r="H4">
        <f t="shared" ref="H4:H19" si="2">G4/B4</f>
        <v>0</v>
      </c>
      <c r="I4">
        <f t="shared" ref="I4:I19" si="3">H4/$B$21</f>
        <v>0</v>
      </c>
      <c r="J4" s="1">
        <f>I4*$O$5</f>
        <v>0</v>
      </c>
      <c r="K4">
        <f t="shared" ref="K4:K19" si="4">SUM(F4,J4)</f>
        <v>110.22214306332722</v>
      </c>
      <c r="L4">
        <v>265.10000000000002</v>
      </c>
      <c r="M4">
        <v>78.100075108367861</v>
      </c>
      <c r="N4" t="s">
        <v>10</v>
      </c>
      <c r="O4">
        <v>110.222143063327</v>
      </c>
    </row>
    <row r="5" spans="1:15" x14ac:dyDescent="0.3">
      <c r="A5" t="s">
        <v>11</v>
      </c>
      <c r="B5">
        <f>L5/$O$4*M5</f>
        <v>462.35896375944418</v>
      </c>
      <c r="C5">
        <v>2963.3</v>
      </c>
      <c r="D5">
        <f t="shared" si="0"/>
        <v>6.4090895435559112</v>
      </c>
      <c r="E5">
        <f t="shared" si="1"/>
        <v>11.008398391542272</v>
      </c>
      <c r="F5" s="1">
        <f>E5*$O$5</f>
        <v>106.85771005023805</v>
      </c>
      <c r="G5">
        <v>93.3</v>
      </c>
      <c r="H5">
        <f t="shared" si="2"/>
        <v>0.20179126460829699</v>
      </c>
      <c r="I5">
        <f t="shared" si="3"/>
        <v>0.34660127895619541</v>
      </c>
      <c r="J5" s="1">
        <f>I5*$O$5</f>
        <v>3.3644330130891942</v>
      </c>
      <c r="K5">
        <f t="shared" si="4"/>
        <v>110.22214306332725</v>
      </c>
      <c r="L5">
        <v>498.3</v>
      </c>
      <c r="M5">
        <v>102.2721168976622</v>
      </c>
      <c r="N5" t="s">
        <v>1</v>
      </c>
      <c r="O5">
        <v>9.7069261348986604</v>
      </c>
    </row>
    <row r="6" spans="1:15" x14ac:dyDescent="0.3">
      <c r="A6" t="s">
        <v>12</v>
      </c>
      <c r="B6">
        <f>L6/$O$4*M6</f>
        <v>285.28724911676761</v>
      </c>
      <c r="C6">
        <v>1753.7</v>
      </c>
      <c r="D6">
        <f t="shared" si="0"/>
        <v>6.1471376846646706</v>
      </c>
      <c r="E6">
        <f t="shared" si="1"/>
        <v>10.558463903580677</v>
      </c>
      <c r="F6" s="1">
        <f>E6*$O$5</f>
        <v>102.4902292100514</v>
      </c>
      <c r="G6">
        <v>132.30000000000001</v>
      </c>
      <c r="H6">
        <f t="shared" si="2"/>
        <v>0.46374312349953584</v>
      </c>
      <c r="I6">
        <f t="shared" si="3"/>
        <v>0.79653576691778738</v>
      </c>
      <c r="J6" s="1">
        <f>I6*$O$5</f>
        <v>7.7319138532758185</v>
      </c>
      <c r="K6">
        <f t="shared" si="4"/>
        <v>110.22214306332721</v>
      </c>
      <c r="L6">
        <v>320.3</v>
      </c>
      <c r="M6">
        <v>98.173499801096995</v>
      </c>
      <c r="O6">
        <v>0</v>
      </c>
    </row>
    <row r="7" spans="1:15" x14ac:dyDescent="0.3">
      <c r="A7" t="s">
        <v>13</v>
      </c>
      <c r="B7">
        <f>L7/$O$4*M7</f>
        <v>173.54722211647268</v>
      </c>
      <c r="C7">
        <v>1046.9000000000001</v>
      </c>
      <c r="D7">
        <f t="shared" si="0"/>
        <v>6.0323639135946205</v>
      </c>
      <c r="E7">
        <f t="shared" si="1"/>
        <v>10.361325856397492</v>
      </c>
      <c r="F7" s="1">
        <f>E7*$O$5</f>
        <v>100.57662474766606</v>
      </c>
      <c r="G7">
        <v>100.4</v>
      </c>
      <c r="H7">
        <f t="shared" si="2"/>
        <v>0.57851689456958633</v>
      </c>
      <c r="I7">
        <f t="shared" si="3"/>
        <v>0.99367381410097266</v>
      </c>
      <c r="J7" s="1">
        <f>I7*$O$5</f>
        <v>9.6455183156611639</v>
      </c>
      <c r="K7">
        <f t="shared" si="4"/>
        <v>110.22214306332722</v>
      </c>
      <c r="L7">
        <v>210</v>
      </c>
      <c r="M7">
        <v>91.089270211261137</v>
      </c>
    </row>
    <row r="8" spans="1:15" x14ac:dyDescent="0.3">
      <c r="A8" t="s">
        <v>14</v>
      </c>
      <c r="B8">
        <f>L8/$O$11*M8</f>
        <v>254.36913195309467</v>
      </c>
      <c r="C8">
        <v>1493.6</v>
      </c>
      <c r="D8">
        <f t="shared" si="0"/>
        <v>5.8717816447768429</v>
      </c>
      <c r="E8">
        <f t="shared" si="1"/>
        <v>10.085506088589561</v>
      </c>
      <c r="F8" s="2">
        <f>E8*$O$5</f>
        <v>97.899262635009578</v>
      </c>
      <c r="G8">
        <v>173.6</v>
      </c>
      <c r="H8">
        <f t="shared" si="2"/>
        <v>0.68247274607208086</v>
      </c>
      <c r="I8">
        <f t="shared" si="3"/>
        <v>1.172230755877844</v>
      </c>
      <c r="J8" s="2">
        <f>I8*$O$5</f>
        <v>11.378757360362656</v>
      </c>
      <c r="K8">
        <f t="shared" si="4"/>
        <v>109.27801999537223</v>
      </c>
      <c r="L8">
        <v>291.89999999999998</v>
      </c>
      <c r="M8">
        <v>95.227663884123672</v>
      </c>
    </row>
    <row r="9" spans="1:15" x14ac:dyDescent="0.3">
      <c r="A9" t="s">
        <v>15</v>
      </c>
      <c r="B9">
        <f>L9/$O$11*M9</f>
        <v>99.472372756726614</v>
      </c>
      <c r="C9">
        <v>464.2</v>
      </c>
      <c r="D9">
        <f t="shared" si="0"/>
        <v>4.6666223709699279</v>
      </c>
      <c r="E9">
        <f t="shared" si="1"/>
        <v>8.0154970301785085</v>
      </c>
      <c r="F9" s="2">
        <f>E9*$O$12</f>
        <v>77.139380903059291</v>
      </c>
      <c r="G9">
        <v>193.4</v>
      </c>
      <c r="H9">
        <f t="shared" si="2"/>
        <v>1.9442584371942784</v>
      </c>
      <c r="I9">
        <f t="shared" si="3"/>
        <v>3.3395026403199557</v>
      </c>
      <c r="J9" s="2">
        <f>I9*$O$12</f>
        <v>32.138639092312935</v>
      </c>
      <c r="K9">
        <f t="shared" si="4"/>
        <v>109.27801999537223</v>
      </c>
      <c r="L9">
        <v>137.6</v>
      </c>
      <c r="M9">
        <v>78.998139092272297</v>
      </c>
    </row>
    <row r="10" spans="1:15" x14ac:dyDescent="0.3">
      <c r="A10" t="s">
        <v>16</v>
      </c>
      <c r="B10">
        <f>L10/$O$11*M10</f>
        <v>282.59471834567614</v>
      </c>
      <c r="C10">
        <v>1308.2</v>
      </c>
      <c r="D10">
        <f t="shared" si="0"/>
        <v>4.6292443385292881</v>
      </c>
      <c r="E10">
        <f t="shared" si="1"/>
        <v>7.9512956690643897</v>
      </c>
      <c r="F10" s="2">
        <f>E10*$O$12</f>
        <v>76.521521120836084</v>
      </c>
      <c r="G10">
        <v>560</v>
      </c>
      <c r="H10">
        <f t="shared" si="2"/>
        <v>1.9816364696349191</v>
      </c>
      <c r="I10">
        <f t="shared" si="3"/>
        <v>3.4037040014340758</v>
      </c>
      <c r="J10" s="2">
        <f>I10*$O$12</f>
        <v>32.756498874536163</v>
      </c>
      <c r="K10">
        <f t="shared" si="4"/>
        <v>109.27801999537225</v>
      </c>
      <c r="L10">
        <v>317.10000000000002</v>
      </c>
      <c r="M10">
        <v>97.38691668863234</v>
      </c>
      <c r="N10" t="s">
        <v>8</v>
      </c>
      <c r="O10">
        <v>107.7056261127107</v>
      </c>
    </row>
    <row r="11" spans="1:15" x14ac:dyDescent="0.3">
      <c r="A11" t="s">
        <v>17</v>
      </c>
      <c r="B11">
        <f>L11/$O$19*M11</f>
        <v>294.90259896046564</v>
      </c>
      <c r="C11">
        <v>1344.4</v>
      </c>
      <c r="D11">
        <f t="shared" si="0"/>
        <v>4.5587933261321618</v>
      </c>
      <c r="E11">
        <f t="shared" si="1"/>
        <v>7.8302874031813143</v>
      </c>
      <c r="F11" s="3">
        <f>E11*$O$12</f>
        <v>75.356964178299819</v>
      </c>
      <c r="G11">
        <v>580</v>
      </c>
      <c r="H11">
        <f t="shared" si="2"/>
        <v>1.9667510630442231</v>
      </c>
      <c r="I11">
        <f t="shared" si="3"/>
        <v>3.3781364875373119</v>
      </c>
      <c r="J11" s="3">
        <f>I11*$O$12</f>
        <v>32.51044274279522</v>
      </c>
      <c r="K11">
        <f t="shared" si="4"/>
        <v>107.86740692109504</v>
      </c>
      <c r="L11">
        <v>324.89999999999998</v>
      </c>
      <c r="M11">
        <v>97.908213740095348</v>
      </c>
      <c r="N11" t="s">
        <v>10</v>
      </c>
      <c r="O11">
        <v>109.27801999537201</v>
      </c>
    </row>
    <row r="12" spans="1:15" x14ac:dyDescent="0.3">
      <c r="A12" t="s">
        <v>18</v>
      </c>
      <c r="B12">
        <f>L12/$O$19*M12</f>
        <v>279.05509924210645</v>
      </c>
      <c r="C12">
        <v>992.2</v>
      </c>
      <c r="D12">
        <f t="shared" si="0"/>
        <v>3.5555702178341977</v>
      </c>
      <c r="E12">
        <f t="shared" si="1"/>
        <v>6.1071285088186142</v>
      </c>
      <c r="F12" s="3">
        <f>E12*$O$20</f>
        <v>58.014983275753735</v>
      </c>
      <c r="G12">
        <v>852.6</v>
      </c>
      <c r="H12">
        <f t="shared" si="2"/>
        <v>3.0553105903300111</v>
      </c>
      <c r="I12">
        <f t="shared" si="3"/>
        <v>5.2478711616798535</v>
      </c>
      <c r="J12" s="3">
        <f>I12*$O$20</f>
        <v>49.852423645341297</v>
      </c>
      <c r="K12">
        <f t="shared" si="4"/>
        <v>107.86740692109504</v>
      </c>
      <c r="L12">
        <v>312.3</v>
      </c>
      <c r="M12">
        <v>96.384726043403106</v>
      </c>
      <c r="N12" t="s">
        <v>1</v>
      </c>
      <c r="O12">
        <v>9.6237801115299479</v>
      </c>
    </row>
    <row r="13" spans="1:15" x14ac:dyDescent="0.3">
      <c r="A13" t="s">
        <v>19</v>
      </c>
      <c r="B13">
        <f>L13/$O$19*M13</f>
        <v>154.82051933775799</v>
      </c>
      <c r="C13">
        <v>546.6</v>
      </c>
      <c r="D13">
        <f t="shared" si="0"/>
        <v>3.530539765258971</v>
      </c>
      <c r="E13">
        <f t="shared" si="1"/>
        <v>6.0641356325300082</v>
      </c>
      <c r="F13" s="3">
        <f>E13*$O$20</f>
        <v>57.606570222833952</v>
      </c>
      <c r="G13">
        <v>476.9</v>
      </c>
      <c r="H13">
        <f t="shared" si="2"/>
        <v>3.0803410429052378</v>
      </c>
      <c r="I13">
        <f t="shared" si="3"/>
        <v>5.2908640379684604</v>
      </c>
      <c r="J13" s="3">
        <f>I13*$O$20</f>
        <v>50.26083669826108</v>
      </c>
      <c r="K13">
        <f t="shared" si="4"/>
        <v>107.86740692109504</v>
      </c>
      <c r="L13">
        <v>189.7</v>
      </c>
      <c r="M13">
        <v>88.034201155198559</v>
      </c>
      <c r="N13" t="s">
        <v>20</v>
      </c>
      <c r="O13">
        <v>0</v>
      </c>
    </row>
    <row r="14" spans="1:15" x14ac:dyDescent="0.3">
      <c r="A14" t="s">
        <v>21</v>
      </c>
      <c r="B14">
        <f>L14/$O$27*M14</f>
        <v>235.79506816367794</v>
      </c>
      <c r="C14">
        <v>783.4</v>
      </c>
      <c r="D14">
        <f t="shared" si="0"/>
        <v>3.3223765284870175</v>
      </c>
      <c r="E14">
        <f t="shared" si="1"/>
        <v>5.7065897088406343</v>
      </c>
      <c r="F14" s="4">
        <f>E14*$O$20</f>
        <v>54.210044219950554</v>
      </c>
      <c r="G14">
        <v>749.1</v>
      </c>
      <c r="H14">
        <f t="shared" si="2"/>
        <v>3.1769112298820845</v>
      </c>
      <c r="I14">
        <f t="shared" si="3"/>
        <v>5.4567351938888429</v>
      </c>
      <c r="J14" s="4">
        <f>I14*$O$20</f>
        <v>51.836538326735976</v>
      </c>
      <c r="K14">
        <f t="shared" si="4"/>
        <v>106.04658254668652</v>
      </c>
      <c r="L14">
        <v>267.8</v>
      </c>
      <c r="M14">
        <v>93.372894548622085</v>
      </c>
    </row>
    <row r="15" spans="1:15" x14ac:dyDescent="0.3">
      <c r="A15" t="s">
        <v>22</v>
      </c>
      <c r="B15">
        <f>L15/$O$27*M15</f>
        <v>213.92005710547861</v>
      </c>
      <c r="C15">
        <v>674.9</v>
      </c>
      <c r="D15">
        <f t="shared" si="0"/>
        <v>3.154916884054606</v>
      </c>
      <c r="E15">
        <f t="shared" si="1"/>
        <v>5.4189572038038571</v>
      </c>
      <c r="F15" s="4">
        <f>E15*$O$28</f>
        <v>50.608710621382208</v>
      </c>
      <c r="G15">
        <v>739.3</v>
      </c>
      <c r="H15">
        <f t="shared" si="2"/>
        <v>3.4559639241096018</v>
      </c>
      <c r="I15">
        <f t="shared" si="3"/>
        <v>5.9360424666946097</v>
      </c>
      <c r="J15" s="4">
        <f>I15*$O$28</f>
        <v>55.437871925304293</v>
      </c>
      <c r="K15">
        <f t="shared" si="4"/>
        <v>106.04658254668649</v>
      </c>
      <c r="L15">
        <v>248.6</v>
      </c>
      <c r="M15">
        <v>91.252980668656406</v>
      </c>
    </row>
    <row r="16" spans="1:15" x14ac:dyDescent="0.3">
      <c r="A16" t="s">
        <v>23</v>
      </c>
      <c r="B16">
        <f>L16/$O$27*M16</f>
        <v>287.40496994796302</v>
      </c>
      <c r="C16">
        <v>741.2</v>
      </c>
      <c r="D16">
        <f t="shared" si="0"/>
        <v>2.5789393973743748</v>
      </c>
      <c r="E16">
        <f t="shared" si="1"/>
        <v>4.4296451346176138</v>
      </c>
      <c r="F16" s="4">
        <f>E16*$O$28</f>
        <v>41.369329991370556</v>
      </c>
      <c r="G16">
        <v>1158.8</v>
      </c>
      <c r="H16">
        <f t="shared" si="2"/>
        <v>4.0319414107898339</v>
      </c>
      <c r="I16">
        <f t="shared" si="3"/>
        <v>6.9253545358808548</v>
      </c>
      <c r="J16" s="4">
        <f>I16*$O$28</f>
        <v>64.67725255531596</v>
      </c>
      <c r="K16">
        <f t="shared" si="4"/>
        <v>106.04658254668652</v>
      </c>
      <c r="L16">
        <v>320.2</v>
      </c>
      <c r="M16">
        <v>95.185243191488311</v>
      </c>
    </row>
    <row r="17" spans="1:15" x14ac:dyDescent="0.3">
      <c r="A17" t="s">
        <v>24</v>
      </c>
      <c r="B17">
        <f>L17/$O$27*M17</f>
        <v>725.4706504581211</v>
      </c>
      <c r="C17">
        <v>1423.3</v>
      </c>
      <c r="D17">
        <f t="shared" si="0"/>
        <v>1.9618988019725025</v>
      </c>
      <c r="E17">
        <f t="shared" si="1"/>
        <v>3.3698021332402996</v>
      </c>
      <c r="F17" s="4">
        <f>E17*$O$28</f>
        <v>31.471247068119055</v>
      </c>
      <c r="G17">
        <v>3372.7</v>
      </c>
      <c r="H17">
        <f t="shared" si="2"/>
        <v>4.6489820061917086</v>
      </c>
      <c r="I17">
        <f t="shared" si="3"/>
        <v>7.9851975372581725</v>
      </c>
      <c r="J17" s="4">
        <f>I17*$O$28</f>
        <v>74.575335478567496</v>
      </c>
      <c r="K17">
        <f t="shared" si="4"/>
        <v>106.04658254668655</v>
      </c>
      <c r="L17">
        <v>728.9</v>
      </c>
      <c r="M17">
        <v>105.5476515557763</v>
      </c>
    </row>
    <row r="18" spans="1:15" x14ac:dyDescent="0.3">
      <c r="A18" t="s">
        <v>25</v>
      </c>
      <c r="B18" t="e">
        <f>L18/$O$4*M18</f>
        <v>#VALUE!</v>
      </c>
      <c r="C18" t="s">
        <v>26</v>
      </c>
      <c r="D18" t="e">
        <f t="shared" si="0"/>
        <v>#VALUE!</v>
      </c>
      <c r="E18" t="e">
        <f t="shared" si="1"/>
        <v>#VALUE!</v>
      </c>
      <c r="F18" s="1" t="e">
        <f>E18*$O$5</f>
        <v>#VALUE!</v>
      </c>
      <c r="G18">
        <v>0</v>
      </c>
      <c r="H18" t="e">
        <f t="shared" si="2"/>
        <v>#VALUE!</v>
      </c>
      <c r="I18" t="e">
        <f t="shared" si="3"/>
        <v>#VALUE!</v>
      </c>
      <c r="J18" s="1" t="e">
        <f>I18*$O$5</f>
        <v>#VALUE!</v>
      </c>
      <c r="K18" t="e">
        <f t="shared" si="4"/>
        <v>#VALUE!</v>
      </c>
      <c r="L18">
        <v>277</v>
      </c>
      <c r="M18" t="e">
        <v>#VALUE!</v>
      </c>
      <c r="N18" t="s">
        <v>8</v>
      </c>
      <c r="O18">
        <v>106.3153102525383</v>
      </c>
    </row>
    <row r="19" spans="1:15" x14ac:dyDescent="0.3">
      <c r="A19" t="s">
        <v>27</v>
      </c>
      <c r="B19">
        <f>L19/$O$4*M19</f>
        <v>172.77576667082283</v>
      </c>
      <c r="C19">
        <v>806.9</v>
      </c>
      <c r="D19">
        <f t="shared" si="0"/>
        <v>4.6702151322953069</v>
      </c>
      <c r="E19">
        <f t="shared" si="1"/>
        <v>8.0216680389819768</v>
      </c>
      <c r="F19" s="1">
        <f>E19*$O$5</f>
        <v>77.865739133075436</v>
      </c>
      <c r="G19">
        <v>335.3</v>
      </c>
      <c r="H19">
        <f t="shared" si="2"/>
        <v>1.9406656758689014</v>
      </c>
      <c r="I19">
        <f t="shared" si="3"/>
        <v>3.3333316315164914</v>
      </c>
      <c r="J19" s="1">
        <f>I19*$O$5</f>
        <v>32.356403930251822</v>
      </c>
      <c r="K19">
        <f t="shared" si="4"/>
        <v>110.22214306332725</v>
      </c>
      <c r="L19">
        <v>240</v>
      </c>
      <c r="M19">
        <v>79.348813632781003</v>
      </c>
      <c r="N19" t="s">
        <v>10</v>
      </c>
      <c r="O19">
        <v>107.8674069210948</v>
      </c>
    </row>
    <row r="20" spans="1:15" x14ac:dyDescent="0.3">
      <c r="N20" t="s">
        <v>1</v>
      </c>
      <c r="O20">
        <v>9.4995517438319581</v>
      </c>
    </row>
    <row r="21" spans="1:15" x14ac:dyDescent="0.3">
      <c r="A21" t="s">
        <v>28</v>
      </c>
      <c r="B21">
        <v>0.58220000000000005</v>
      </c>
      <c r="N21" t="s">
        <v>20</v>
      </c>
      <c r="O21">
        <v>146.76520029802069</v>
      </c>
    </row>
    <row r="22" spans="1:15" x14ac:dyDescent="0.3">
      <c r="A22" t="s">
        <v>29</v>
      </c>
      <c r="B22">
        <v>0.62939999999999996</v>
      </c>
    </row>
    <row r="26" spans="1:15" x14ac:dyDescent="0.3">
      <c r="N26" t="s">
        <v>8</v>
      </c>
      <c r="O26">
        <v>247.16074964633651</v>
      </c>
    </row>
    <row r="27" spans="1:15" x14ac:dyDescent="0.3">
      <c r="N27" t="s">
        <v>10</v>
      </c>
      <c r="O27">
        <v>106.0465825466863</v>
      </c>
    </row>
    <row r="28" spans="1:15" x14ac:dyDescent="0.3">
      <c r="N28" t="s">
        <v>1</v>
      </c>
      <c r="O28">
        <v>9.3391973248759435</v>
      </c>
    </row>
    <row r="29" spans="1:15" x14ac:dyDescent="0.3">
      <c r="N29" t="s">
        <v>20</v>
      </c>
      <c r="O29">
        <v>144.28777304130469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H1" sqref="H1:H13"/>
    </sheetView>
  </sheetViews>
  <sheetFormatPr defaultRowHeight="14.4" x14ac:dyDescent="0.3"/>
  <cols>
    <col min="2" max="2" width="15.109375" bestFit="1" customWidth="1"/>
  </cols>
  <sheetData>
    <row r="1" spans="1:8" x14ac:dyDescent="0.3">
      <c r="A1" s="5" t="s">
        <v>30</v>
      </c>
      <c r="B1" s="7">
        <v>45658.380393518521</v>
      </c>
      <c r="C1" s="6">
        <f t="shared" ref="C1:C20" si="0">(B1-$B$1)*86400/60</f>
        <v>0</v>
      </c>
      <c r="E1" t="s">
        <v>31</v>
      </c>
      <c r="F1" s="6">
        <f>C1</f>
        <v>0</v>
      </c>
      <c r="G1" t="s">
        <v>32</v>
      </c>
      <c r="H1">
        <f>0</f>
        <v>0</v>
      </c>
    </row>
    <row r="2" spans="1:8" x14ac:dyDescent="0.3">
      <c r="A2" s="5" t="s">
        <v>33</v>
      </c>
      <c r="B2" s="7">
        <v>45658.773564814823</v>
      </c>
      <c r="C2" s="6">
        <f t="shared" si="0"/>
        <v>566.16666667512618</v>
      </c>
      <c r="E2" t="s">
        <v>34</v>
      </c>
      <c r="F2" s="6">
        <f>C2</f>
        <v>566.16666667512618</v>
      </c>
      <c r="G2" t="s">
        <v>35</v>
      </c>
      <c r="H2" s="6">
        <f>C6</f>
        <v>108.5666666587349</v>
      </c>
    </row>
    <row r="3" spans="1:8" x14ac:dyDescent="0.3">
      <c r="A3" s="5" t="s">
        <v>36</v>
      </c>
      <c r="B3" s="7">
        <v>45658.980763888889</v>
      </c>
      <c r="C3" s="6">
        <f t="shared" si="0"/>
        <v>864.53333333018236</v>
      </c>
      <c r="E3" t="s">
        <v>37</v>
      </c>
      <c r="F3" s="6">
        <f>C3</f>
        <v>864.53333333018236</v>
      </c>
      <c r="G3" t="s">
        <v>38</v>
      </c>
      <c r="H3" s="6">
        <f>C7</f>
        <v>311.91666666883975</v>
      </c>
    </row>
    <row r="4" spans="1:8" x14ac:dyDescent="0.3">
      <c r="A4" s="5" t="s">
        <v>39</v>
      </c>
      <c r="B4" s="7">
        <v>45659.444016203714</v>
      </c>
      <c r="C4" s="6">
        <f t="shared" si="0"/>
        <v>1531.6166666778736</v>
      </c>
      <c r="E4" t="s">
        <v>40</v>
      </c>
      <c r="F4" s="6">
        <f>C4</f>
        <v>1531.6166666778736</v>
      </c>
      <c r="G4" t="s">
        <v>41</v>
      </c>
      <c r="H4" s="6">
        <f>C8</f>
        <v>453.6833333352115</v>
      </c>
    </row>
    <row r="5" spans="1:8" x14ac:dyDescent="0.3">
      <c r="A5" s="5" t="s">
        <v>42</v>
      </c>
      <c r="B5" s="7">
        <v>45658.369618055563</v>
      </c>
      <c r="C5" s="6">
        <f t="shared" si="0"/>
        <v>-15.516666658222675</v>
      </c>
      <c r="G5" t="s">
        <v>43</v>
      </c>
      <c r="H5" s="6">
        <f>C10</f>
        <v>569.14999999338761</v>
      </c>
    </row>
    <row r="6" spans="1:8" x14ac:dyDescent="0.3">
      <c r="A6" s="5" t="s">
        <v>44</v>
      </c>
      <c r="B6" s="7">
        <v>45658.455787037034</v>
      </c>
      <c r="C6" s="6">
        <f t="shared" si="0"/>
        <v>108.5666666587349</v>
      </c>
      <c r="G6" t="s">
        <v>45</v>
      </c>
      <c r="H6" s="6">
        <f>C11</f>
        <v>855.46666666050442</v>
      </c>
    </row>
    <row r="7" spans="1:8" x14ac:dyDescent="0.3">
      <c r="A7" s="5" t="s">
        <v>38</v>
      </c>
      <c r="B7" s="7">
        <v>45658.597002314818</v>
      </c>
      <c r="C7" s="6">
        <f t="shared" si="0"/>
        <v>311.91666666883975</v>
      </c>
      <c r="G7" t="s">
        <v>46</v>
      </c>
      <c r="H7" s="6">
        <f>C12</f>
        <v>862.40000000107102</v>
      </c>
    </row>
    <row r="8" spans="1:8" x14ac:dyDescent="0.3">
      <c r="A8" s="5" t="s">
        <v>47</v>
      </c>
      <c r="B8" s="7">
        <v>45658.695451388892</v>
      </c>
      <c r="C8" s="6">
        <f t="shared" si="0"/>
        <v>453.6833333352115</v>
      </c>
      <c r="G8" t="s">
        <v>48</v>
      </c>
      <c r="H8" s="6">
        <f>C14</f>
        <v>867.51666664844379</v>
      </c>
    </row>
    <row r="9" spans="1:8" x14ac:dyDescent="0.3">
      <c r="C9" s="6">
        <f t="shared" si="0"/>
        <v>-65748067.766666666</v>
      </c>
      <c r="G9" t="s">
        <v>49</v>
      </c>
      <c r="H9" s="6">
        <f>C15</f>
        <v>1521.0166666621808</v>
      </c>
    </row>
    <row r="10" spans="1:8" x14ac:dyDescent="0.3">
      <c r="A10" s="5" t="s">
        <v>50</v>
      </c>
      <c r="B10" s="7">
        <v>45658.775636574072</v>
      </c>
      <c r="C10" s="6">
        <f t="shared" si="0"/>
        <v>569.14999999338761</v>
      </c>
      <c r="G10" t="s">
        <v>51</v>
      </c>
      <c r="H10" s="6">
        <f>C16</f>
        <v>1529.7999999951571</v>
      </c>
    </row>
    <row r="11" spans="1:8" x14ac:dyDescent="0.3">
      <c r="A11" s="5" t="s">
        <v>52</v>
      </c>
      <c r="B11" s="7">
        <v>45658.97446759259</v>
      </c>
      <c r="C11" s="6">
        <f t="shared" si="0"/>
        <v>855.46666666050442</v>
      </c>
      <c r="G11" t="s">
        <v>53</v>
      </c>
      <c r="H11" s="6">
        <f>C18</f>
        <v>1547.7166666695848</v>
      </c>
    </row>
    <row r="12" spans="1:8" x14ac:dyDescent="0.3">
      <c r="A12" s="5" t="s">
        <v>54</v>
      </c>
      <c r="B12" s="7">
        <v>45658.97928240741</v>
      </c>
      <c r="C12" s="6">
        <f t="shared" si="0"/>
        <v>862.40000000107102</v>
      </c>
      <c r="G12" t="s">
        <v>55</v>
      </c>
      <c r="H12" s="6">
        <f>C19</f>
        <v>1573.6166666680947</v>
      </c>
    </row>
    <row r="13" spans="1:8" x14ac:dyDescent="0.3">
      <c r="C13" s="6">
        <f t="shared" si="0"/>
        <v>-65748067.766666666</v>
      </c>
      <c r="G13" t="s">
        <v>56</v>
      </c>
      <c r="H13" s="6">
        <f>C20</f>
        <v>1657.9666666674893</v>
      </c>
    </row>
    <row r="14" spans="1:8" x14ac:dyDescent="0.3">
      <c r="A14" s="5" t="s">
        <v>57</v>
      </c>
      <c r="B14" s="7">
        <v>45658.982835648138</v>
      </c>
      <c r="C14" s="6">
        <f t="shared" si="0"/>
        <v>867.51666664844379</v>
      </c>
    </row>
    <row r="15" spans="1:8" x14ac:dyDescent="0.3">
      <c r="A15" s="5" t="s">
        <v>58</v>
      </c>
      <c r="B15" s="7">
        <v>45659.436655092592</v>
      </c>
      <c r="C15" s="6">
        <f t="shared" si="0"/>
        <v>1521.0166666621808</v>
      </c>
    </row>
    <row r="16" spans="1:8" x14ac:dyDescent="0.3">
      <c r="A16" s="5" t="s">
        <v>59</v>
      </c>
      <c r="B16" s="7">
        <v>45659.442754629628</v>
      </c>
      <c r="C16" s="6">
        <f t="shared" si="0"/>
        <v>1529.7999999951571</v>
      </c>
    </row>
    <row r="17" spans="1:3" x14ac:dyDescent="0.3">
      <c r="C17" s="6">
        <f t="shared" si="0"/>
        <v>-65748067.766666666</v>
      </c>
    </row>
    <row r="18" spans="1:3" x14ac:dyDescent="0.3">
      <c r="A18" s="5" t="s">
        <v>60</v>
      </c>
      <c r="B18" s="7">
        <v>45659.455196759263</v>
      </c>
      <c r="C18" s="6">
        <f t="shared" si="0"/>
        <v>1547.7166666695848</v>
      </c>
    </row>
    <row r="19" spans="1:3" x14ac:dyDescent="0.3">
      <c r="A19" s="5" t="s">
        <v>61</v>
      </c>
      <c r="B19" s="7">
        <v>45659.473182870373</v>
      </c>
      <c r="C19" s="6">
        <f t="shared" si="0"/>
        <v>1573.6166666680947</v>
      </c>
    </row>
    <row r="20" spans="1:3" x14ac:dyDescent="0.3">
      <c r="A20" s="5" t="s">
        <v>62</v>
      </c>
      <c r="B20" s="7">
        <v>45659.531759259262</v>
      </c>
      <c r="C20" s="6">
        <f t="shared" si="0"/>
        <v>1657.9666666674893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abSelected="1" workbookViewId="0">
      <selection activeCell="M8" sqref="M8"/>
    </sheetView>
  </sheetViews>
  <sheetFormatPr defaultColWidth="8.88671875" defaultRowHeight="14.4" x14ac:dyDescent="0.3"/>
  <cols>
    <col min="2" max="2" width="12.88671875" bestFit="1" customWidth="1"/>
  </cols>
  <sheetData>
    <row r="1" spans="1:3" x14ac:dyDescent="0.3">
      <c r="A1" t="s">
        <v>63</v>
      </c>
      <c r="B1" t="s">
        <v>64</v>
      </c>
      <c r="C1" t="s">
        <v>5</v>
      </c>
    </row>
    <row r="2" spans="1:3" x14ac:dyDescent="0.3">
      <c r="A2">
        <v>0</v>
      </c>
      <c r="B2">
        <v>110.222143063327</v>
      </c>
      <c r="C2" s="1">
        <v>0</v>
      </c>
    </row>
    <row r="3" spans="1:3" x14ac:dyDescent="0.3">
      <c r="A3">
        <v>108.5666666587349</v>
      </c>
      <c r="B3">
        <v>106.8577100502379</v>
      </c>
      <c r="C3" s="1">
        <v>3.364433013089188</v>
      </c>
    </row>
    <row r="4" spans="1:3" x14ac:dyDescent="0.3">
      <c r="A4">
        <v>311.91666666883981</v>
      </c>
      <c r="B4">
        <v>102.4902292100512</v>
      </c>
      <c r="C4" s="1">
        <v>7.7319138532758034</v>
      </c>
    </row>
    <row r="5" spans="1:3" x14ac:dyDescent="0.3">
      <c r="A5">
        <v>453.6833333352115</v>
      </c>
      <c r="B5">
        <v>100.5766247476659</v>
      </c>
      <c r="C5" s="1">
        <v>9.6455183156611461</v>
      </c>
    </row>
    <row r="6" spans="1:3" x14ac:dyDescent="0.3">
      <c r="A6">
        <v>569.14999999338761</v>
      </c>
      <c r="B6">
        <v>97.899262635009364</v>
      </c>
      <c r="C6" s="2">
        <v>11.378757360362631</v>
      </c>
    </row>
    <row r="7" spans="1:3" x14ac:dyDescent="0.3">
      <c r="A7">
        <v>855.46666666050442</v>
      </c>
      <c r="B7">
        <v>77.139380903059134</v>
      </c>
      <c r="C7" s="2">
        <v>32.138639092312893</v>
      </c>
    </row>
    <row r="8" spans="1:3" x14ac:dyDescent="0.3">
      <c r="A8">
        <v>862.40000000107102</v>
      </c>
      <c r="B8">
        <v>76.521521120835942</v>
      </c>
      <c r="C8" s="2">
        <v>32.756498874536099</v>
      </c>
    </row>
    <row r="9" spans="1:3" x14ac:dyDescent="0.3">
      <c r="A9">
        <v>867.51666665892117</v>
      </c>
      <c r="B9">
        <v>75.356964178299663</v>
      </c>
      <c r="C9" s="3">
        <v>32.510442742795149</v>
      </c>
    </row>
    <row r="10" spans="1:3" x14ac:dyDescent="0.3">
      <c r="A10">
        <v>1521.016666662181</v>
      </c>
      <c r="B10">
        <v>58.014983275753607</v>
      </c>
      <c r="C10" s="3">
        <v>49.852423645341197</v>
      </c>
    </row>
    <row r="11" spans="1:3" x14ac:dyDescent="0.3">
      <c r="A11">
        <v>1529.7999999951569</v>
      </c>
      <c r="B11">
        <v>57.606570222833817</v>
      </c>
      <c r="C11" s="3">
        <v>50.260836698260967</v>
      </c>
    </row>
    <row r="12" spans="1:3" x14ac:dyDescent="0.3">
      <c r="A12">
        <v>1547.716666659107</v>
      </c>
      <c r="B12">
        <v>54.210044219950419</v>
      </c>
      <c r="C12" s="4">
        <v>51.836538326735841</v>
      </c>
    </row>
    <row r="13" spans="1:3" x14ac:dyDescent="0.3">
      <c r="A13">
        <v>1573.6166666680949</v>
      </c>
      <c r="B13">
        <v>50.608710621382087</v>
      </c>
      <c r="C13" s="4">
        <v>55.437871925304172</v>
      </c>
    </row>
    <row r="14" spans="1:3" x14ac:dyDescent="0.3">
      <c r="A14">
        <v>1657.9666666674891</v>
      </c>
      <c r="B14">
        <v>41.369329991370464</v>
      </c>
      <c r="C14" s="4">
        <v>64.677252555315818</v>
      </c>
    </row>
    <row r="15" spans="1:3" x14ac:dyDescent="0.3">
      <c r="A15">
        <v>1812.6</v>
      </c>
      <c r="B15">
        <v>31.47124706811897</v>
      </c>
      <c r="C15">
        <v>74.575335478567297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C4_E10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2025-02-09T17:41:44Z</dcterms:created>
  <dcterms:modified xsi:type="dcterms:W3CDTF">2026-01-12T11:17:07Z</dcterms:modified>
</cp:coreProperties>
</file>
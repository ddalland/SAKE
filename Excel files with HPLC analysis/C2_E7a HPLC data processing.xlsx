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4" documentId="11_28753BE7A367580526CAA001D2ACA87F4BD2120C" xr6:coauthVersionLast="47" xr6:coauthVersionMax="47" xr10:uidLastSave="{280D1500-AFD5-4028-9ADD-1CB367E8667C}"/>
  <bookViews>
    <workbookView xWindow="29745" yWindow="1995" windowWidth="17280" windowHeight="8880" xr2:uid="{00000000-000D-0000-FFFF-FFFF00000000}"/>
  </bookViews>
  <sheets>
    <sheet name="C2_E7a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8" i="2"/>
  <c r="C17" i="2"/>
  <c r="C15" i="2"/>
  <c r="C14" i="2"/>
  <c r="C13" i="2"/>
  <c r="J12" i="2"/>
  <c r="J11" i="2"/>
  <c r="C11" i="2"/>
  <c r="J6" i="2" s="1"/>
  <c r="J10" i="2"/>
  <c r="C10" i="2"/>
  <c r="J5" i="2" s="1"/>
  <c r="J9" i="2"/>
  <c r="C9" i="2"/>
  <c r="J4" i="2" s="1"/>
  <c r="J8" i="2"/>
  <c r="J7" i="2"/>
  <c r="C7" i="2"/>
  <c r="J3" i="2" s="1"/>
  <c r="C6" i="2"/>
  <c r="C4" i="2"/>
  <c r="G4" i="2" s="1"/>
  <c r="C3" i="2"/>
  <c r="G3" i="2" s="1"/>
  <c r="J2" i="2"/>
  <c r="C2" i="2"/>
  <c r="G2" i="2" s="1"/>
  <c r="C1" i="2"/>
  <c r="G1" i="2" s="1"/>
  <c r="H17" i="1"/>
  <c r="H15" i="1"/>
  <c r="I15" i="1" s="1"/>
  <c r="J15" i="1" s="1"/>
  <c r="D15" i="1"/>
  <c r="E15" i="1" s="1"/>
  <c r="F15" i="1" s="1"/>
  <c r="H14" i="1"/>
  <c r="I14" i="1" s="1"/>
  <c r="J14" i="1" s="1"/>
  <c r="D14" i="1"/>
  <c r="E14" i="1" s="1"/>
  <c r="F14" i="1" s="1"/>
  <c r="K14" i="1" s="1"/>
  <c r="J13" i="1"/>
  <c r="I13" i="1"/>
  <c r="H13" i="1"/>
  <c r="D13" i="1"/>
  <c r="E13" i="1" s="1"/>
  <c r="F13" i="1" s="1"/>
  <c r="K13" i="1" s="1"/>
  <c r="H12" i="1"/>
  <c r="I12" i="1" s="1"/>
  <c r="J12" i="1" s="1"/>
  <c r="D12" i="1"/>
  <c r="E12" i="1" s="1"/>
  <c r="F12" i="1" s="1"/>
  <c r="K12" i="1" s="1"/>
  <c r="H11" i="1"/>
  <c r="I11" i="1" s="1"/>
  <c r="J11" i="1" s="1"/>
  <c r="D11" i="1"/>
  <c r="E11" i="1" s="1"/>
  <c r="F11" i="1" s="1"/>
  <c r="H10" i="1"/>
  <c r="I10" i="1" s="1"/>
  <c r="J10" i="1" s="1"/>
  <c r="D10" i="1"/>
  <c r="E10" i="1" s="1"/>
  <c r="F10" i="1" s="1"/>
  <c r="K10" i="1" s="1"/>
  <c r="H9" i="1"/>
  <c r="I9" i="1" s="1"/>
  <c r="J9" i="1" s="1"/>
  <c r="E9" i="1"/>
  <c r="F9" i="1" s="1"/>
  <c r="K9" i="1" s="1"/>
  <c r="D9" i="1"/>
  <c r="H8" i="1"/>
  <c r="I8" i="1" s="1"/>
  <c r="J8" i="1" s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H6" i="1"/>
  <c r="I6" i="1" s="1"/>
  <c r="J6" i="1" s="1"/>
  <c r="D6" i="1"/>
  <c r="E6" i="1" s="1"/>
  <c r="F6" i="1" s="1"/>
  <c r="K6" i="1" s="1"/>
  <c r="H5" i="1"/>
  <c r="I5" i="1" s="1"/>
  <c r="J5" i="1" s="1"/>
  <c r="D5" i="1"/>
  <c r="E5" i="1" s="1"/>
  <c r="F5" i="1" s="1"/>
  <c r="K5" i="1" s="1"/>
  <c r="I4" i="1"/>
  <c r="J4" i="1" s="1"/>
  <c r="H4" i="1"/>
  <c r="D4" i="1"/>
  <c r="E4" i="1" s="1"/>
  <c r="F4" i="1" s="1"/>
  <c r="K15" i="1" l="1"/>
  <c r="K4" i="1"/>
  <c r="K11" i="1"/>
  <c r="J1" i="2"/>
</calcChain>
</file>

<file path=xl/sharedStrings.xml><?xml version="1.0" encoding="utf-8"?>
<sst xmlns="http://schemas.openxmlformats.org/spreadsheetml/2006/main" count="75" uniqueCount="59">
  <si>
    <t>filename</t>
  </si>
  <si>
    <t>Biphenyl</t>
  </si>
  <si>
    <t>4-NO2-ArOPh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</si>
  <si>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</si>
  <si>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</si>
  <si>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</si>
  <si>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</si>
  <si>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</si>
  <si>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</si>
  <si>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C2_E7a-S0</t>
  </si>
  <si>
    <t>Ar-NO2-Oph</t>
  </si>
  <si>
    <t>C2_E7a-S1</t>
  </si>
  <si>
    <t>C2_E7a-S2</t>
  </si>
  <si>
    <t>C2_E7a-S3</t>
  </si>
  <si>
    <t>C2_E7a-S4</t>
  </si>
  <si>
    <t>C2_E7a-S5</t>
  </si>
  <si>
    <t>C2_E7a-S6</t>
  </si>
  <si>
    <t>C2_E7a-S7</t>
  </si>
  <si>
    <t>C2_E7a-S8</t>
  </si>
  <si>
    <t>C2_E7a-S9</t>
  </si>
  <si>
    <t>Phenol</t>
  </si>
  <si>
    <t>C2_E7a-S10</t>
  </si>
  <si>
    <t>C2_E7a-S11</t>
  </si>
  <si>
    <t>CC 4NO2-ArOPh 254 nm</t>
  </si>
  <si>
    <t>CC Product 254 nm</t>
  </si>
  <si>
    <t>SUM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</si>
  <si>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</si>
  <si>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</si>
  <si>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</si>
  <si>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</si>
  <si>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</si>
  <si>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</si>
  <si>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</si>
  <si>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</si>
  <si>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</si>
  <si>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</si>
  <si>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</si>
  <si>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</si>
  <si>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</si>
  <si>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</si>
  <si>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</si>
  <si>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</si>
  <si>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S6</t>
  </si>
  <si>
    <t>S7</t>
  </si>
  <si>
    <t>S3:</t>
  </si>
  <si>
    <t>S8</t>
  </si>
  <si>
    <t>S4:</t>
  </si>
  <si>
    <t>S9</t>
  </si>
  <si>
    <t>S5:</t>
  </si>
  <si>
    <t>S10</t>
  </si>
  <si>
    <t>S11</t>
  </si>
  <si>
    <t>S6:</t>
  </si>
  <si>
    <t>S7:</t>
  </si>
  <si>
    <t>S8:</t>
  </si>
  <si>
    <t>S9:</t>
  </si>
  <si>
    <t>S10:</t>
  </si>
  <si>
    <t>S11:</t>
  </si>
  <si>
    <t>Time / min</t>
  </si>
  <si>
    <t>4NO2-ArOPh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</si>
</sst>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4NO2-ArOPh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HPLC'!$A$2:$A$13</c:f>
              <c:numCache>
                <c:formatCode>General</c:formatCode>
                <c:ptCount val="12"/>
                <c:pt idx="0">
                  <c:v>0</c:v>
                </c:pt>
                <c:pt idx="1">
                  <c:v>1.6500000000000179</c:v>
                </c:pt>
                <c:pt idx="2">
                  <c:v>3.3000000000000358</c:v>
                </c:pt>
                <c:pt idx="3">
                  <c:v>8.3166666666667144</c:v>
                </c:pt>
                <c:pt idx="4">
                  <c:v>9.5166666666666622</c:v>
                </c:pt>
                <c:pt idx="5">
                  <c:v>10.850000000000019</c:v>
                </c:pt>
                <c:pt idx="6">
                  <c:v>12.8</c:v>
                </c:pt>
                <c:pt idx="7">
                  <c:v>14.61666666666666</c:v>
                </c:pt>
                <c:pt idx="8">
                  <c:v>18.10000000000003</c:v>
                </c:pt>
                <c:pt idx="9">
                  <c:v>23.700000000000031</c:v>
                </c:pt>
                <c:pt idx="10">
                  <c:v>24.733333333333341</c:v>
                </c:pt>
                <c:pt idx="11">
                  <c:v>31.466666666666651</c:v>
                </c:pt>
              </c:numCache>
            </c:numRef>
          </c:xVal>
          <c:yVal>
            <c:numRef>
              <c:f>'Concentration vs time HPLC'!$B$2:$B$13</c:f>
              <c:numCache>
                <c:formatCode>General</c:formatCode>
                <c:ptCount val="12"/>
                <c:pt idx="0">
                  <c:v>104.4969170370866</c:v>
                </c:pt>
                <c:pt idx="1">
                  <c:v>91.103241651549027</c:v>
                </c:pt>
                <c:pt idx="2">
                  <c:v>85.57619810876885</c:v>
                </c:pt>
                <c:pt idx="3">
                  <c:v>54.17024907710136</c:v>
                </c:pt>
                <c:pt idx="4">
                  <c:v>43.726892573727397</c:v>
                </c:pt>
                <c:pt idx="5">
                  <c:v>36.457441892096973</c:v>
                </c:pt>
                <c:pt idx="6">
                  <c:v>30.88129806596756</c:v>
                </c:pt>
                <c:pt idx="7">
                  <c:v>26.314995971655701</c:v>
                </c:pt>
                <c:pt idx="8">
                  <c:v>22.22723294332966</c:v>
                </c:pt>
                <c:pt idx="9">
                  <c:v>4.8236261216531719</c:v>
                </c:pt>
                <c:pt idx="10">
                  <c:v>2.582569364610765</c:v>
                </c:pt>
                <c:pt idx="11">
                  <c:v>9.3990504994115764E-2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8-46DC-A08C-E73AF635C916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HPLC'!$A$2:$A$13</c:f>
              <c:numCache>
                <c:formatCode>General</c:formatCode>
                <c:ptCount val="12"/>
                <c:pt idx="0">
                  <c:v>0</c:v>
                </c:pt>
                <c:pt idx="1">
                  <c:v>1.6500000000000179</c:v>
                </c:pt>
                <c:pt idx="2">
                  <c:v>3.3000000000000358</c:v>
                </c:pt>
                <c:pt idx="3">
                  <c:v>8.3166666666667144</c:v>
                </c:pt>
                <c:pt idx="4">
                  <c:v>9.5166666666666622</c:v>
                </c:pt>
                <c:pt idx="5">
                  <c:v>10.850000000000019</c:v>
                </c:pt>
                <c:pt idx="6">
                  <c:v>12.8</c:v>
                </c:pt>
                <c:pt idx="7">
                  <c:v>14.61666666666666</c:v>
                </c:pt>
                <c:pt idx="8">
                  <c:v>18.10000000000003</c:v>
                </c:pt>
                <c:pt idx="9">
                  <c:v>23.700000000000031</c:v>
                </c:pt>
                <c:pt idx="10">
                  <c:v>24.733333333333341</c:v>
                </c:pt>
                <c:pt idx="11">
                  <c:v>31.466666666666651</c:v>
                </c:pt>
              </c:numCache>
            </c:numRef>
          </c:xVal>
          <c:yVal>
            <c:numRef>
              <c:f>'Concentration vs time HPLC'!$C$2:$C$13</c:f>
              <c:numCache>
                <c:formatCode>General</c:formatCode>
                <c:ptCount val="12"/>
                <c:pt idx="0">
                  <c:v>0</c:v>
                </c:pt>
                <c:pt idx="1">
                  <c:v>13.951332412036621</c:v>
                </c:pt>
                <c:pt idx="2">
                  <c:v>18.92492541323028</c:v>
                </c:pt>
                <c:pt idx="3">
                  <c:v>50.665452139947249</c:v>
                </c:pt>
                <c:pt idx="4">
                  <c:v>60.77625307411536</c:v>
                </c:pt>
                <c:pt idx="5">
                  <c:v>68.416707091287563</c:v>
                </c:pt>
                <c:pt idx="6">
                  <c:v>73.526644827902814</c:v>
                </c:pt>
                <c:pt idx="7">
                  <c:v>77.910504091752486</c:v>
                </c:pt>
                <c:pt idx="8">
                  <c:v>81.466561142968914</c:v>
                </c:pt>
                <c:pt idx="9">
                  <c:v>98.103396980515257</c:v>
                </c:pt>
                <c:pt idx="10">
                  <c:v>99.774561295534909</c:v>
                </c:pt>
                <c:pt idx="11">
                  <c:v>102.2587526733635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98-46DC-A08C-E73AF635C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512048"/>
        <c:axId val="1501513488"/>
      </c:scatterChart>
      <c:valAx>
        <c:axId val="150151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13488"/>
        <c:crosses val="autoZero"/>
        <c:crossBetween val="midCat"/>
      </c:valAx>
      <c:valAx>
        <c:axId val="150151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12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180022</xdr:rowOff>
    </xdr:from>
    <xdr:to>
      <xdr:col>10</xdr:col>
      <xdr:colOff>495300</xdr:colOff>
      <xdr:row>16</xdr:row>
      <xdr:rowOff>25717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EB3092-41F2-8981-6797-65A89AC49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M2" sqref="M2:N2"/>
    </sheetView>
  </sheetViews>
  <sheetFormatPr defaultRowHeight="14.4" x14ac:dyDescent="0.3"/>
  <cols>
    <col min="1" max="1" width="10" bestFit="1" customWidth="1"/>
    <col min="3" max="3" width="11.88671875" bestFit="1" customWidth="1"/>
    <col min="5" max="5" width="13.33203125" bestFit="1" customWidth="1"/>
    <col min="7" max="7" width="11.6640625" bestFit="1" customWidth="1"/>
    <col min="13" max="13" width="10.44140625" bestFit="1" customWidth="1"/>
    <col min="14" max="14" width="23.441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6.1808147827784197</v>
      </c>
      <c r="C3">
        <v>3.7338212132453901</v>
      </c>
      <c r="G3">
        <v>6.7091119448343903</v>
      </c>
      <c r="M3" t="s">
        <v>8</v>
      </c>
      <c r="N3">
        <v>34.435841692115417</v>
      </c>
    </row>
    <row r="4" spans="1:14" x14ac:dyDescent="0.3">
      <c r="A4" s="6" t="s">
        <v>9</v>
      </c>
      <c r="B4" s="6">
        <v>309.23147583007801</v>
      </c>
      <c r="C4" s="6">
        <v>1653.36584472656</v>
      </c>
      <c r="D4" s="6">
        <f t="shared" ref="D4:D15" si="0">C4/B4</f>
        <v>5.3466932507060854</v>
      </c>
      <c r="E4" s="6">
        <f t="shared" ref="E4:E15" si="1">D4/$B$18</f>
        <v>8.3581260758263021</v>
      </c>
      <c r="F4" s="6">
        <f>E4*$N$5</f>
        <v>104.4969170370866</v>
      </c>
      <c r="G4" s="6">
        <v>0</v>
      </c>
      <c r="H4" s="6">
        <f t="shared" ref="H4:H15" si="2">G4/B4</f>
        <v>0</v>
      </c>
      <c r="I4" s="6">
        <f t="shared" ref="I4:I15" si="3">H4/$B$17</f>
        <v>0</v>
      </c>
      <c r="J4" s="6">
        <f>I4*$N$5</f>
        <v>0</v>
      </c>
      <c r="K4">
        <f t="shared" ref="K4:K15" si="4">SUM(F4,J4)</f>
        <v>104.4969170370866</v>
      </c>
      <c r="M4" t="s">
        <v>10</v>
      </c>
      <c r="N4">
        <v>107.2495657360179</v>
      </c>
    </row>
    <row r="5" spans="1:14" x14ac:dyDescent="0.3">
      <c r="A5" s="6" t="s">
        <v>11</v>
      </c>
      <c r="B5" s="6">
        <v>301.66259765625</v>
      </c>
      <c r="C5" s="6">
        <v>1406.16760253906</v>
      </c>
      <c r="D5" s="6">
        <f t="shared" si="0"/>
        <v>4.6613919440600107</v>
      </c>
      <c r="E5" s="6">
        <f t="shared" si="1"/>
        <v>7.2868406191339856</v>
      </c>
      <c r="F5" s="6">
        <f>E5*$N$5</f>
        <v>91.103241651549027</v>
      </c>
      <c r="G5" s="6">
        <v>153.83628845214901</v>
      </c>
      <c r="H5" s="6">
        <f t="shared" si="2"/>
        <v>0.50996142593536986</v>
      </c>
      <c r="I5" s="6">
        <f t="shared" si="3"/>
        <v>1.1158893346506999</v>
      </c>
      <c r="J5" s="6">
        <f>I5*$N$5</f>
        <v>13.951332412036622</v>
      </c>
      <c r="K5">
        <f t="shared" si="4"/>
        <v>105.05457406358565</v>
      </c>
      <c r="M5" t="s">
        <v>1</v>
      </c>
      <c r="N5">
        <v>12.5024336901685</v>
      </c>
    </row>
    <row r="6" spans="1:14" x14ac:dyDescent="0.3">
      <c r="A6" s="6" t="s">
        <v>12</v>
      </c>
      <c r="B6" s="6">
        <v>240.68835449218801</v>
      </c>
      <c r="C6" s="6">
        <v>1053.87683105469</v>
      </c>
      <c r="D6" s="6">
        <f t="shared" si="0"/>
        <v>4.3785950229216244</v>
      </c>
      <c r="E6" s="6">
        <f t="shared" si="1"/>
        <v>6.8447632060678822</v>
      </c>
      <c r="F6" s="6">
        <f>E6*$N$5</f>
        <v>85.57619810876885</v>
      </c>
      <c r="G6" s="6">
        <v>166.49871826171901</v>
      </c>
      <c r="H6" s="6">
        <f t="shared" si="2"/>
        <v>0.69176059063182893</v>
      </c>
      <c r="I6" s="6">
        <f t="shared" si="3"/>
        <v>1.5136993230455775</v>
      </c>
      <c r="J6" s="6">
        <f>I6*$N$5</f>
        <v>18.92492541323028</v>
      </c>
      <c r="K6">
        <f t="shared" si="4"/>
        <v>104.50112352199913</v>
      </c>
      <c r="N6">
        <v>0</v>
      </c>
    </row>
    <row r="7" spans="1:14" x14ac:dyDescent="0.3">
      <c r="A7" t="s">
        <v>13</v>
      </c>
      <c r="B7">
        <v>340.51724243164102</v>
      </c>
      <c r="C7">
        <v>951.95111083984398</v>
      </c>
      <c r="D7">
        <f t="shared" si="0"/>
        <v>2.7956032535737116</v>
      </c>
      <c r="E7">
        <f t="shared" si="1"/>
        <v>4.3701786049299853</v>
      </c>
      <c r="F7">
        <f>E7*$N$12</f>
        <v>54.170249077101374</v>
      </c>
      <c r="G7">
        <v>636.07098388671898</v>
      </c>
      <c r="H7">
        <f t="shared" si="2"/>
        <v>1.8679552886794286</v>
      </c>
      <c r="I7">
        <f t="shared" si="3"/>
        <v>4.0874295157099096</v>
      </c>
      <c r="J7">
        <f>I7*$N$12</f>
        <v>50.665452139947256</v>
      </c>
      <c r="K7">
        <f t="shared" si="4"/>
        <v>104.83570121704864</v>
      </c>
    </row>
    <row r="8" spans="1:14" x14ac:dyDescent="0.3">
      <c r="A8" t="s">
        <v>14</v>
      </c>
      <c r="B8">
        <v>343.35858154296898</v>
      </c>
      <c r="C8">
        <v>774.83856201171898</v>
      </c>
      <c r="D8">
        <f t="shared" si="0"/>
        <v>2.2566453954049588</v>
      </c>
      <c r="E8">
        <f t="shared" si="1"/>
        <v>3.5276620218930104</v>
      </c>
      <c r="F8">
        <f>E8*$N$12</f>
        <v>43.726892573727412</v>
      </c>
      <c r="G8">
        <v>769.37200927734398</v>
      </c>
      <c r="H8">
        <f t="shared" si="2"/>
        <v>2.2407245679428645</v>
      </c>
      <c r="I8">
        <f t="shared" si="3"/>
        <v>4.9031172165051737</v>
      </c>
      <c r="J8">
        <f>I8*$N$12</f>
        <v>60.776253074115367</v>
      </c>
      <c r="K8">
        <f t="shared" si="4"/>
        <v>104.50314564784279</v>
      </c>
    </row>
    <row r="9" spans="1:14" x14ac:dyDescent="0.3">
      <c r="A9" t="s">
        <v>15</v>
      </c>
      <c r="B9">
        <v>404.94915771484398</v>
      </c>
      <c r="C9">
        <v>761.906005859375</v>
      </c>
      <c r="D9">
        <f t="shared" si="0"/>
        <v>1.8814855923120402</v>
      </c>
      <c r="E9">
        <f t="shared" si="1"/>
        <v>2.9411999254526187</v>
      </c>
      <c r="F9">
        <f>E9*$N$12</f>
        <v>36.457441892096966</v>
      </c>
      <c r="G9">
        <v>1021.45025634766</v>
      </c>
      <c r="H9">
        <f t="shared" si="2"/>
        <v>2.5224160536887501</v>
      </c>
      <c r="I9">
        <f t="shared" si="3"/>
        <v>5.5195099643079866</v>
      </c>
      <c r="J9">
        <f>I9*$N$12</f>
        <v>68.416707091287563</v>
      </c>
      <c r="K9">
        <f t="shared" si="4"/>
        <v>104.87414898338453</v>
      </c>
    </row>
    <row r="10" spans="1:14" x14ac:dyDescent="0.3">
      <c r="A10" s="6" t="s">
        <v>16</v>
      </c>
      <c r="B10" s="6">
        <v>199.22454833984401</v>
      </c>
      <c r="C10" s="6">
        <v>320.40133666992199</v>
      </c>
      <c r="D10" s="6">
        <f t="shared" si="0"/>
        <v>1.6082422539785133</v>
      </c>
      <c r="E10" s="6">
        <f t="shared" si="1"/>
        <v>2.5140569860536393</v>
      </c>
      <c r="F10" s="6">
        <f>E10*$N$20</f>
        <v>30.88129806596756</v>
      </c>
      <c r="G10" s="6">
        <v>544.98352050781295</v>
      </c>
      <c r="H10" s="6">
        <f t="shared" si="2"/>
        <v>2.7355239354246725</v>
      </c>
      <c r="I10" s="6">
        <f t="shared" si="3"/>
        <v>5.9858291803603336</v>
      </c>
      <c r="J10" s="6">
        <f>I10*$N$20</f>
        <v>73.526644827902814</v>
      </c>
      <c r="K10">
        <f t="shared" si="4"/>
        <v>104.40794289387037</v>
      </c>
      <c r="M10" t="s">
        <v>8</v>
      </c>
      <c r="N10">
        <v>106.4617589414904</v>
      </c>
    </row>
    <row r="11" spans="1:14" x14ac:dyDescent="0.3">
      <c r="A11" s="6" t="s">
        <v>17</v>
      </c>
      <c r="B11" s="6">
        <v>150.18150329589901</v>
      </c>
      <c r="C11" s="6">
        <v>205.81436157226599</v>
      </c>
      <c r="D11" s="6">
        <f t="shared" si="0"/>
        <v>1.3704374843468898</v>
      </c>
      <c r="E11" s="6">
        <f t="shared" si="1"/>
        <v>2.1423127784068936</v>
      </c>
      <c r="F11" s="6">
        <f>E11*$N$20</f>
        <v>26.314995971655701</v>
      </c>
      <c r="G11" s="6">
        <v>435.31961059570301</v>
      </c>
      <c r="H11" s="6">
        <f t="shared" si="2"/>
        <v>2.8986233393735796</v>
      </c>
      <c r="I11" s="6">
        <f t="shared" si="3"/>
        <v>6.3427206550844195</v>
      </c>
      <c r="J11" s="6">
        <f>I11*$N$20</f>
        <v>77.910504091752486</v>
      </c>
      <c r="K11">
        <f t="shared" si="4"/>
        <v>104.22550006340819</v>
      </c>
      <c r="M11" t="s">
        <v>10</v>
      </c>
      <c r="N11">
        <v>106.3316684628014</v>
      </c>
    </row>
    <row r="12" spans="1:14" x14ac:dyDescent="0.3">
      <c r="A12" s="6" t="s">
        <v>18</v>
      </c>
      <c r="B12" s="6">
        <v>183.13307189941401</v>
      </c>
      <c r="C12" s="6">
        <v>211.98645019531301</v>
      </c>
      <c r="D12" s="6">
        <f t="shared" si="0"/>
        <v>1.1575541653762393</v>
      </c>
      <c r="E12" s="6">
        <f t="shared" si="1"/>
        <v>1.8095265989936522</v>
      </c>
      <c r="F12" s="6">
        <f>E12*$N$20</f>
        <v>22.22723294332966</v>
      </c>
      <c r="G12" s="6">
        <v>555.06256103515705</v>
      </c>
      <c r="H12" s="6">
        <f t="shared" si="2"/>
        <v>3.0309247547598921</v>
      </c>
      <c r="I12" s="6">
        <f t="shared" si="3"/>
        <v>6.6322204699341185</v>
      </c>
      <c r="J12" s="6">
        <f>I12*$N$20</f>
        <v>81.466561142968914</v>
      </c>
      <c r="K12">
        <f t="shared" si="4"/>
        <v>103.69379408629857</v>
      </c>
      <c r="M12" t="s">
        <v>1</v>
      </c>
      <c r="N12">
        <v>12.39543139403778</v>
      </c>
    </row>
    <row r="13" spans="1:14" x14ac:dyDescent="0.3">
      <c r="A13" t="s">
        <v>19</v>
      </c>
      <c r="B13">
        <v>164.75602722168</v>
      </c>
      <c r="C13">
        <v>41.922187805175803</v>
      </c>
      <c r="D13">
        <f t="shared" si="0"/>
        <v>0.25445010123222567</v>
      </c>
      <c r="E13">
        <f t="shared" si="1"/>
        <v>0.39776473539506901</v>
      </c>
      <c r="F13">
        <f>E13*$N$28</f>
        <v>4.8236261216531719</v>
      </c>
      <c r="G13">
        <v>609.10784912109398</v>
      </c>
      <c r="H13">
        <f t="shared" si="2"/>
        <v>3.6970292340293964</v>
      </c>
      <c r="I13">
        <f t="shared" si="3"/>
        <v>8.0897795055347839</v>
      </c>
      <c r="J13">
        <f>I13*$N$28</f>
        <v>98.103396980515271</v>
      </c>
      <c r="K13">
        <f t="shared" si="4"/>
        <v>102.92702310216845</v>
      </c>
      <c r="M13" t="s">
        <v>20</v>
      </c>
      <c r="N13">
        <v>0</v>
      </c>
    </row>
    <row r="14" spans="1:14" x14ac:dyDescent="0.3">
      <c r="A14" t="s">
        <v>21</v>
      </c>
      <c r="B14">
        <v>388.14880371093801</v>
      </c>
      <c r="C14">
        <v>52.878513336181697</v>
      </c>
      <c r="D14">
        <f t="shared" si="0"/>
        <v>0.13623258098603172</v>
      </c>
      <c r="E14">
        <f t="shared" si="1"/>
        <v>0.21296323430675584</v>
      </c>
      <c r="F14">
        <f>E14*$N$28</f>
        <v>2.582569364610765</v>
      </c>
      <c r="G14">
        <v>1459.44226074219</v>
      </c>
      <c r="H14">
        <f t="shared" si="2"/>
        <v>3.7600071075552384</v>
      </c>
      <c r="I14">
        <f t="shared" si="3"/>
        <v>8.2275866686110248</v>
      </c>
      <c r="J14">
        <f>I14*$N$28</f>
        <v>99.774561295534923</v>
      </c>
      <c r="K14">
        <f t="shared" si="4"/>
        <v>102.35713066014569</v>
      </c>
    </row>
    <row r="15" spans="1:14" x14ac:dyDescent="0.3">
      <c r="A15" t="s">
        <v>22</v>
      </c>
      <c r="B15">
        <v>785.27893066406295</v>
      </c>
      <c r="C15">
        <v>3.8934707641601598</v>
      </c>
      <c r="D15">
        <f t="shared" si="0"/>
        <v>4.9580736374369378E-3</v>
      </c>
      <c r="E15">
        <f t="shared" si="1"/>
        <v>7.7506231631029191E-3</v>
      </c>
      <c r="F15">
        <f>E15*$N$28</f>
        <v>9.3990504994115778E-2</v>
      </c>
      <c r="G15">
        <v>3026.16967773438</v>
      </c>
      <c r="H15">
        <f t="shared" si="2"/>
        <v>3.8536239284751104</v>
      </c>
      <c r="I15">
        <f t="shared" si="3"/>
        <v>8.4324374802518829</v>
      </c>
      <c r="J15">
        <f>I15*$N$28</f>
        <v>102.2587526733635</v>
      </c>
      <c r="K15">
        <f t="shared" si="4"/>
        <v>102.35274317835761</v>
      </c>
    </row>
    <row r="17" spans="1:14" x14ac:dyDescent="0.3">
      <c r="A17" t="s">
        <v>23</v>
      </c>
      <c r="B17">
        <v>0.45700000000000002</v>
      </c>
      <c r="H17">
        <f>G15/B15</f>
        <v>3.8536239284751104</v>
      </c>
    </row>
    <row r="18" spans="1:14" x14ac:dyDescent="0.3">
      <c r="A18" t="s">
        <v>24</v>
      </c>
      <c r="B18">
        <v>0.63970000000000005</v>
      </c>
      <c r="M18" t="s">
        <v>8</v>
      </c>
      <c r="N18">
        <v>105.49999058057401</v>
      </c>
    </row>
    <row r="19" spans="1:14" x14ac:dyDescent="0.3">
      <c r="M19" t="s">
        <v>10</v>
      </c>
      <c r="N19">
        <v>105.3710753305088</v>
      </c>
    </row>
    <row r="20" spans="1:14" x14ac:dyDescent="0.3">
      <c r="M20" t="s">
        <v>1</v>
      </c>
      <c r="N20">
        <v>12.28345190155872</v>
      </c>
    </row>
    <row r="21" spans="1:14" x14ac:dyDescent="0.3">
      <c r="M21" t="s">
        <v>20</v>
      </c>
      <c r="N21">
        <v>102.71286732469549</v>
      </c>
    </row>
    <row r="22" spans="1:14" x14ac:dyDescent="0.3">
      <c r="M22" t="s">
        <v>25</v>
      </c>
    </row>
    <row r="26" spans="1:14" x14ac:dyDescent="0.3">
      <c r="M26" t="s">
        <v>8</v>
      </c>
      <c r="N26">
        <v>211.8981025532423</v>
      </c>
    </row>
    <row r="27" spans="1:14" x14ac:dyDescent="0.3">
      <c r="M27" t="s">
        <v>10</v>
      </c>
      <c r="N27">
        <v>104.02754359532641</v>
      </c>
    </row>
    <row r="28" spans="1:14" x14ac:dyDescent="0.3">
      <c r="M28" t="s">
        <v>1</v>
      </c>
      <c r="N28">
        <v>12.12683199998169</v>
      </c>
    </row>
    <row r="29" spans="1:14" x14ac:dyDescent="0.3">
      <c r="M29" t="s">
        <v>20</v>
      </c>
      <c r="N29">
        <v>101.40322901618001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G1" sqref="G1:G4"/>
    </sheetView>
  </sheetViews>
  <sheetFormatPr defaultRowHeight="14.4" x14ac:dyDescent="0.3"/>
  <sheetData>
    <row r="1" spans="1:10" x14ac:dyDescent="0.3">
      <c r="A1" s="1" t="s">
        <v>26</v>
      </c>
      <c r="B1" s="2">
        <v>0.41994212962962962</v>
      </c>
      <c r="C1" s="3">
        <f>(B1-$B$1)*86400/60</f>
        <v>0</v>
      </c>
      <c r="F1" t="s">
        <v>27</v>
      </c>
      <c r="G1" s="3">
        <f>C1</f>
        <v>0</v>
      </c>
      <c r="I1" t="s">
        <v>28</v>
      </c>
      <c r="J1" s="3">
        <f>C1</f>
        <v>0</v>
      </c>
    </row>
    <row r="2" spans="1:10" x14ac:dyDescent="0.3">
      <c r="A2" s="1" t="s">
        <v>29</v>
      </c>
      <c r="B2" s="2">
        <v>0.42505787037037029</v>
      </c>
      <c r="C2" s="3">
        <f>(B2-$B$1)*86400/60</f>
        <v>7.3666666666665659</v>
      </c>
      <c r="F2" t="s">
        <v>30</v>
      </c>
      <c r="G2" s="3">
        <f>C2</f>
        <v>7.3666666666665659</v>
      </c>
      <c r="I2" t="s">
        <v>31</v>
      </c>
      <c r="J2" s="3">
        <f>C6</f>
        <v>1.6500000000000981</v>
      </c>
    </row>
    <row r="3" spans="1:10" x14ac:dyDescent="0.3">
      <c r="A3" s="1" t="s">
        <v>32</v>
      </c>
      <c r="B3" s="2">
        <v>0.42802083333333341</v>
      </c>
      <c r="C3" s="3">
        <f>(B3-$B$1)*86400/60</f>
        <v>11.633333333333447</v>
      </c>
      <c r="F3" t="s">
        <v>33</v>
      </c>
      <c r="G3" s="3">
        <f>C3</f>
        <v>11.633333333333447</v>
      </c>
      <c r="I3" t="s">
        <v>34</v>
      </c>
      <c r="J3" s="3">
        <f>C7</f>
        <v>3.3000000000000358</v>
      </c>
    </row>
    <row r="4" spans="1:10" x14ac:dyDescent="0.3">
      <c r="A4" s="1" t="s">
        <v>35</v>
      </c>
      <c r="B4" s="2">
        <v>0.43552083333333341</v>
      </c>
      <c r="C4" s="3">
        <f>(B4-$B$1)*86400/60</f>
        <v>22.433333333333454</v>
      </c>
      <c r="F4" t="s">
        <v>36</v>
      </c>
      <c r="G4" s="3">
        <f>C4</f>
        <v>22.433333333333454</v>
      </c>
      <c r="I4" t="s">
        <v>37</v>
      </c>
      <c r="J4" s="3">
        <f>C9</f>
        <v>8.3166666666667144</v>
      </c>
    </row>
    <row r="5" spans="1:10" x14ac:dyDescent="0.3">
      <c r="A5" s="1" t="s">
        <v>38</v>
      </c>
      <c r="B5" s="2">
        <v>0.40145833333333331</v>
      </c>
      <c r="C5" s="3"/>
      <c r="I5" t="s">
        <v>39</v>
      </c>
      <c r="J5" s="3">
        <f>C10</f>
        <v>9.5166666666666622</v>
      </c>
    </row>
    <row r="6" spans="1:10" x14ac:dyDescent="0.3">
      <c r="A6" s="1" t="s">
        <v>40</v>
      </c>
      <c r="B6" s="2">
        <v>0.42108796296296302</v>
      </c>
      <c r="C6" s="3">
        <f>(B6-$B$1)*86400/60</f>
        <v>1.6500000000000981</v>
      </c>
      <c r="I6" t="s">
        <v>41</v>
      </c>
      <c r="J6" s="3">
        <f>C11</f>
        <v>10.850000000000097</v>
      </c>
    </row>
    <row r="7" spans="1:10" x14ac:dyDescent="0.3">
      <c r="A7" s="1" t="s">
        <v>34</v>
      </c>
      <c r="B7" s="2">
        <v>0.42223379629629632</v>
      </c>
      <c r="C7" s="3">
        <f>(B7-$B$1)*86400/60</f>
        <v>3.3000000000000358</v>
      </c>
      <c r="I7" t="s">
        <v>42</v>
      </c>
      <c r="J7" s="3">
        <f>C13</f>
        <v>12.800000000000002</v>
      </c>
    </row>
    <row r="8" spans="1:10" x14ac:dyDescent="0.3">
      <c r="C8" s="3"/>
      <c r="I8" t="s">
        <v>43</v>
      </c>
      <c r="J8" s="3">
        <f>C14</f>
        <v>14.616666666666658</v>
      </c>
    </row>
    <row r="9" spans="1:10" x14ac:dyDescent="0.3">
      <c r="A9" s="1" t="s">
        <v>44</v>
      </c>
      <c r="B9" s="2">
        <v>0.42571759259259262</v>
      </c>
      <c r="C9" s="3">
        <f>(B9-$B$1)*86400/60</f>
        <v>8.3166666666667144</v>
      </c>
      <c r="I9" t="s">
        <v>45</v>
      </c>
      <c r="J9" s="3">
        <f>C15</f>
        <v>18.10000000000003</v>
      </c>
    </row>
    <row r="10" spans="1:10" x14ac:dyDescent="0.3">
      <c r="A10" s="1" t="s">
        <v>46</v>
      </c>
      <c r="B10" s="2">
        <v>0.42655092592592592</v>
      </c>
      <c r="C10" s="3">
        <f>(B10-$B$1)*86400/60</f>
        <v>9.5166666666666622</v>
      </c>
      <c r="I10" t="s">
        <v>47</v>
      </c>
      <c r="J10" s="3">
        <f>C17</f>
        <v>23.700000000000028</v>
      </c>
    </row>
    <row r="11" spans="1:10" x14ac:dyDescent="0.3">
      <c r="A11" s="1" t="s">
        <v>48</v>
      </c>
      <c r="B11" s="2">
        <v>0.42747685185185191</v>
      </c>
      <c r="C11" s="3">
        <f>(B11-$B$1)*86400/60</f>
        <v>10.850000000000097</v>
      </c>
      <c r="I11" t="s">
        <v>49</v>
      </c>
      <c r="J11" s="3">
        <f>C18</f>
        <v>24.733333333333416</v>
      </c>
    </row>
    <row r="12" spans="1:10" x14ac:dyDescent="0.3">
      <c r="C12" s="3"/>
      <c r="I12" t="s">
        <v>50</v>
      </c>
      <c r="J12" s="3">
        <f>C19</f>
        <v>31.466666666666736</v>
      </c>
    </row>
    <row r="13" spans="1:10" x14ac:dyDescent="0.3">
      <c r="A13" s="1" t="s">
        <v>51</v>
      </c>
      <c r="B13" s="2">
        <v>0.42883101851851851</v>
      </c>
      <c r="C13" s="3">
        <f>(B13-$B$1)*86400/60</f>
        <v>12.800000000000002</v>
      </c>
    </row>
    <row r="14" spans="1:10" x14ac:dyDescent="0.3">
      <c r="A14" s="1" t="s">
        <v>52</v>
      </c>
      <c r="B14" s="2">
        <v>0.43009259259259258</v>
      </c>
      <c r="C14" s="3">
        <f>(B14-$B$1)*86400/60</f>
        <v>14.616666666666658</v>
      </c>
    </row>
    <row r="15" spans="1:10" x14ac:dyDescent="0.3">
      <c r="A15" s="1" t="s">
        <v>53</v>
      </c>
      <c r="B15" s="2">
        <v>0.43251157407407409</v>
      </c>
      <c r="C15" s="3">
        <f>(B15-$B$1)*86400/60</f>
        <v>18.10000000000003</v>
      </c>
    </row>
    <row r="16" spans="1:10" x14ac:dyDescent="0.3">
      <c r="C16" s="3"/>
    </row>
    <row r="17" spans="1:3" x14ac:dyDescent="0.3">
      <c r="A17" s="1" t="s">
        <v>54</v>
      </c>
      <c r="B17" s="2">
        <v>0.43640046296296298</v>
      </c>
      <c r="C17" s="3">
        <f>(B17-$B$1)*86400/60</f>
        <v>23.700000000000028</v>
      </c>
    </row>
    <row r="18" spans="1:3" x14ac:dyDescent="0.3">
      <c r="A18" s="1" t="s">
        <v>55</v>
      </c>
      <c r="B18" s="2">
        <v>0.43711805555555561</v>
      </c>
      <c r="C18" s="3">
        <f>(B18-$B$1)*86400/60</f>
        <v>24.733333333333416</v>
      </c>
    </row>
    <row r="19" spans="1:3" x14ac:dyDescent="0.3">
      <c r="A19" s="1" t="s">
        <v>56</v>
      </c>
      <c r="B19" s="2">
        <v>0.44179398148148152</v>
      </c>
      <c r="C19" s="3">
        <f>(B19-$B$1)*86400/60</f>
        <v>31.466666666666736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L17" sqref="L17"/>
    </sheetView>
  </sheetViews>
  <sheetFormatPr defaultColWidth="8.88671875" defaultRowHeight="14.4" x14ac:dyDescent="0.3"/>
  <cols>
    <col min="2" max="2" width="11.6640625" bestFit="1" customWidth="1"/>
  </cols>
  <sheetData>
    <row r="1" spans="1:3" x14ac:dyDescent="0.3">
      <c r="A1" t="s">
        <v>57</v>
      </c>
      <c r="B1" t="s">
        <v>58</v>
      </c>
      <c r="C1" t="s">
        <v>5</v>
      </c>
    </row>
    <row r="2" spans="1:3" x14ac:dyDescent="0.3">
      <c r="A2" s="4">
        <v>0</v>
      </c>
      <c r="B2" s="4">
        <v>104.4969170370866</v>
      </c>
      <c r="C2" s="4">
        <v>0</v>
      </c>
    </row>
    <row r="3" spans="1:3" x14ac:dyDescent="0.3">
      <c r="A3" s="4">
        <v>1.6500000000000179</v>
      </c>
      <c r="B3" s="4">
        <v>91.103241651549027</v>
      </c>
      <c r="C3" s="4">
        <v>13.951332412036621</v>
      </c>
    </row>
    <row r="4" spans="1:3" x14ac:dyDescent="0.3">
      <c r="A4" s="4">
        <v>3.3000000000000358</v>
      </c>
      <c r="B4" s="4">
        <v>85.57619810876885</v>
      </c>
      <c r="C4" s="4">
        <v>18.92492541323028</v>
      </c>
    </row>
    <row r="5" spans="1:3" x14ac:dyDescent="0.3">
      <c r="A5" s="7">
        <v>8.3166666666667144</v>
      </c>
      <c r="B5" s="7">
        <v>54.17024907710136</v>
      </c>
      <c r="C5" s="7">
        <v>50.665452139947249</v>
      </c>
    </row>
    <row r="6" spans="1:3" x14ac:dyDescent="0.3">
      <c r="A6" s="7">
        <v>9.5166666666666622</v>
      </c>
      <c r="B6" s="7">
        <v>43.726892573727397</v>
      </c>
      <c r="C6" s="7">
        <v>60.77625307411536</v>
      </c>
    </row>
    <row r="7" spans="1:3" x14ac:dyDescent="0.3">
      <c r="A7" s="7">
        <v>10.850000000000019</v>
      </c>
      <c r="B7" s="7">
        <v>36.457441892096973</v>
      </c>
      <c r="C7" s="7">
        <v>68.416707091287563</v>
      </c>
    </row>
    <row r="8" spans="1:3" x14ac:dyDescent="0.3">
      <c r="A8" s="5">
        <v>12.8</v>
      </c>
      <c r="B8" s="5">
        <v>30.88129806596756</v>
      </c>
      <c r="C8" s="5">
        <v>73.526644827902814</v>
      </c>
    </row>
    <row r="9" spans="1:3" x14ac:dyDescent="0.3">
      <c r="A9" s="5">
        <v>14.61666666666666</v>
      </c>
      <c r="B9" s="5">
        <v>26.314995971655701</v>
      </c>
      <c r="C9" s="5">
        <v>77.910504091752486</v>
      </c>
    </row>
    <row r="10" spans="1:3" x14ac:dyDescent="0.3">
      <c r="A10" s="5">
        <v>18.10000000000003</v>
      </c>
      <c r="B10" s="5">
        <v>22.22723294332966</v>
      </c>
      <c r="C10" s="5">
        <v>81.466561142968914</v>
      </c>
    </row>
    <row r="11" spans="1:3" x14ac:dyDescent="0.3">
      <c r="A11" s="8">
        <v>23.700000000000031</v>
      </c>
      <c r="B11" s="8">
        <v>4.8236261216531719</v>
      </c>
      <c r="C11" s="8">
        <v>98.103396980515257</v>
      </c>
    </row>
    <row r="12" spans="1:3" x14ac:dyDescent="0.3">
      <c r="A12" s="8">
        <v>24.733333333333341</v>
      </c>
      <c r="B12" s="8">
        <v>2.582569364610765</v>
      </c>
      <c r="C12" s="8">
        <v>99.774561295534909</v>
      </c>
    </row>
    <row r="13" spans="1:3" x14ac:dyDescent="0.3">
      <c r="A13" s="8">
        <v>31.466666666666651</v>
      </c>
      <c r="B13" s="8">
        <v>9.3990504994115764E-2</v>
      </c>
      <c r="C13" s="8">
        <v>102.2587526733635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C2_E7a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2025-01-30T20:18:13Z</dcterms:created>
  <dcterms:modified xsi:type="dcterms:W3CDTF">2026-01-12T10:52:23Z</dcterms:modified>
</cp:coreProperties>
</file>
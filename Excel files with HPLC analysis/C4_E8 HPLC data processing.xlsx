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3" documentId="11_8A03B829D3EF38F838471806FE85FC5A16CDCC24" xr6:coauthVersionLast="47" xr6:coauthVersionMax="47" xr10:uidLastSave="{8AB948FA-FA8B-4CE6-8C3C-65758899152D}"/>
  <bookViews>
    <workbookView xWindow="2448" yWindow="1716" windowWidth="17280" windowHeight="8880" firstSheet="1" activeTab="2" xr2:uid="{00000000-000D-0000-FFFF-FFFF00000000}"/>
  </bookViews>
  <sheets>
    <sheet name="C4_E8 HPLC 254 nm" sheetId="1" r:id="rId1"/>
    <sheet name="Sample and addition times" sheetId="2" r:id="rId2"/>
    <sheet name="Concentration vs time HPLC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25" i="2"/>
  <c r="C24" i="2"/>
  <c r="C23" i="2"/>
  <c r="C22" i="2"/>
  <c r="C21" i="2"/>
  <c r="C20" i="2"/>
  <c r="H14" i="2" s="1"/>
  <c r="H19" i="2"/>
  <c r="C19" i="2"/>
  <c r="H13" i="2" s="1"/>
  <c r="H18" i="2"/>
  <c r="C18" i="2"/>
  <c r="H12" i="2" s="1"/>
  <c r="H17" i="2"/>
  <c r="C17" i="2"/>
  <c r="H11" i="2" s="1"/>
  <c r="H16" i="2"/>
  <c r="C16" i="2"/>
  <c r="H15" i="2"/>
  <c r="C15" i="2"/>
  <c r="C14" i="2"/>
  <c r="C13" i="2"/>
  <c r="C12" i="2"/>
  <c r="C11" i="2"/>
  <c r="H10" i="2"/>
  <c r="C10" i="2"/>
  <c r="H6" i="2" s="1"/>
  <c r="H9" i="2"/>
  <c r="C9" i="2"/>
  <c r="H5" i="2" s="1"/>
  <c r="H8" i="2"/>
  <c r="C8" i="2"/>
  <c r="H4" i="2" s="1"/>
  <c r="H7" i="2"/>
  <c r="C7" i="2"/>
  <c r="C6" i="2"/>
  <c r="C5" i="2"/>
  <c r="C4" i="2"/>
  <c r="F4" i="2" s="1"/>
  <c r="H3" i="2"/>
  <c r="C3" i="2"/>
  <c r="F3" i="2" s="1"/>
  <c r="H2" i="2"/>
  <c r="C2" i="2"/>
  <c r="F2" i="2" s="1"/>
  <c r="H1" i="2"/>
  <c r="F1" i="2"/>
  <c r="C1" i="2"/>
  <c r="AC23" i="1"/>
  <c r="AC22" i="1"/>
  <c r="I22" i="1"/>
  <c r="J22" i="1" s="1"/>
  <c r="H22" i="1"/>
  <c r="D22" i="1"/>
  <c r="E22" i="1" s="1"/>
  <c r="F22" i="1" s="1"/>
  <c r="K22" i="1" s="1"/>
  <c r="AC21" i="1"/>
  <c r="H21" i="1"/>
  <c r="I21" i="1" s="1"/>
  <c r="J21" i="1" s="1"/>
  <c r="D21" i="1"/>
  <c r="E21" i="1" s="1"/>
  <c r="F21" i="1" s="1"/>
  <c r="K21" i="1" s="1"/>
  <c r="AC20" i="1"/>
  <c r="I20" i="1"/>
  <c r="J20" i="1" s="1"/>
  <c r="H20" i="1"/>
  <c r="D20" i="1"/>
  <c r="E20" i="1" s="1"/>
  <c r="F20" i="1" s="1"/>
  <c r="K20" i="1" s="1"/>
  <c r="AC19" i="1"/>
  <c r="H19" i="1"/>
  <c r="I19" i="1" s="1"/>
  <c r="J19" i="1" s="1"/>
  <c r="D19" i="1"/>
  <c r="E19" i="1" s="1"/>
  <c r="F19" i="1" s="1"/>
  <c r="K19" i="1" s="1"/>
  <c r="AC18" i="1"/>
  <c r="I18" i="1"/>
  <c r="J18" i="1" s="1"/>
  <c r="H18" i="1"/>
  <c r="D18" i="1"/>
  <c r="E18" i="1" s="1"/>
  <c r="F18" i="1" s="1"/>
  <c r="K18" i="1" s="1"/>
  <c r="AC17" i="1"/>
  <c r="H17" i="1"/>
  <c r="I17" i="1" s="1"/>
  <c r="J17" i="1" s="1"/>
  <c r="D17" i="1"/>
  <c r="E17" i="1" s="1"/>
  <c r="F17" i="1" s="1"/>
  <c r="K17" i="1" s="1"/>
  <c r="AC16" i="1"/>
  <c r="I16" i="1"/>
  <c r="J16" i="1" s="1"/>
  <c r="H16" i="1"/>
  <c r="D16" i="1"/>
  <c r="E16" i="1" s="1"/>
  <c r="F16" i="1" s="1"/>
  <c r="AC15" i="1"/>
  <c r="H15" i="1"/>
  <c r="I15" i="1" s="1"/>
  <c r="J15" i="1" s="1"/>
  <c r="D15" i="1"/>
  <c r="E15" i="1" s="1"/>
  <c r="F15" i="1" s="1"/>
  <c r="K15" i="1" s="1"/>
  <c r="AC14" i="1"/>
  <c r="I14" i="1"/>
  <c r="J14" i="1" s="1"/>
  <c r="H14" i="1"/>
  <c r="D14" i="1"/>
  <c r="E14" i="1" s="1"/>
  <c r="F14" i="1" s="1"/>
  <c r="AC13" i="1"/>
  <c r="H13" i="1"/>
  <c r="I13" i="1" s="1"/>
  <c r="J13" i="1" s="1"/>
  <c r="D13" i="1"/>
  <c r="E13" i="1" s="1"/>
  <c r="F13" i="1" s="1"/>
  <c r="K13" i="1" s="1"/>
  <c r="AC12" i="1"/>
  <c r="I12" i="1"/>
  <c r="J12" i="1" s="1"/>
  <c r="H12" i="1"/>
  <c r="D12" i="1"/>
  <c r="E12" i="1" s="1"/>
  <c r="F12" i="1" s="1"/>
  <c r="K12" i="1" s="1"/>
  <c r="AC11" i="1"/>
  <c r="H11" i="1"/>
  <c r="I11" i="1" s="1"/>
  <c r="J11" i="1" s="1"/>
  <c r="D11" i="1"/>
  <c r="E11" i="1" s="1"/>
  <c r="F11" i="1" s="1"/>
  <c r="K11" i="1" s="1"/>
  <c r="AC10" i="1"/>
  <c r="I10" i="1"/>
  <c r="J10" i="1" s="1"/>
  <c r="H10" i="1"/>
  <c r="D10" i="1"/>
  <c r="E10" i="1" s="1"/>
  <c r="F10" i="1" s="1"/>
  <c r="K10" i="1" s="1"/>
  <c r="AC9" i="1"/>
  <c r="H9" i="1"/>
  <c r="I9" i="1" s="1"/>
  <c r="J9" i="1" s="1"/>
  <c r="D9" i="1"/>
  <c r="E9" i="1" s="1"/>
  <c r="F9" i="1" s="1"/>
  <c r="K9" i="1" s="1"/>
  <c r="AC8" i="1"/>
  <c r="I8" i="1"/>
  <c r="J8" i="1" s="1"/>
  <c r="H8" i="1"/>
  <c r="D8" i="1"/>
  <c r="E8" i="1" s="1"/>
  <c r="F8" i="1" s="1"/>
  <c r="K8" i="1" s="1"/>
  <c r="AC7" i="1"/>
  <c r="H7" i="1"/>
  <c r="I7" i="1" s="1"/>
  <c r="J7" i="1" s="1"/>
  <c r="D7" i="1"/>
  <c r="E7" i="1" s="1"/>
  <c r="F7" i="1" s="1"/>
  <c r="K7" i="1" s="1"/>
  <c r="AC6" i="1"/>
  <c r="I6" i="1"/>
  <c r="J6" i="1" s="1"/>
  <c r="H6" i="1"/>
  <c r="D6" i="1"/>
  <c r="E6" i="1" s="1"/>
  <c r="F6" i="1" s="1"/>
  <c r="K6" i="1" s="1"/>
  <c r="H5" i="1"/>
  <c r="I5" i="1" s="1"/>
  <c r="J5" i="1" s="1"/>
  <c r="E5" i="1"/>
  <c r="F5" i="1" s="1"/>
  <c r="K5" i="1" s="1"/>
  <c r="D5" i="1"/>
  <c r="I4" i="1"/>
  <c r="J4" i="1" s="1"/>
  <c r="H4" i="1"/>
  <c r="D4" i="1"/>
  <c r="E4" i="1" s="1"/>
  <c r="F4" i="1" s="1"/>
  <c r="K4" i="1" s="1"/>
  <c r="K14" i="1" l="1"/>
  <c r="K16" i="1"/>
</calcChain>
</file>

<file path=xl/sharedStrings.xml><?xml version="1.0" encoding="utf-8"?>
<sst xmlns="http://schemas.openxmlformats.org/spreadsheetml/2006/main" count="95" uniqueCount="75">
  <si>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</si>
  <si>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</si>
  <si>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</si>
  <si>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</si>
  <si>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</si>
  <si>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</si>
  <si>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</si>
  <si>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</si>
  <si>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</si>
  <si>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C4_E8-S0</t>
  </si>
  <si>
    <t>Ar-4SO2Me-Oph</t>
  </si>
  <si>
    <t>C4_E8-S1</t>
  </si>
  <si>
    <t>Time / min</t>
  </si>
  <si>
    <t>4SO2MeArOPh</t>
  </si>
  <si>
    <t>C4_E8-S2</t>
  </si>
  <si>
    <t>C4_E8-S3</t>
  </si>
  <si>
    <t>C4_E8-S4</t>
  </si>
  <si>
    <t>C4_E8-S5</t>
  </si>
  <si>
    <t>C4_E8-S6</t>
  </si>
  <si>
    <t>C4_E8-S7</t>
  </si>
  <si>
    <t>C4_E8-S8</t>
  </si>
  <si>
    <t>C4_E8-S9</t>
  </si>
  <si>
    <t>Phenol</t>
  </si>
  <si>
    <t>C4_E8-S10</t>
  </si>
  <si>
    <t>C4_E8-S11</t>
  </si>
  <si>
    <t>C4_E8-S12</t>
  </si>
  <si>
    <t>C4_E8-S13</t>
  </si>
  <si>
    <t>C4_E8-S14</t>
  </si>
  <si>
    <t>C4_E8-S15</t>
  </si>
  <si>
    <t>C4_E8-S16</t>
  </si>
  <si>
    <t>C4_E8-S17</t>
  </si>
  <si>
    <t>C4_E8-S02</t>
  </si>
  <si>
    <t>CC 4SO2ArOPh</t>
  </si>
  <si>
    <t>CC Product</t>
  </si>
  <si>
    <t>V1:</t>
  </si>
  <si>
    <t>V1</t>
  </si>
  <si>
    <t>S0</t>
  </si>
  <si>
    <t>V2:</t>
  </si>
  <si>
    <t>V2</t>
  </si>
  <si>
    <t>S1</t>
  </si>
  <si>
    <t>Phenol: 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</si>
  <si>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</si>
  <si>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</si>
  <si>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</si>
  <si>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</si>
  <si>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</si>
  <si>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</si>
  <si>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</si>
  <si>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</si>
  <si>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</si>
  <si>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</si>
  <si>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</si>
  <si>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</si>
  <si>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S4:</t>
  </si>
  <si>
    <t>S8</t>
  </si>
  <si>
    <t>S5:</t>
  </si>
  <si>
    <t>S9</t>
  </si>
  <si>
    <t>S10</t>
  </si>
  <si>
    <t>S6:</t>
  </si>
  <si>
    <t>S11</t>
  </si>
  <si>
    <t>S7:</t>
  </si>
  <si>
    <t>S12</t>
  </si>
  <si>
    <t>S8:</t>
  </si>
  <si>
    <t>S13</t>
  </si>
  <si>
    <t>S9:</t>
  </si>
  <si>
    <t>S14</t>
  </si>
  <si>
    <t>S15</t>
  </si>
  <si>
    <t>S10:</t>
  </si>
  <si>
    <t>S16</t>
  </si>
  <si>
    <t>S11:</t>
  </si>
  <si>
    <t>S17</t>
  </si>
  <si>
    <t>S12:</t>
  </si>
  <si>
    <t>S18</t>
  </si>
  <si>
    <t>S13:</t>
  </si>
  <si>
    <t>S14: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</si>
</sst>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2" fontId="0" fillId="0" borderId="0" xfId="0" applyNumberFormat="1"/>
    <xf numFmtId="22" fontId="0" fillId="0" borderId="0" xfId="0" applyNumberFormat="1"/>
    <xf numFmtId="22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'[1]DD273_254 CTE (2)'!$Q$4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'[1]DD273_254 CTE (2)'!$AB$6:$AB$23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'[1]DD273_254 CTE (2)'!$AC$6:$AC$23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F1-4963-8F74-3C8D29BB9C08}"/>
            </c:ext>
          </c:extLst>
        </c:ser>
        <c:ser>
          <c:idx val="1"/>
          <c:order val="1"/>
          <c:tx>
            <c:strRef>
              <c:f>'[1]DD273_254 CTE (2)'!$R$4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'[1]DD273_254 CTE (2)'!$AB$6:$AB$23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'[1]DD273_254 CTE (2)'!$AD$6:$AD$23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F1-4963-8F74-3C8D29BB9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715999"/>
        <c:axId val="1618716479"/>
      </c:scatterChart>
      <c:valAx>
        <c:axId val="161871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16479"/>
        <c:crosses val="autoZero"/>
        <c:crossBetween val="midCat"/>
      </c:valAx>
      <c:valAx>
        <c:axId val="161871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15999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1.833333332324401</c:v>
                </c:pt>
                <c:pt idx="2">
                  <c:v>10.76666665845551</c:v>
                </c:pt>
                <c:pt idx="3">
                  <c:v>191.58333332743501</c:v>
                </c:pt>
                <c:pt idx="4">
                  <c:v>199.50000000069849</c:v>
                </c:pt>
                <c:pt idx="5">
                  <c:v>893.83333332720213</c:v>
                </c:pt>
                <c:pt idx="6">
                  <c:v>919.81666666804813</c:v>
                </c:pt>
                <c:pt idx="7">
                  <c:v>957.41666666697711</c:v>
                </c:pt>
                <c:pt idx="8">
                  <c:v>977.29999999632128</c:v>
                </c:pt>
                <c:pt idx="9">
                  <c:v>1059.89999999525</c:v>
                </c:pt>
                <c:pt idx="10">
                  <c:v>1218.666666664649</c:v>
                </c:pt>
                <c:pt idx="11">
                  <c:v>1320.8333333255721</c:v>
                </c:pt>
                <c:pt idx="12">
                  <c:v>1404.299999994691</c:v>
                </c:pt>
                <c:pt idx="13">
                  <c:v>1527.133333333768</c:v>
                </c:pt>
                <c:pt idx="14">
                  <c:v>2409.6166666585491</c:v>
                </c:pt>
                <c:pt idx="15">
                  <c:v>2420.6666666641831</c:v>
                </c:pt>
              </c:numCache>
            </c:numRef>
          </c:xVal>
          <c:yVal>
            <c:numRef>
              <c:f>'Concentration vs time HPLC'!$B$2:$B$17</c:f>
              <c:numCache>
                <c:formatCode>General</c:formatCode>
                <c:ptCount val="16"/>
                <c:pt idx="0">
                  <c:v>112.72961381405619</c:v>
                </c:pt>
                <c:pt idx="1">
                  <c:v>112.6233774422796</c:v>
                </c:pt>
                <c:pt idx="2">
                  <c:v>112.72961381405619</c:v>
                </c:pt>
                <c:pt idx="3">
                  <c:v>105.51659608492361</c:v>
                </c:pt>
                <c:pt idx="4">
                  <c:v>105.27311503635789</c:v>
                </c:pt>
                <c:pt idx="5">
                  <c:v>89.945416450398071</c:v>
                </c:pt>
                <c:pt idx="6">
                  <c:v>88.8376859273165</c:v>
                </c:pt>
                <c:pt idx="7">
                  <c:v>84.865579108426147</c:v>
                </c:pt>
                <c:pt idx="8">
                  <c:v>82.363124684544857</c:v>
                </c:pt>
                <c:pt idx="9">
                  <c:v>75.941788700701295</c:v>
                </c:pt>
                <c:pt idx="10">
                  <c:v>62.785377371907103</c:v>
                </c:pt>
                <c:pt idx="11">
                  <c:v>57.672403558192123</c:v>
                </c:pt>
                <c:pt idx="12">
                  <c:v>51.940077577141032</c:v>
                </c:pt>
                <c:pt idx="13">
                  <c:v>31.694875479278469</c:v>
                </c:pt>
                <c:pt idx="14">
                  <c:v>1.1126910506032941</c:v>
                </c:pt>
                <c:pt idx="15">
                  <c:v>1.016877244580116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C-4689-B6FC-CE8CA622E54C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1.833333332324401</c:v>
                </c:pt>
                <c:pt idx="2">
                  <c:v>10.76666665845551</c:v>
                </c:pt>
                <c:pt idx="3">
                  <c:v>191.58333332743501</c:v>
                </c:pt>
                <c:pt idx="4">
                  <c:v>199.50000000069849</c:v>
                </c:pt>
                <c:pt idx="5">
                  <c:v>893.83333332720213</c:v>
                </c:pt>
                <c:pt idx="6">
                  <c:v>919.81666666804813</c:v>
                </c:pt>
                <c:pt idx="7">
                  <c:v>957.41666666697711</c:v>
                </c:pt>
                <c:pt idx="8">
                  <c:v>977.29999999632128</c:v>
                </c:pt>
                <c:pt idx="9">
                  <c:v>1059.89999999525</c:v>
                </c:pt>
                <c:pt idx="10">
                  <c:v>1218.666666664649</c:v>
                </c:pt>
                <c:pt idx="11">
                  <c:v>1320.8333333255721</c:v>
                </c:pt>
                <c:pt idx="12">
                  <c:v>1404.299999994691</c:v>
                </c:pt>
                <c:pt idx="13">
                  <c:v>1527.133333333768</c:v>
                </c:pt>
                <c:pt idx="14">
                  <c:v>2409.6166666585491</c:v>
                </c:pt>
                <c:pt idx="15">
                  <c:v>2420.6666666641831</c:v>
                </c:pt>
              </c:numCache>
            </c:numRef>
          </c:xVal>
          <c:yVal>
            <c:numRef>
              <c:f>'Concentration vs time HPLC'!$C$2:$C$17</c:f>
              <c:numCache>
                <c:formatCode>General</c:formatCode>
                <c:ptCount val="16"/>
                <c:pt idx="0">
                  <c:v>0</c:v>
                </c:pt>
                <c:pt idx="1">
                  <c:v>0.1062363717765689</c:v>
                </c:pt>
                <c:pt idx="2">
                  <c:v>0</c:v>
                </c:pt>
                <c:pt idx="3">
                  <c:v>7.213017729132603</c:v>
                </c:pt>
                <c:pt idx="4">
                  <c:v>7.4564987776983234</c:v>
                </c:pt>
                <c:pt idx="5">
                  <c:v>21.83436088936012</c:v>
                </c:pt>
                <c:pt idx="6">
                  <c:v>22.942091412441709</c:v>
                </c:pt>
                <c:pt idx="7">
                  <c:v>26.914198231332051</c:v>
                </c:pt>
                <c:pt idx="8">
                  <c:v>29.416652655213351</c:v>
                </c:pt>
                <c:pt idx="9">
                  <c:v>36.137964637285933</c:v>
                </c:pt>
                <c:pt idx="10">
                  <c:v>46.775844276597432</c:v>
                </c:pt>
                <c:pt idx="11">
                  <c:v>51.779388407118553</c:v>
                </c:pt>
                <c:pt idx="12">
                  <c:v>56.467770391007178</c:v>
                </c:pt>
                <c:pt idx="13">
                  <c:v>79.097623229147601</c:v>
                </c:pt>
                <c:pt idx="14">
                  <c:v>107.06237519050509</c:v>
                </c:pt>
                <c:pt idx="15">
                  <c:v>105.1426006378077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5C-4689-B6FC-CE8CA622E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482448"/>
        <c:axId val="1849481008"/>
      </c:scatterChart>
      <c:valAx>
        <c:axId val="184948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481008"/>
        <c:crosses val="autoZero"/>
        <c:crossBetween val="midCat"/>
      </c:valAx>
      <c:valAx>
        <c:axId val="18494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48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3</xdr:row>
      <xdr:rowOff>0</xdr:rowOff>
    </xdr:from>
    <xdr:to>
      <xdr:col>37</xdr:col>
      <xdr:colOff>306388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0</xdr:row>
      <xdr:rowOff>152406</xdr:rowOff>
    </xdr:from>
    <xdr:to>
      <xdr:col>10</xdr:col>
      <xdr:colOff>502920</xdr:colOff>
      <xdr:row>15</xdr:row>
      <xdr:rowOff>152406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3F300-1752-45CE-B938-580B6DDE6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D273_254%20CTE%20(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%20fin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273_254 CTE (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 fi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"/>
  <sheetViews>
    <sheetView topLeftCell="A2" zoomScale="96" workbookViewId="0">
      <selection activeCell="A24" sqref="A24:A25"/>
    </sheetView>
  </sheetViews>
  <sheetFormatPr defaultRowHeight="14.4" x14ac:dyDescent="0.3"/>
  <cols>
    <col min="1" max="1" width="10" bestFit="1" customWidth="1"/>
    <col min="3" max="3" width="14.33203125" bestFit="1" customWidth="1"/>
    <col min="13" max="13" width="14.88671875" bestFit="1" customWidth="1"/>
    <col min="14" max="14" width="22.44140625" bestFit="1" customWidth="1"/>
  </cols>
  <sheetData>
    <row r="1" spans="1:30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3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30" x14ac:dyDescent="0.3">
      <c r="B3">
        <v>4.27687459242971</v>
      </c>
      <c r="C3">
        <v>1.6053583496495301</v>
      </c>
      <c r="G3">
        <v>2.5813019325858599</v>
      </c>
      <c r="M3" t="s">
        <v>8</v>
      </c>
      <c r="N3">
        <v>34.756411130088551</v>
      </c>
    </row>
    <row r="4" spans="1:30" x14ac:dyDescent="0.3">
      <c r="A4" t="s">
        <v>9</v>
      </c>
      <c r="B4">
        <v>167.21205139160199</v>
      </c>
      <c r="C4">
        <v>729.08190917968795</v>
      </c>
      <c r="D4">
        <f t="shared" ref="D4:D22" si="0">C4/B4</f>
        <v>4.36022345944561</v>
      </c>
      <c r="E4">
        <f t="shared" ref="E4:E22" si="1">D4/$B$24</f>
        <v>7.4892192707756946</v>
      </c>
      <c r="F4" s="1">
        <f t="shared" ref="F4:F9" si="2">E4*$N$5</f>
        <v>108.72926406112204</v>
      </c>
      <c r="G4">
        <v>0</v>
      </c>
      <c r="H4">
        <f t="shared" ref="H4:H22" si="3">G4/B4</f>
        <v>0</v>
      </c>
      <c r="I4">
        <f t="shared" ref="I4:I22" si="4">H4/$B$25</f>
        <v>0</v>
      </c>
      <c r="J4" s="1">
        <f t="shared" ref="J4:J9" si="5">I4*$N$5</f>
        <v>0</v>
      </c>
      <c r="K4">
        <f t="shared" ref="K4:K22" si="6">SUM(F4,J4)</f>
        <v>108.72926406112204</v>
      </c>
      <c r="M4" t="s">
        <v>10</v>
      </c>
      <c r="N4">
        <v>112.72961381405619</v>
      </c>
    </row>
    <row r="5" spans="1:30" x14ac:dyDescent="0.3">
      <c r="A5" t="s">
        <v>11</v>
      </c>
      <c r="B5">
        <v>368.61993408203102</v>
      </c>
      <c r="C5">
        <v>1572.42175292969</v>
      </c>
      <c r="D5">
        <f t="shared" si="0"/>
        <v>4.2656991864682237</v>
      </c>
      <c r="E5">
        <f t="shared" si="1"/>
        <v>7.3268622234081473</v>
      </c>
      <c r="F5" s="1">
        <f t="shared" si="2"/>
        <v>106.37214756644345</v>
      </c>
      <c r="G5">
        <v>1.69773101806641</v>
      </c>
      <c r="H5">
        <f t="shared" si="3"/>
        <v>4.6056408270329858E-3</v>
      </c>
      <c r="I5">
        <f t="shared" si="4"/>
        <v>7.3175100524832956E-3</v>
      </c>
      <c r="J5" s="1">
        <f t="shared" si="5"/>
        <v>0.10623637177656894</v>
      </c>
      <c r="K5">
        <f t="shared" si="6"/>
        <v>106.47838393822002</v>
      </c>
      <c r="M5" t="s">
        <v>1</v>
      </c>
      <c r="N5">
        <v>14.518103974522891</v>
      </c>
      <c r="AB5" t="s">
        <v>12</v>
      </c>
      <c r="AC5" t="s">
        <v>13</v>
      </c>
      <c r="AD5" t="s">
        <v>5</v>
      </c>
    </row>
    <row r="6" spans="1:30" x14ac:dyDescent="0.3">
      <c r="A6" t="s">
        <v>14</v>
      </c>
      <c r="B6">
        <v>95.969108581542997</v>
      </c>
      <c r="C6">
        <v>399.78421020507801</v>
      </c>
      <c r="D6">
        <f t="shared" si="0"/>
        <v>4.1657593377080238</v>
      </c>
      <c r="E6">
        <f t="shared" si="1"/>
        <v>7.155203259546588</v>
      </c>
      <c r="F6" s="1">
        <f t="shared" si="2"/>
        <v>103.87998488094246</v>
      </c>
      <c r="G6">
        <v>0</v>
      </c>
      <c r="H6">
        <f t="shared" si="3"/>
        <v>0</v>
      </c>
      <c r="I6">
        <f t="shared" si="4"/>
        <v>0</v>
      </c>
      <c r="J6" s="1">
        <f t="shared" si="5"/>
        <v>0</v>
      </c>
      <c r="K6">
        <f t="shared" si="6"/>
        <v>103.87998488094246</v>
      </c>
      <c r="N6">
        <v>0</v>
      </c>
      <c r="AB6">
        <v>0</v>
      </c>
      <c r="AC6">
        <f t="shared" ref="AC6:AC11" si="7">$N$4-AD6</f>
        <v>112.72961381405619</v>
      </c>
      <c r="AD6" s="1">
        <v>0</v>
      </c>
    </row>
    <row r="7" spans="1:30" x14ac:dyDescent="0.3">
      <c r="A7" t="s">
        <v>15</v>
      </c>
      <c r="B7">
        <v>266.541015625</v>
      </c>
      <c r="C7">
        <v>1088.74609375</v>
      </c>
      <c r="D7">
        <f t="shared" si="0"/>
        <v>4.0847225377191894</v>
      </c>
      <c r="E7">
        <f t="shared" si="1"/>
        <v>7.016012603433853</v>
      </c>
      <c r="F7" s="1">
        <f t="shared" si="2"/>
        <v>101.85920046321571</v>
      </c>
      <c r="G7">
        <v>83.348518371582003</v>
      </c>
      <c r="H7">
        <f t="shared" si="3"/>
        <v>0.31270428746638418</v>
      </c>
      <c r="I7">
        <f t="shared" si="4"/>
        <v>0.49682918250140484</v>
      </c>
      <c r="J7" s="1">
        <f t="shared" si="5"/>
        <v>7.2130177291326047</v>
      </c>
      <c r="K7">
        <f t="shared" si="6"/>
        <v>109.07221819234832</v>
      </c>
      <c r="AB7">
        <v>1.833333332324401</v>
      </c>
      <c r="AC7">
        <f t="shared" si="7"/>
        <v>112.62337744227962</v>
      </c>
      <c r="AD7" s="1">
        <v>0.1062363717765689</v>
      </c>
    </row>
    <row r="8" spans="1:30" x14ac:dyDescent="0.3">
      <c r="A8" t="s">
        <v>16</v>
      </c>
      <c r="B8">
        <v>335.99307250976602</v>
      </c>
      <c r="C8">
        <v>1310.81384277344</v>
      </c>
      <c r="D8">
        <f t="shared" si="0"/>
        <v>3.9013121103422144</v>
      </c>
      <c r="E8">
        <f t="shared" si="1"/>
        <v>6.7009826697736417</v>
      </c>
      <c r="F8" s="1">
        <f t="shared" si="2"/>
        <v>97.285563131249717</v>
      </c>
      <c r="G8">
        <v>108.613075256348</v>
      </c>
      <c r="H8">
        <f t="shared" si="3"/>
        <v>0.32325986498781467</v>
      </c>
      <c r="I8">
        <f t="shared" si="4"/>
        <v>0.51360003970100843</v>
      </c>
      <c r="J8" s="1">
        <f t="shared" si="5"/>
        <v>7.4564987776983251</v>
      </c>
      <c r="K8">
        <f t="shared" si="6"/>
        <v>104.74206190894805</v>
      </c>
      <c r="AB8">
        <v>10.76666665845551</v>
      </c>
      <c r="AC8">
        <f t="shared" si="7"/>
        <v>112.72961381405619</v>
      </c>
      <c r="AD8" s="1">
        <v>0</v>
      </c>
    </row>
    <row r="9" spans="1:30" x14ac:dyDescent="0.3">
      <c r="A9" t="s">
        <v>17</v>
      </c>
      <c r="B9">
        <v>442.19757080078102</v>
      </c>
      <c r="C9">
        <v>1585.95959472656</v>
      </c>
      <c r="D9">
        <f t="shared" si="0"/>
        <v>3.5865407217288108</v>
      </c>
      <c r="E9">
        <f t="shared" si="1"/>
        <v>6.1603241527461536</v>
      </c>
      <c r="F9" s="1">
        <f t="shared" si="2"/>
        <v>89.436226566333289</v>
      </c>
      <c r="G9">
        <v>422.13217163086</v>
      </c>
      <c r="H9">
        <f t="shared" si="3"/>
        <v>0.95462345228721102</v>
      </c>
      <c r="I9">
        <f t="shared" si="4"/>
        <v>1.5167198161538149</v>
      </c>
      <c r="J9" s="1">
        <f t="shared" si="5"/>
        <v>22.019895991140327</v>
      </c>
      <c r="K9">
        <f t="shared" si="6"/>
        <v>111.45612255747362</v>
      </c>
      <c r="AB9">
        <v>191.58333332743501</v>
      </c>
      <c r="AC9">
        <f t="shared" si="7"/>
        <v>105.51659608492359</v>
      </c>
      <c r="AD9" s="1">
        <v>7.213017729132603</v>
      </c>
    </row>
    <row r="10" spans="1:30" x14ac:dyDescent="0.3">
      <c r="A10" t="s">
        <v>18</v>
      </c>
      <c r="B10">
        <v>548.12994384765705</v>
      </c>
      <c r="C10">
        <v>1855.99682617188</v>
      </c>
      <c r="D10">
        <f t="shared" si="0"/>
        <v>3.3860526085174452</v>
      </c>
      <c r="E10">
        <f t="shared" si="1"/>
        <v>5.8159611963542508</v>
      </c>
      <c r="F10" s="3">
        <f>E10*$N$12</f>
        <v>83.725282894856832</v>
      </c>
      <c r="G10">
        <v>549.80432128906295</v>
      </c>
      <c r="H10">
        <f t="shared" si="3"/>
        <v>1.0030547089430153</v>
      </c>
      <c r="I10">
        <f t="shared" si="4"/>
        <v>1.5936681108087312</v>
      </c>
      <c r="J10" s="3">
        <f>I10*$N$12</f>
        <v>22.942091412441709</v>
      </c>
      <c r="K10">
        <f t="shared" si="6"/>
        <v>106.66737430729854</v>
      </c>
      <c r="M10" t="s">
        <v>8</v>
      </c>
      <c r="N10">
        <v>105.66266487738621</v>
      </c>
      <c r="AB10">
        <v>199.50000000069849</v>
      </c>
      <c r="AC10">
        <f t="shared" si="7"/>
        <v>105.27311503635786</v>
      </c>
      <c r="AD10" s="1">
        <v>7.4564987776983234</v>
      </c>
    </row>
    <row r="11" spans="1:30" x14ac:dyDescent="0.3">
      <c r="A11" t="s">
        <v>19</v>
      </c>
      <c r="B11">
        <v>659.11169433593795</v>
      </c>
      <c r="C11">
        <v>2247.04296875</v>
      </c>
      <c r="D11">
        <f t="shared" si="0"/>
        <v>3.40919905997711</v>
      </c>
      <c r="E11">
        <f t="shared" si="1"/>
        <v>5.8557180693526449</v>
      </c>
      <c r="F11" s="3">
        <f>E11*$N$12</f>
        <v>84.297613989653684</v>
      </c>
      <c r="G11">
        <v>775.58978271484398</v>
      </c>
      <c r="H11">
        <f t="shared" si="3"/>
        <v>1.1767198023944316</v>
      </c>
      <c r="I11">
        <f t="shared" si="4"/>
        <v>1.8695897718373558</v>
      </c>
      <c r="J11" s="3">
        <f>I11*$N$12</f>
        <v>26.914198231332055</v>
      </c>
      <c r="K11">
        <f t="shared" si="6"/>
        <v>111.21181222098573</v>
      </c>
      <c r="M11" t="s">
        <v>10</v>
      </c>
      <c r="N11">
        <v>111.7797773397582</v>
      </c>
      <c r="AB11">
        <v>893.83333332720213</v>
      </c>
      <c r="AC11">
        <f t="shared" si="7"/>
        <v>90.709717822915877</v>
      </c>
      <c r="AD11" s="1">
        <v>22.01989599114032</v>
      </c>
    </row>
    <row r="12" spans="1:30" x14ac:dyDescent="0.3">
      <c r="A12" t="s">
        <v>20</v>
      </c>
      <c r="B12">
        <v>452.39715576171898</v>
      </c>
      <c r="C12">
        <v>1553.12084960938</v>
      </c>
      <c r="D12">
        <f t="shared" si="0"/>
        <v>3.433091543191356</v>
      </c>
      <c r="E12">
        <f t="shared" si="1"/>
        <v>5.8967563435097148</v>
      </c>
      <c r="F12" s="3">
        <f>E12*$N$12</f>
        <v>84.888391850322904</v>
      </c>
      <c r="G12">
        <v>581.841552734375</v>
      </c>
      <c r="H12">
        <f t="shared" si="3"/>
        <v>1.2861299973354283</v>
      </c>
      <c r="I12">
        <f t="shared" si="4"/>
        <v>2.0434223027254981</v>
      </c>
      <c r="J12" s="3">
        <f>I12*$N$12</f>
        <v>29.416652655213351</v>
      </c>
      <c r="K12">
        <f t="shared" si="6"/>
        <v>114.30504450553626</v>
      </c>
      <c r="M12" t="s">
        <v>1</v>
      </c>
      <c r="N12">
        <v>14.395777424949159</v>
      </c>
      <c r="AB12">
        <v>919.81666666804813</v>
      </c>
      <c r="AC12">
        <f>$N$11-AD12</f>
        <v>88.837685927316485</v>
      </c>
      <c r="AD12" s="1">
        <v>22.942091412441709</v>
      </c>
    </row>
    <row r="13" spans="1:30" x14ac:dyDescent="0.3">
      <c r="A13" t="s">
        <v>21</v>
      </c>
      <c r="B13">
        <v>293.470794677735</v>
      </c>
      <c r="C13">
        <v>897.49407958984398</v>
      </c>
      <c r="D13">
        <f t="shared" si="0"/>
        <v>3.0582057767465298</v>
      </c>
      <c r="E13">
        <f t="shared" si="1"/>
        <v>5.2528439999081575</v>
      </c>
      <c r="F13" s="3">
        <f>E13*$N$12</f>
        <v>75.618773070657497</v>
      </c>
      <c r="G13">
        <v>465.09020996093801</v>
      </c>
      <c r="H13">
        <f t="shared" si="3"/>
        <v>1.5847921442120367</v>
      </c>
      <c r="I13">
        <f t="shared" si="4"/>
        <v>2.517941125217726</v>
      </c>
      <c r="J13" s="3">
        <f>I13*$N$12</f>
        <v>36.247720007760421</v>
      </c>
      <c r="K13">
        <f t="shared" si="6"/>
        <v>111.86649307841792</v>
      </c>
      <c r="M13" t="s">
        <v>22</v>
      </c>
      <c r="N13">
        <v>0</v>
      </c>
      <c r="AB13">
        <v>957.41666666697711</v>
      </c>
      <c r="AC13">
        <f>$N$11-AD13</f>
        <v>84.865579108426147</v>
      </c>
      <c r="AD13" s="1">
        <v>26.914198231332051</v>
      </c>
    </row>
    <row r="14" spans="1:30" x14ac:dyDescent="0.3">
      <c r="A14" t="s">
        <v>23</v>
      </c>
      <c r="B14">
        <v>318.30999755859398</v>
      </c>
      <c r="C14">
        <v>918.00396728515705</v>
      </c>
      <c r="D14">
        <f t="shared" si="0"/>
        <v>2.883993510496548</v>
      </c>
      <c r="E14">
        <f t="shared" si="1"/>
        <v>4.95361303761001</v>
      </c>
      <c r="F14" s="4">
        <f>E14*$N$20</f>
        <v>70.505035239376753</v>
      </c>
      <c r="G14">
        <v>508.67764282226602</v>
      </c>
      <c r="H14">
        <f t="shared" si="3"/>
        <v>1.5980573865846908</v>
      </c>
      <c r="I14">
        <f t="shared" si="4"/>
        <v>2.5390171378847963</v>
      </c>
      <c r="J14" s="4">
        <f>I14*$N$20</f>
        <v>36.137964637285926</v>
      </c>
      <c r="K14">
        <f t="shared" si="6"/>
        <v>106.64299987666269</v>
      </c>
      <c r="AB14">
        <v>977.29999999632128</v>
      </c>
      <c r="AC14">
        <f>$N$11-AD14</f>
        <v>82.363124684544843</v>
      </c>
      <c r="AD14" s="1">
        <v>29.416652655213351</v>
      </c>
    </row>
    <row r="15" spans="1:30" x14ac:dyDescent="0.3">
      <c r="A15" t="s">
        <v>24</v>
      </c>
      <c r="B15">
        <v>420.64712524414102</v>
      </c>
      <c r="C15">
        <v>1080.3154296875</v>
      </c>
      <c r="D15">
        <f t="shared" si="0"/>
        <v>2.5682225429699335</v>
      </c>
      <c r="E15">
        <f t="shared" si="1"/>
        <v>4.4112376210407644</v>
      </c>
      <c r="F15" s="4">
        <f>E15*$N$20</f>
        <v>62.785377371907103</v>
      </c>
      <c r="G15">
        <v>870.09814453125</v>
      </c>
      <c r="H15">
        <f t="shared" si="3"/>
        <v>2.0684751952750191</v>
      </c>
      <c r="I15">
        <f t="shared" si="4"/>
        <v>3.2864238882666337</v>
      </c>
      <c r="J15" s="4">
        <f>I15*$N$20</f>
        <v>46.775844276597425</v>
      </c>
      <c r="K15">
        <f t="shared" si="6"/>
        <v>109.56122164850453</v>
      </c>
      <c r="AB15">
        <v>1051.2666666659061</v>
      </c>
      <c r="AC15">
        <f>$N$11-AD15</f>
        <v>75.532057331997777</v>
      </c>
      <c r="AD15" s="1">
        <v>36.247720007760421</v>
      </c>
    </row>
    <row r="16" spans="1:30" x14ac:dyDescent="0.3">
      <c r="A16" t="s">
        <v>25</v>
      </c>
      <c r="B16">
        <v>495.154388427735</v>
      </c>
      <c r="C16">
        <v>1168.10754394531</v>
      </c>
      <c r="D16">
        <f t="shared" si="0"/>
        <v>2.3590774337159868</v>
      </c>
      <c r="E16">
        <f t="shared" si="1"/>
        <v>4.0520052107797779</v>
      </c>
      <c r="F16" s="4">
        <f>E16*$N$20</f>
        <v>57.672403558192123</v>
      </c>
      <c r="G16">
        <v>1133.77331542969</v>
      </c>
      <c r="H16">
        <f t="shared" si="3"/>
        <v>2.2897369829029754</v>
      </c>
      <c r="I16">
        <f t="shared" si="4"/>
        <v>3.6379678787781629</v>
      </c>
      <c r="J16" s="4">
        <f>I16*$N$20</f>
        <v>51.779388407118546</v>
      </c>
      <c r="K16">
        <f t="shared" si="6"/>
        <v>109.45179196531066</v>
      </c>
      <c r="AB16">
        <v>1059.89999999525</v>
      </c>
      <c r="AC16">
        <f>$N$19-AD16</f>
        <v>74.378293751404769</v>
      </c>
      <c r="AD16" s="1">
        <v>36.137964637285933</v>
      </c>
    </row>
    <row r="17" spans="1:30" x14ac:dyDescent="0.3">
      <c r="A17" t="s">
        <v>26</v>
      </c>
      <c r="B17">
        <v>364.99920654296898</v>
      </c>
      <c r="C17">
        <v>788.74114990234398</v>
      </c>
      <c r="D17">
        <f t="shared" si="0"/>
        <v>2.1609393548352567</v>
      </c>
      <c r="E17">
        <f t="shared" si="1"/>
        <v>3.7116787269585307</v>
      </c>
      <c r="F17" s="4">
        <f>E17*$N$20</f>
        <v>52.828518791148021</v>
      </c>
      <c r="G17">
        <v>927.01568603515602</v>
      </c>
      <c r="H17">
        <f t="shared" si="3"/>
        <v>2.5397745239372855</v>
      </c>
      <c r="I17">
        <f t="shared" si="4"/>
        <v>4.0352312105771935</v>
      </c>
      <c r="J17" s="4">
        <f>I17*$N$20</f>
        <v>57.433658329929578</v>
      </c>
      <c r="K17">
        <f t="shared" si="6"/>
        <v>110.2621771210776</v>
      </c>
      <c r="AB17">
        <v>1218.666666664649</v>
      </c>
      <c r="AC17">
        <f>$N$19-AD17</f>
        <v>63.740414112093269</v>
      </c>
      <c r="AD17" s="1">
        <v>46.775844276597432</v>
      </c>
    </row>
    <row r="18" spans="1:30" x14ac:dyDescent="0.3">
      <c r="A18" t="s">
        <v>27</v>
      </c>
      <c r="B18">
        <v>1215.541015625</v>
      </c>
      <c r="C18">
        <v>2682.16674804688</v>
      </c>
      <c r="D18">
        <f t="shared" si="0"/>
        <v>2.2065621098501382</v>
      </c>
      <c r="E18">
        <f t="shared" si="1"/>
        <v>3.7900414116285437</v>
      </c>
      <c r="F18" s="1">
        <f>E18*$N$28</f>
        <v>53.036660611483768</v>
      </c>
      <c r="G18">
        <v>3537.26904296875</v>
      </c>
      <c r="H18">
        <f t="shared" si="3"/>
        <v>2.9100367634653423</v>
      </c>
      <c r="I18">
        <f t="shared" si="4"/>
        <v>4.6235093159601881</v>
      </c>
      <c r="J18" s="1">
        <f>I18*$N$28</f>
        <v>64.699951212207793</v>
      </c>
      <c r="K18">
        <f t="shared" si="6"/>
        <v>117.73661182369156</v>
      </c>
      <c r="M18" t="s">
        <v>8</v>
      </c>
      <c r="N18">
        <v>104.46829159565149</v>
      </c>
      <c r="AB18">
        <v>1320.8333333255721</v>
      </c>
      <c r="AC18">
        <f>$N$19-AD18</f>
        <v>58.736869981572148</v>
      </c>
      <c r="AD18" s="1">
        <v>51.779388407118553</v>
      </c>
    </row>
    <row r="19" spans="1:30" x14ac:dyDescent="0.3">
      <c r="A19" t="s">
        <v>28</v>
      </c>
      <c r="B19">
        <v>441.24578857421898</v>
      </c>
      <c r="C19">
        <v>581.84808349609398</v>
      </c>
      <c r="D19">
        <f t="shared" si="0"/>
        <v>1.318648468864027</v>
      </c>
      <c r="E19">
        <f t="shared" si="1"/>
        <v>2.2649406885331964</v>
      </c>
      <c r="F19" s="1">
        <f>E19*$N$28</f>
        <v>31.694875479278473</v>
      </c>
      <c r="G19">
        <v>1569.77905273438</v>
      </c>
      <c r="H19">
        <f t="shared" si="3"/>
        <v>3.5576068789387167</v>
      </c>
      <c r="I19">
        <f t="shared" si="4"/>
        <v>5.6523782633281172</v>
      </c>
      <c r="J19" s="1">
        <f>I19*$N$28</f>
        <v>79.097623229147629</v>
      </c>
      <c r="K19">
        <f t="shared" si="6"/>
        <v>110.79249870842611</v>
      </c>
      <c r="M19" t="s">
        <v>10</v>
      </c>
      <c r="N19">
        <v>110.5162583886907</v>
      </c>
      <c r="AB19">
        <v>1404.299999994691</v>
      </c>
      <c r="AC19">
        <f>$N$19-AD19</f>
        <v>53.082600058761123</v>
      </c>
      <c r="AD19" s="1">
        <v>57.433658329929578</v>
      </c>
    </row>
    <row r="20" spans="1:30" x14ac:dyDescent="0.3">
      <c r="A20" t="s">
        <v>29</v>
      </c>
      <c r="B20">
        <v>1022.86602783203</v>
      </c>
      <c r="C20">
        <v>47.351455688476598</v>
      </c>
      <c r="D20">
        <f t="shared" si="0"/>
        <v>4.6292920480347034E-2</v>
      </c>
      <c r="E20">
        <f t="shared" si="1"/>
        <v>7.9513776159991459E-2</v>
      </c>
      <c r="F20" s="1">
        <f>E20*$N$28</f>
        <v>1.1126910506032941</v>
      </c>
      <c r="G20">
        <v>4925.498046875</v>
      </c>
      <c r="H20">
        <f t="shared" si="3"/>
        <v>4.8153892228825113</v>
      </c>
      <c r="I20">
        <f t="shared" si="4"/>
        <v>7.6507613963814931</v>
      </c>
      <c r="J20" s="1">
        <f>I20*$N$28</f>
        <v>107.06237519050514</v>
      </c>
      <c r="K20">
        <f t="shared" si="6"/>
        <v>108.17506624110842</v>
      </c>
      <c r="M20" t="s">
        <v>1</v>
      </c>
      <c r="N20">
        <v>14.23305266359554</v>
      </c>
      <c r="AB20">
        <v>1425.6833333289251</v>
      </c>
      <c r="AC20">
        <f>$N$27-AD20</f>
        <v>43.957705023382019</v>
      </c>
      <c r="AD20" s="1">
        <v>64.699951212207779</v>
      </c>
    </row>
    <row r="21" spans="1:30" x14ac:dyDescent="0.3">
      <c r="A21" t="s">
        <v>30</v>
      </c>
      <c r="B21">
        <v>996.56683349609398</v>
      </c>
      <c r="C21">
        <v>42.161392211914098</v>
      </c>
      <c r="D21">
        <f t="shared" si="0"/>
        <v>4.2306637944196993E-2</v>
      </c>
      <c r="E21">
        <f t="shared" si="1"/>
        <v>7.2666846348672265E-2</v>
      </c>
      <c r="F21" s="1">
        <f>E21*$N$28</f>
        <v>1.0168772445801166</v>
      </c>
      <c r="G21">
        <v>4712.80712890625</v>
      </c>
      <c r="H21">
        <f t="shared" si="3"/>
        <v>4.7290427199679845</v>
      </c>
      <c r="I21">
        <f t="shared" si="4"/>
        <v>7.5135727994407135</v>
      </c>
      <c r="J21" s="1">
        <f>I21*$N$28</f>
        <v>105.14260063780775</v>
      </c>
      <c r="K21">
        <f t="shared" si="6"/>
        <v>106.15947788238786</v>
      </c>
      <c r="M21" t="s">
        <v>22</v>
      </c>
      <c r="N21">
        <v>128.51875927784991</v>
      </c>
      <c r="AB21">
        <v>1527.133333333768</v>
      </c>
      <c r="AC21">
        <f>$N$27-AD21</f>
        <v>29.560033006442197</v>
      </c>
      <c r="AD21" s="1">
        <v>79.097623229147601</v>
      </c>
    </row>
    <row r="22" spans="1:30" x14ac:dyDescent="0.3">
      <c r="A22" t="s">
        <v>31</v>
      </c>
      <c r="B22">
        <v>162.12780761718801</v>
      </c>
      <c r="C22">
        <v>706.33184814453205</v>
      </c>
      <c r="D22">
        <f t="shared" si="0"/>
        <v>4.3566360300899429</v>
      </c>
      <c r="E22">
        <f t="shared" si="1"/>
        <v>7.4830574202850269</v>
      </c>
      <c r="F22" s="1">
        <f>E22*$N$5</f>
        <v>108.63980567502306</v>
      </c>
      <c r="G22">
        <v>0</v>
      </c>
      <c r="H22">
        <f t="shared" si="3"/>
        <v>0</v>
      </c>
      <c r="I22">
        <f t="shared" si="4"/>
        <v>0</v>
      </c>
      <c r="J22" s="1">
        <f>I22*$N$5</f>
        <v>0</v>
      </c>
      <c r="K22">
        <f t="shared" si="6"/>
        <v>108.63980567502306</v>
      </c>
      <c r="AB22">
        <v>2409.6166666585491</v>
      </c>
      <c r="AC22">
        <f>$N$27-AD22</f>
        <v>1.5952810450847039</v>
      </c>
      <c r="AD22" s="1">
        <v>107.06237519050509</v>
      </c>
    </row>
    <row r="23" spans="1:30" x14ac:dyDescent="0.3">
      <c r="AB23">
        <v>2420.6666666641831</v>
      </c>
      <c r="AC23">
        <f>$N$27-AD23</f>
        <v>3.5150555977820943</v>
      </c>
      <c r="AD23" s="1">
        <v>105.1426006378077</v>
      </c>
    </row>
    <row r="24" spans="1:30" x14ac:dyDescent="0.3">
      <c r="A24" t="s">
        <v>32</v>
      </c>
      <c r="B24">
        <v>0.58220000000000005</v>
      </c>
    </row>
    <row r="25" spans="1:30" x14ac:dyDescent="0.3">
      <c r="A25" t="s">
        <v>33</v>
      </c>
      <c r="B25">
        <v>0.62939999999999996</v>
      </c>
    </row>
    <row r="26" spans="1:30" x14ac:dyDescent="0.3">
      <c r="M26" t="s">
        <v>8</v>
      </c>
      <c r="N26">
        <v>244.82118120165649</v>
      </c>
    </row>
    <row r="27" spans="1:30" x14ac:dyDescent="0.3">
      <c r="M27" t="s">
        <v>10</v>
      </c>
      <c r="N27">
        <v>108.6576562355898</v>
      </c>
    </row>
    <row r="28" spans="1:30" x14ac:dyDescent="0.3">
      <c r="M28" t="s">
        <v>1</v>
      </c>
      <c r="N28">
        <v>13.99368894723882</v>
      </c>
    </row>
    <row r="29" spans="1:30" x14ac:dyDescent="0.3">
      <c r="M29" t="s">
        <v>22</v>
      </c>
      <c r="N29">
        <v>126.3574008841593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2" sqref="H2:H20"/>
    </sheetView>
  </sheetViews>
  <sheetFormatPr defaultRowHeight="14.4" x14ac:dyDescent="0.3"/>
  <cols>
    <col min="2" max="2" width="15.109375" bestFit="1" customWidth="1"/>
  </cols>
  <sheetData>
    <row r="1" spans="1:8" x14ac:dyDescent="0.3">
      <c r="A1" s="5" t="s">
        <v>34</v>
      </c>
      <c r="B1" s="9">
        <v>45658.756018518521</v>
      </c>
      <c r="C1" s="8">
        <f t="shared" ref="C1:C26" si="0">(B1-$B$1)*86400/60</f>
        <v>0</v>
      </c>
      <c r="E1" t="s">
        <v>35</v>
      </c>
      <c r="F1" s="8">
        <f>C1</f>
        <v>0</v>
      </c>
      <c r="G1" t="s">
        <v>36</v>
      </c>
      <c r="H1">
        <f>0</f>
        <v>0</v>
      </c>
    </row>
    <row r="2" spans="1:8" x14ac:dyDescent="0.3">
      <c r="A2" s="5" t="s">
        <v>37</v>
      </c>
      <c r="B2" s="9">
        <v>45659.388773148137</v>
      </c>
      <c r="C2" s="8">
        <f t="shared" si="0"/>
        <v>911.1666666471865</v>
      </c>
      <c r="E2" t="s">
        <v>38</v>
      </c>
      <c r="F2" s="8">
        <f>C2</f>
        <v>911.1666666471865</v>
      </c>
      <c r="G2" t="s">
        <v>39</v>
      </c>
      <c r="H2" s="8">
        <f>C6</f>
        <v>1.8333333323244005</v>
      </c>
    </row>
    <row r="3" spans="1:8" x14ac:dyDescent="0.3">
      <c r="A3" s="5" t="s">
        <v>40</v>
      </c>
      <c r="B3" s="9">
        <v>45659.487326388888</v>
      </c>
      <c r="C3" s="8">
        <f t="shared" si="0"/>
        <v>1053.0833333276678</v>
      </c>
      <c r="E3" t="s">
        <v>41</v>
      </c>
      <c r="F3" s="8">
        <f>C3</f>
        <v>1053.0833333276678</v>
      </c>
      <c r="G3" t="s">
        <v>42</v>
      </c>
      <c r="H3" s="8">
        <f>C7</f>
        <v>10.766666658455506</v>
      </c>
    </row>
    <row r="4" spans="1:8" x14ac:dyDescent="0.3">
      <c r="A4" s="5" t="s">
        <v>43</v>
      </c>
      <c r="B4" s="9">
        <v>45659.728912037041</v>
      </c>
      <c r="C4" s="8">
        <f t="shared" si="0"/>
        <v>1400.966666667955</v>
      </c>
      <c r="E4" t="s">
        <v>44</v>
      </c>
      <c r="F4" s="8">
        <f>C4</f>
        <v>1400.966666667955</v>
      </c>
      <c r="G4" t="s">
        <v>45</v>
      </c>
      <c r="H4" s="8">
        <f>C8</f>
        <v>191.58333332743496</v>
      </c>
    </row>
    <row r="5" spans="1:8" x14ac:dyDescent="0.3">
      <c r="A5" s="5" t="s">
        <v>46</v>
      </c>
      <c r="B5" s="9">
        <v>45658.740682870368</v>
      </c>
      <c r="C5" s="8">
        <f t="shared" si="0"/>
        <v>-22.083333340706304</v>
      </c>
      <c r="G5" t="s">
        <v>47</v>
      </c>
      <c r="H5" s="8">
        <f>C9</f>
        <v>199.50000000069849</v>
      </c>
    </row>
    <row r="6" spans="1:8" x14ac:dyDescent="0.3">
      <c r="A6" s="5" t="s">
        <v>48</v>
      </c>
      <c r="B6" s="9">
        <v>45658.757291666669</v>
      </c>
      <c r="C6" s="8">
        <f t="shared" si="0"/>
        <v>1.8333333323244005</v>
      </c>
      <c r="G6" t="s">
        <v>49</v>
      </c>
      <c r="H6" s="8">
        <f>C10</f>
        <v>893.83333332720213</v>
      </c>
    </row>
    <row r="7" spans="1:8" x14ac:dyDescent="0.3">
      <c r="A7" s="5" t="s">
        <v>42</v>
      </c>
      <c r="B7" s="9">
        <v>45658.763495370367</v>
      </c>
      <c r="C7" s="8">
        <f t="shared" si="0"/>
        <v>10.766666658455506</v>
      </c>
      <c r="G7" t="s">
        <v>50</v>
      </c>
      <c r="H7" s="8">
        <f>C12</f>
        <v>919.81666667852551</v>
      </c>
    </row>
    <row r="8" spans="1:8" x14ac:dyDescent="0.3">
      <c r="A8" s="5" t="s">
        <v>51</v>
      </c>
      <c r="B8" s="9">
        <v>45658.889062499999</v>
      </c>
      <c r="C8" s="8">
        <f t="shared" si="0"/>
        <v>191.58333332743496</v>
      </c>
      <c r="G8" t="s">
        <v>52</v>
      </c>
      <c r="H8" s="8">
        <f>C13</f>
        <v>957.41666666697711</v>
      </c>
    </row>
    <row r="9" spans="1:8" x14ac:dyDescent="0.3">
      <c r="A9" s="5" t="s">
        <v>53</v>
      </c>
      <c r="B9" s="9">
        <v>45658.894560185188</v>
      </c>
      <c r="C9" s="8">
        <f t="shared" si="0"/>
        <v>199.50000000069849</v>
      </c>
      <c r="G9" t="s">
        <v>54</v>
      </c>
      <c r="H9" s="8">
        <f>C14</f>
        <v>977.2999999858439</v>
      </c>
    </row>
    <row r="10" spans="1:8" x14ac:dyDescent="0.3">
      <c r="A10" s="5" t="s">
        <v>55</v>
      </c>
      <c r="B10" s="9">
        <v>45659.376736111109</v>
      </c>
      <c r="C10" s="8">
        <f t="shared" si="0"/>
        <v>893.83333332720213</v>
      </c>
      <c r="G10" t="s">
        <v>56</v>
      </c>
      <c r="H10" s="8">
        <f>C15</f>
        <v>1051.2666666659061</v>
      </c>
    </row>
    <row r="11" spans="1:8" x14ac:dyDescent="0.3">
      <c r="C11" s="8">
        <f t="shared" si="0"/>
        <v>-65748608.666666664</v>
      </c>
      <c r="G11" t="s">
        <v>57</v>
      </c>
      <c r="H11" s="8">
        <f>C17</f>
        <v>1059.8999999847729</v>
      </c>
    </row>
    <row r="12" spans="1:8" x14ac:dyDescent="0.3">
      <c r="A12" s="5" t="s">
        <v>58</v>
      </c>
      <c r="B12" s="9">
        <v>45659.394780092603</v>
      </c>
      <c r="C12" s="8">
        <f t="shared" si="0"/>
        <v>919.81666667852551</v>
      </c>
      <c r="G12" t="s">
        <v>59</v>
      </c>
      <c r="H12" s="8">
        <f>C18</f>
        <v>1218.6666666751262</v>
      </c>
    </row>
    <row r="13" spans="1:8" x14ac:dyDescent="0.3">
      <c r="A13" s="5" t="s">
        <v>60</v>
      </c>
      <c r="B13" s="9">
        <v>45659.420891203707</v>
      </c>
      <c r="C13" s="8">
        <f t="shared" si="0"/>
        <v>957.41666666697711</v>
      </c>
      <c r="G13" t="s">
        <v>61</v>
      </c>
      <c r="H13" s="8">
        <f>C19</f>
        <v>1320.8333333360497</v>
      </c>
    </row>
    <row r="14" spans="1:8" x14ac:dyDescent="0.3">
      <c r="A14" s="5" t="s">
        <v>62</v>
      </c>
      <c r="B14" s="9">
        <v>45659.434699074067</v>
      </c>
      <c r="C14" s="8">
        <f t="shared" si="0"/>
        <v>977.2999999858439</v>
      </c>
      <c r="G14" t="s">
        <v>63</v>
      </c>
      <c r="H14" s="8">
        <f>C20</f>
        <v>1394.0666666580364</v>
      </c>
    </row>
    <row r="15" spans="1:8" x14ac:dyDescent="0.3">
      <c r="A15" s="5" t="s">
        <v>64</v>
      </c>
      <c r="B15" s="9">
        <v>45659.486064814817</v>
      </c>
      <c r="C15" s="8">
        <f t="shared" si="0"/>
        <v>1051.2666666659061</v>
      </c>
      <c r="G15" t="s">
        <v>65</v>
      </c>
      <c r="H15" s="8">
        <f>C22</f>
        <v>1404.2999999946915</v>
      </c>
    </row>
    <row r="16" spans="1:8" x14ac:dyDescent="0.3">
      <c r="C16" s="8">
        <f t="shared" si="0"/>
        <v>-65748608.666666664</v>
      </c>
      <c r="G16" t="s">
        <v>66</v>
      </c>
      <c r="H16" s="8">
        <f>C23</f>
        <v>1425.6833333289251</v>
      </c>
    </row>
    <row r="17" spans="1:8" x14ac:dyDescent="0.3">
      <c r="A17" s="5" t="s">
        <v>67</v>
      </c>
      <c r="B17" s="9">
        <v>45659.492060185177</v>
      </c>
      <c r="C17" s="8">
        <f t="shared" si="0"/>
        <v>1059.8999999847729</v>
      </c>
      <c r="G17" t="s">
        <v>68</v>
      </c>
      <c r="H17" s="8">
        <f>C24</f>
        <v>1527.133333333768</v>
      </c>
    </row>
    <row r="18" spans="1:8" x14ac:dyDescent="0.3">
      <c r="A18" s="5" t="s">
        <v>69</v>
      </c>
      <c r="B18" s="9">
        <v>45659.602314814823</v>
      </c>
      <c r="C18" s="8">
        <f t="shared" si="0"/>
        <v>1218.6666666751262</v>
      </c>
      <c r="G18" t="s">
        <v>70</v>
      </c>
      <c r="H18" s="8">
        <f>C25</f>
        <v>2409.6166666585486</v>
      </c>
    </row>
    <row r="19" spans="1:8" x14ac:dyDescent="0.3">
      <c r="A19" s="5" t="s">
        <v>71</v>
      </c>
      <c r="B19" s="9">
        <v>45659.673263888893</v>
      </c>
      <c r="C19" s="8">
        <f t="shared" si="0"/>
        <v>1320.8333333360497</v>
      </c>
      <c r="G19" t="s">
        <v>72</v>
      </c>
      <c r="H19" s="8">
        <f>C26</f>
        <v>2420.6666666641831</v>
      </c>
    </row>
    <row r="20" spans="1:8" x14ac:dyDescent="0.3">
      <c r="A20" s="5" t="s">
        <v>73</v>
      </c>
      <c r="B20" s="9">
        <v>45659.724120370367</v>
      </c>
      <c r="C20" s="8">
        <f t="shared" si="0"/>
        <v>1394.0666666580364</v>
      </c>
    </row>
    <row r="21" spans="1:8" x14ac:dyDescent="0.3">
      <c r="C21" s="8">
        <f t="shared" si="0"/>
        <v>-65748608.666666664</v>
      </c>
    </row>
    <row r="22" spans="1:8" x14ac:dyDescent="0.3">
      <c r="A22" s="5" t="s">
        <v>73</v>
      </c>
      <c r="B22" s="9">
        <v>45659.731226851851</v>
      </c>
      <c r="C22" s="8">
        <f t="shared" si="0"/>
        <v>1404.2999999946915</v>
      </c>
    </row>
    <row r="23" spans="1:8" x14ac:dyDescent="0.3">
      <c r="A23" s="5" t="s">
        <v>74</v>
      </c>
      <c r="B23" s="9">
        <v>45659.746076388888</v>
      </c>
      <c r="C23" s="8">
        <f t="shared" si="0"/>
        <v>1425.6833333289251</v>
      </c>
    </row>
    <row r="24" spans="1:8" x14ac:dyDescent="0.3">
      <c r="A24" s="7">
        <v>0.625</v>
      </c>
      <c r="B24" s="9">
        <v>45659.816527777781</v>
      </c>
      <c r="C24" s="8">
        <f t="shared" si="0"/>
        <v>1527.133333333768</v>
      </c>
    </row>
    <row r="25" spans="1:8" x14ac:dyDescent="0.3">
      <c r="A25" s="7">
        <v>0.66666666666666663</v>
      </c>
      <c r="B25" s="9">
        <v>45660.429363425923</v>
      </c>
      <c r="C25" s="8">
        <f t="shared" si="0"/>
        <v>2409.6166666585486</v>
      </c>
    </row>
    <row r="26" spans="1:8" x14ac:dyDescent="0.3">
      <c r="A26" s="6">
        <v>0.43703703703703711</v>
      </c>
      <c r="B26" s="10">
        <v>45660.437037037038</v>
      </c>
      <c r="C26" s="8">
        <f t="shared" si="0"/>
        <v>2420.6666666641831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selection activeCell="M7" sqref="M7"/>
    </sheetView>
  </sheetViews>
  <sheetFormatPr defaultRowHeight="14.4" x14ac:dyDescent="0.3"/>
  <cols>
    <col min="2" max="2" width="12.88671875" bestFit="1" customWidth="1"/>
    <col min="3" max="3" width="7.33203125" bestFit="1" customWidth="1"/>
  </cols>
  <sheetData>
    <row r="1" spans="1:3" x14ac:dyDescent="0.3">
      <c r="A1" t="s">
        <v>12</v>
      </c>
      <c r="B1" t="s">
        <v>13</v>
      </c>
      <c r="C1" t="s">
        <v>5</v>
      </c>
    </row>
    <row r="2" spans="1:3" x14ac:dyDescent="0.3">
      <c r="A2">
        <v>0</v>
      </c>
      <c r="B2">
        <v>112.72961381405619</v>
      </c>
      <c r="C2" s="1">
        <v>0</v>
      </c>
    </row>
    <row r="3" spans="1:3" x14ac:dyDescent="0.3">
      <c r="A3">
        <v>1.833333332324401</v>
      </c>
      <c r="B3">
        <v>112.6233774422796</v>
      </c>
      <c r="C3" s="1">
        <v>0.1062363717765689</v>
      </c>
    </row>
    <row r="4" spans="1:3" x14ac:dyDescent="0.3">
      <c r="A4">
        <v>10.76666665845551</v>
      </c>
      <c r="B4">
        <v>112.72961381405619</v>
      </c>
      <c r="C4" s="1">
        <v>0</v>
      </c>
    </row>
    <row r="5" spans="1:3" x14ac:dyDescent="0.3">
      <c r="A5">
        <v>191.58333332743501</v>
      </c>
      <c r="B5">
        <v>105.51659608492361</v>
      </c>
      <c r="C5" s="2">
        <v>7.213017729132603</v>
      </c>
    </row>
    <row r="6" spans="1:3" x14ac:dyDescent="0.3">
      <c r="A6">
        <v>199.50000000069849</v>
      </c>
      <c r="B6">
        <v>105.27311503635789</v>
      </c>
      <c r="C6" s="2">
        <v>7.4564987776983234</v>
      </c>
    </row>
    <row r="7" spans="1:3" x14ac:dyDescent="0.3">
      <c r="A7">
        <v>893.83333332720213</v>
      </c>
      <c r="B7">
        <v>89.945416450398071</v>
      </c>
      <c r="C7" s="2">
        <v>21.83436088936012</v>
      </c>
    </row>
    <row r="8" spans="1:3" x14ac:dyDescent="0.3">
      <c r="A8">
        <v>919.81666666804813</v>
      </c>
      <c r="B8">
        <v>88.8376859273165</v>
      </c>
      <c r="C8" s="3">
        <v>22.942091412441709</v>
      </c>
    </row>
    <row r="9" spans="1:3" x14ac:dyDescent="0.3">
      <c r="A9">
        <v>957.41666666697711</v>
      </c>
      <c r="B9">
        <v>84.865579108426147</v>
      </c>
      <c r="C9" s="3">
        <v>26.914198231332051</v>
      </c>
    </row>
    <row r="10" spans="1:3" x14ac:dyDescent="0.3">
      <c r="A10">
        <v>977.29999999632128</v>
      </c>
      <c r="B10">
        <v>82.363124684544857</v>
      </c>
      <c r="C10" s="3">
        <v>29.416652655213351</v>
      </c>
    </row>
    <row r="11" spans="1:3" x14ac:dyDescent="0.3">
      <c r="A11">
        <v>1059.89999999525</v>
      </c>
      <c r="B11">
        <v>75.941788700701295</v>
      </c>
      <c r="C11" s="4">
        <v>36.137964637285933</v>
      </c>
    </row>
    <row r="12" spans="1:3" x14ac:dyDescent="0.3">
      <c r="A12">
        <v>1218.666666664649</v>
      </c>
      <c r="B12">
        <v>62.785377371907103</v>
      </c>
      <c r="C12" s="4">
        <v>46.775844276597432</v>
      </c>
    </row>
    <row r="13" spans="1:3" x14ac:dyDescent="0.3">
      <c r="A13">
        <v>1320.8333333255721</v>
      </c>
      <c r="B13">
        <v>57.672403558192123</v>
      </c>
      <c r="C13" s="4">
        <v>51.779388407118553</v>
      </c>
    </row>
    <row r="14" spans="1:3" x14ac:dyDescent="0.3">
      <c r="A14">
        <v>1404.299999994691</v>
      </c>
      <c r="B14">
        <v>51.940077577141032</v>
      </c>
      <c r="C14" s="4">
        <v>56.467770391007178</v>
      </c>
    </row>
    <row r="15" spans="1:3" x14ac:dyDescent="0.3">
      <c r="A15">
        <v>1527.133333333768</v>
      </c>
      <c r="B15">
        <v>31.694875479278469</v>
      </c>
      <c r="C15" s="1">
        <v>79.097623229147601</v>
      </c>
    </row>
    <row r="16" spans="1:3" x14ac:dyDescent="0.3">
      <c r="A16">
        <v>2409.6166666585491</v>
      </c>
      <c r="B16">
        <v>1.1126910506032941</v>
      </c>
      <c r="C16" s="1">
        <v>107.06237519050509</v>
      </c>
    </row>
    <row r="17" spans="1:4" x14ac:dyDescent="0.3">
      <c r="A17">
        <v>2420.6666666641831</v>
      </c>
      <c r="B17">
        <v>1.016877244580116</v>
      </c>
      <c r="C17" s="1">
        <v>105.1426006378077</v>
      </c>
    </row>
    <row r="18" spans="1:4" x14ac:dyDescent="0.3">
      <c r="D18" s="1"/>
    </row>
    <row r="19" spans="1:4" x14ac:dyDescent="0.3">
      <c r="D19" s="1"/>
    </row>
    <row r="21" spans="1:4" x14ac:dyDescent="0.3">
      <c r="D21" s="4"/>
    </row>
    <row r="22" spans="1:4" x14ac:dyDescent="0.3">
      <c r="D22" s="4"/>
    </row>
    <row r="23" spans="1:4" x14ac:dyDescent="0.3">
      <c r="D23" s="1"/>
    </row>
    <row r="24" spans="1:4" x14ac:dyDescent="0.3">
      <c r="D24" s="1"/>
    </row>
    <row r="25" spans="1:4" x14ac:dyDescent="0.3">
      <c r="D25" s="1"/>
    </row>
    <row r="26" spans="1:4" x14ac:dyDescent="0.3">
      <c r="D26" s="1"/>
    </row>
    <row r="27" spans="1:4" x14ac:dyDescent="0.3">
      <c r="D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C4_E8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2025-02-09T19:05:56Z</dcterms:created>
  <dcterms:modified xsi:type="dcterms:W3CDTF">2026-01-12T11:19:16Z</dcterms:modified>
</cp:coreProperties>
</file>
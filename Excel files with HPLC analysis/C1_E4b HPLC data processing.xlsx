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6" documentId="11_74466DBA0FA06702730F83FF491A759C46D2426A" xr6:coauthVersionLast="47" xr6:coauthVersionMax="47" xr10:uidLastSave="{9399364F-1876-4A72-A520-68B4E74FB096}"/>
  <bookViews>
    <workbookView xWindow="28695" yWindow="0" windowWidth="14610" windowHeight="15585" activeTab="2" xr2:uid="{00000000-000D-0000-FFFF-FFFF00000000}"/>
  </bookViews>
  <sheets>
    <sheet name="C1_E4b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19" i="2"/>
  <c r="C18" i="2"/>
  <c r="C17" i="2"/>
  <c r="C16" i="2"/>
  <c r="C15" i="2"/>
  <c r="H9" i="2" s="1"/>
  <c r="H14" i="2"/>
  <c r="C14" i="2"/>
  <c r="H8" i="2" s="1"/>
  <c r="H13" i="2"/>
  <c r="C13" i="2"/>
  <c r="H12" i="2"/>
  <c r="C12" i="2"/>
  <c r="H7" i="2" s="1"/>
  <c r="H11" i="2"/>
  <c r="C11" i="2"/>
  <c r="H10" i="2"/>
  <c r="C10" i="2"/>
  <c r="C9" i="2"/>
  <c r="C8" i="2"/>
  <c r="C7" i="2"/>
  <c r="H3" i="2" s="1"/>
  <c r="H6" i="2"/>
  <c r="C6" i="2"/>
  <c r="H5" i="2"/>
  <c r="C5" i="2"/>
  <c r="H4" i="2"/>
  <c r="F4" i="2"/>
  <c r="C4" i="2"/>
  <c r="C3" i="2"/>
  <c r="F3" i="2" s="1"/>
  <c r="H2" i="2"/>
  <c r="C2" i="2"/>
  <c r="F2" i="2" s="1"/>
  <c r="F1" i="2"/>
  <c r="C1" i="2"/>
  <c r="H1" i="2" s="1"/>
  <c r="J16" i="1"/>
  <c r="F16" i="1"/>
  <c r="K16" i="1" s="1"/>
  <c r="J15" i="1"/>
  <c r="K15" i="1" s="1"/>
  <c r="F15" i="1"/>
  <c r="J14" i="1"/>
  <c r="F14" i="1"/>
  <c r="K14" i="1" s="1"/>
  <c r="J13" i="1"/>
  <c r="F13" i="1"/>
  <c r="K13" i="1" s="1"/>
  <c r="J12" i="1"/>
  <c r="F12" i="1"/>
  <c r="K12" i="1" s="1"/>
  <c r="J11" i="1"/>
  <c r="K11" i="1" s="1"/>
  <c r="F11" i="1"/>
  <c r="J10" i="1"/>
  <c r="F10" i="1"/>
  <c r="K10" i="1" s="1"/>
  <c r="J9" i="1"/>
  <c r="F9" i="1"/>
  <c r="K9" i="1" s="1"/>
  <c r="K8" i="1"/>
  <c r="J8" i="1"/>
  <c r="F8" i="1"/>
  <c r="J7" i="1"/>
  <c r="F7" i="1"/>
  <c r="K7" i="1" s="1"/>
  <c r="K6" i="1"/>
  <c r="J6" i="1"/>
  <c r="F6" i="1"/>
  <c r="J5" i="1"/>
  <c r="F5" i="1"/>
  <c r="K5" i="1" s="1"/>
  <c r="J4" i="1"/>
  <c r="K4" i="1" s="1"/>
  <c r="F4" i="1"/>
</calcChain>
</file>

<file path=xl/sharedStrings.xml><?xml version="1.0" encoding="utf-8"?>
<sst xmlns="http://schemas.openxmlformats.org/spreadsheetml/2006/main" count="61" uniqueCount="57">
  <si>
    <t>filename</t>
  </si>
  <si>
    <t>Biphenyl</t>
  </si>
  <si>
    <t>4-SO2Me-ArOPh</t>
  </si>
  <si>
    <t>Ratio of integral with IS</t>
  </si>
  <si>
    <t>concentrations</t>
  </si>
  <si>
    <t>Product</t>
  </si>
  <si>
    <t>C1_E4b-S0</t>
  </si>
  <si>
    <t>nan</t>
  </si>
  <si>
    <t>C1_E4b-S1</t>
  </si>
  <si>
    <t>C1_E4b-S2</t>
  </si>
  <si>
    <t>C1_E4b-S3</t>
  </si>
  <si>
    <t>C1_E4b-S4</t>
  </si>
  <si>
    <t>C1_E4b-S5</t>
  </si>
  <si>
    <t>C1_E4b-S6</t>
  </si>
  <si>
    <t>C1_E4b-S7</t>
  </si>
  <si>
    <t>C1_E4b-S8</t>
  </si>
  <si>
    <t>C1_E4b-S9</t>
  </si>
  <si>
    <t>C1_E4b-S10</t>
  </si>
  <si>
    <t>C1_E4b-S11</t>
  </si>
  <si>
    <t>C1_E4b-S12</t>
  </si>
  <si>
    <t>V1:</t>
  </si>
  <si>
    <t>V1</t>
  </si>
  <si>
    <t>S0</t>
  </si>
  <si>
    <t>V2:</t>
  </si>
  <si>
    <t>V2</t>
  </si>
  <si>
    <t>S1</t>
  </si>
  <si>
    <t>Phenol:</t>
  </si>
  <si>
    <t>V3</t>
  </si>
  <si>
    <t>S2</t>
  </si>
  <si>
    <t>V3:</t>
  </si>
  <si>
    <t>V4</t>
  </si>
  <si>
    <t>S3</t>
  </si>
  <si>
    <t>Start:</t>
  </si>
  <si>
    <t>S4</t>
  </si>
  <si>
    <t>S1:</t>
  </si>
  <si>
    <t>S5</t>
  </si>
  <si>
    <t>S6</t>
  </si>
  <si>
    <t>S3:</t>
  </si>
  <si>
    <t>S7</t>
  </si>
  <si>
    <t>S8</t>
  </si>
  <si>
    <t>S4:</t>
  </si>
  <si>
    <t>S9</t>
  </si>
  <si>
    <t>S5:</t>
  </si>
  <si>
    <t>S10</t>
  </si>
  <si>
    <t>S6:</t>
  </si>
  <si>
    <t>S11</t>
  </si>
  <si>
    <t>S12</t>
  </si>
  <si>
    <t>S7:</t>
  </si>
  <si>
    <t>S13</t>
  </si>
  <si>
    <t>S8:</t>
  </si>
  <si>
    <t>S9: </t>
  </si>
  <si>
    <t>S10:</t>
  </si>
  <si>
    <t>S11:</t>
  </si>
  <si>
    <t>S12:</t>
  </si>
  <si>
    <t>Time / min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</si>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</sst>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21" fontId="1" fillId="0" borderId="0" xfId="0" applyNumberFormat="1" applyFont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HPLC concentration vs time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81714785651794"/>
          <c:y val="0.17171296296296296"/>
          <c:w val="0.83259951881014871"/>
          <c:h val="0.59125729075532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0.00</c:formatCode>
                <c:ptCount val="13"/>
                <c:pt idx="0">
                  <c:v>0</c:v>
                </c:pt>
                <c:pt idx="1">
                  <c:v>3.0333333333332222</c:v>
                </c:pt>
                <c:pt idx="2">
                  <c:v>15.633333333333271</c:v>
                </c:pt>
                <c:pt idx="3">
                  <c:v>65.833333333333286</c:v>
                </c:pt>
                <c:pt idx="4">
                  <c:v>71.049999999999912</c:v>
                </c:pt>
                <c:pt idx="5">
                  <c:v>74.249999999999943</c:v>
                </c:pt>
                <c:pt idx="6">
                  <c:v>80.233333333333306</c:v>
                </c:pt>
                <c:pt idx="7">
                  <c:v>87.816666666666592</c:v>
                </c:pt>
                <c:pt idx="8">
                  <c:v>96.066666666666606</c:v>
                </c:pt>
                <c:pt idx="9">
                  <c:v>101.3666666666666</c:v>
                </c:pt>
                <c:pt idx="10">
                  <c:v>111.2166666666666</c:v>
                </c:pt>
                <c:pt idx="11">
                  <c:v>118.93333333333329</c:v>
                </c:pt>
                <c:pt idx="12">
                  <c:v>140.19999999999979</c:v>
                </c:pt>
              </c:numCache>
            </c:numRef>
          </c:xVal>
          <c:yVal>
            <c:numRef>
              <c:f>'Concentration vs time HPLC'!$B$2:$B$14</c:f>
              <c:numCache>
                <c:formatCode>General</c:formatCode>
                <c:ptCount val="13"/>
                <c:pt idx="0">
                  <c:v>126.76921700688369</c:v>
                </c:pt>
                <c:pt idx="1">
                  <c:v>122.3005374384922</c:v>
                </c:pt>
                <c:pt idx="2">
                  <c:v>113.6297027250116</c:v>
                </c:pt>
                <c:pt idx="3">
                  <c:v>103.0322961940619</c:v>
                </c:pt>
                <c:pt idx="4">
                  <c:v>97.380143331214583</c:v>
                </c:pt>
                <c:pt idx="5">
                  <c:v>90.378610403594323</c:v>
                </c:pt>
                <c:pt idx="6">
                  <c:v>83.150789928384626</c:v>
                </c:pt>
                <c:pt idx="7">
                  <c:v>74.886470654764992</c:v>
                </c:pt>
                <c:pt idx="8">
                  <c:v>70.196778322029914</c:v>
                </c:pt>
                <c:pt idx="9">
                  <c:v>67.418296859163988</c:v>
                </c:pt>
                <c:pt idx="10">
                  <c:v>57.337379516719558</c:v>
                </c:pt>
                <c:pt idx="11">
                  <c:v>44.287479476153209</c:v>
                </c:pt>
                <c:pt idx="12">
                  <c:v>25.32294849813233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33-4F09-9520-5660FC929AE8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0.00</c:formatCode>
                <c:ptCount val="13"/>
                <c:pt idx="0">
                  <c:v>0</c:v>
                </c:pt>
                <c:pt idx="1">
                  <c:v>3.0333333333332222</c:v>
                </c:pt>
                <c:pt idx="2">
                  <c:v>15.633333333333271</c:v>
                </c:pt>
                <c:pt idx="3">
                  <c:v>65.833333333333286</c:v>
                </c:pt>
                <c:pt idx="4">
                  <c:v>71.049999999999912</c:v>
                </c:pt>
                <c:pt idx="5">
                  <c:v>74.249999999999943</c:v>
                </c:pt>
                <c:pt idx="6">
                  <c:v>80.233333333333306</c:v>
                </c:pt>
                <c:pt idx="7">
                  <c:v>87.816666666666592</c:v>
                </c:pt>
                <c:pt idx="8">
                  <c:v>96.066666666666606</c:v>
                </c:pt>
                <c:pt idx="9">
                  <c:v>101.3666666666666</c:v>
                </c:pt>
                <c:pt idx="10">
                  <c:v>111.2166666666666</c:v>
                </c:pt>
                <c:pt idx="11">
                  <c:v>118.93333333333329</c:v>
                </c:pt>
                <c:pt idx="12">
                  <c:v>140.19999999999979</c:v>
                </c:pt>
              </c:numCache>
            </c:numRef>
          </c:xVal>
          <c:yVal>
            <c:numRef>
              <c:f>'Concentration vs time HPLC'!$C$2:$C$14</c:f>
              <c:numCache>
                <c:formatCode>General</c:formatCode>
                <c:ptCount val="13"/>
                <c:pt idx="0">
                  <c:v>0</c:v>
                </c:pt>
                <c:pt idx="1">
                  <c:v>3.0779667197354388</c:v>
                </c:pt>
                <c:pt idx="2">
                  <c:v>12.39721940730497</c:v>
                </c:pt>
                <c:pt idx="3">
                  <c:v>25.597814089205659</c:v>
                </c:pt>
                <c:pt idx="4">
                  <c:v>30.72240310515685</c:v>
                </c:pt>
                <c:pt idx="5">
                  <c:v>35.344561589410468</c:v>
                </c:pt>
                <c:pt idx="6">
                  <c:v>43.749862751026761</c:v>
                </c:pt>
                <c:pt idx="7">
                  <c:v>50.992019823013699</c:v>
                </c:pt>
                <c:pt idx="8">
                  <c:v>56.139138291420799</c:v>
                </c:pt>
                <c:pt idx="9">
                  <c:v>60.086845398396761</c:v>
                </c:pt>
                <c:pt idx="10">
                  <c:v>66.290549930989229</c:v>
                </c:pt>
                <c:pt idx="11">
                  <c:v>80.25484759761828</c:v>
                </c:pt>
                <c:pt idx="12">
                  <c:v>99.408880231217495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33-4F09-9520-5660FC929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9041984"/>
        <c:axId val="1399041024"/>
      </c:scatterChart>
      <c:valAx>
        <c:axId val="1399041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/ 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41024"/>
        <c:crosses val="autoZero"/>
        <c:crossBetween val="midCat"/>
      </c:valAx>
      <c:valAx>
        <c:axId val="139904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 / mM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041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405008748906385"/>
          <c:y val="0.90798556430446198"/>
          <c:w val="0.2132220278020803"/>
          <c:h val="7.8947920983561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350520</xdr:colOff>
      <xdr:row>0</xdr:row>
      <xdr:rowOff>110490</xdr:rowOff>
    </xdr:from>
    <xdr:to>
      <xdr:col>10</xdr:col>
      <xdr:colOff>198120</xdr:colOff>
      <xdr:row>15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195BD7-B981-F096-51A8-96A1627B6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%2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 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N29"/>
  <sheetViews>
    <sheetView workbookViewId="0">
      <selection activeCell="A4" sqref="A4:A16"/>
    </sheetView>
  </sheetViews>
  <sheetFormatPr defaultRowHeight="14.4" x14ac:dyDescent="0.3"/>
  <cols>
    <col min="1" max="1" width="10.10937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</row>
    <row r="3" spans="1:14" x14ac:dyDescent="0.3">
      <c r="B3">
        <v>4.2575722841116104</v>
      </c>
      <c r="C3">
        <v>1.53585455967829</v>
      </c>
      <c r="G3">
        <v>2.5125615699474602</v>
      </c>
      <c r="N3">
        <v>31.004234375915619</v>
      </c>
    </row>
    <row r="4" spans="1:14" x14ac:dyDescent="0.3">
      <c r="A4" t="s">
        <v>6</v>
      </c>
      <c r="B4">
        <v>260.66796875</v>
      </c>
      <c r="C4">
        <v>1849.25146484375</v>
      </c>
      <c r="D4">
        <v>7.0942796451424304</v>
      </c>
      <c r="E4">
        <v>12.185296539234599</v>
      </c>
      <c r="F4" s="5">
        <f>E4*$N$5</f>
        <v>126.76921700688364</v>
      </c>
      <c r="G4" t="s">
        <v>7</v>
      </c>
      <c r="H4" t="s">
        <v>7</v>
      </c>
      <c r="I4">
        <v>0</v>
      </c>
      <c r="J4" s="5">
        <f>I4*$N$5</f>
        <v>0</v>
      </c>
      <c r="K4">
        <f t="shared" ref="K4:K16" si="0">SUM(F4,J4)</f>
        <v>126.76921700688364</v>
      </c>
      <c r="N4">
        <v>126.7332614665039</v>
      </c>
    </row>
    <row r="5" spans="1:14" x14ac:dyDescent="0.3">
      <c r="A5" t="s">
        <v>8</v>
      </c>
      <c r="B5">
        <v>723.3173828125</v>
      </c>
      <c r="C5">
        <v>4950.53076171875</v>
      </c>
      <c r="D5">
        <v>6.84420266863963</v>
      </c>
      <c r="E5">
        <v>11.7557586201299</v>
      </c>
      <c r="F5" s="5">
        <f>E5*$N$5</f>
        <v>122.30053743849217</v>
      </c>
      <c r="G5">
        <v>134.69201660156301</v>
      </c>
      <c r="H5">
        <v>0.18621426748771799</v>
      </c>
      <c r="I5">
        <v>0.29585997376504197</v>
      </c>
      <c r="J5" s="5">
        <f>I5*$N$5</f>
        <v>3.0779667197354379</v>
      </c>
      <c r="K5">
        <f t="shared" si="0"/>
        <v>125.37850415822761</v>
      </c>
      <c r="N5">
        <v>10.40345769171133</v>
      </c>
    </row>
    <row r="6" spans="1:14" x14ac:dyDescent="0.3">
      <c r="A6" t="s">
        <v>9</v>
      </c>
      <c r="B6">
        <v>919.66693115234398</v>
      </c>
      <c r="C6">
        <v>5848.12890625</v>
      </c>
      <c r="D6">
        <v>6.3589639989798101</v>
      </c>
      <c r="E6">
        <v>10.922301612813101</v>
      </c>
      <c r="F6" s="5">
        <f>E6*$N$5</f>
        <v>113.62970272501151</v>
      </c>
      <c r="G6">
        <v>689.76934814453205</v>
      </c>
      <c r="H6">
        <v>0.750020822516962</v>
      </c>
      <c r="I6">
        <v>1.19164414127258</v>
      </c>
      <c r="J6" s="5">
        <f>I6*$N$5</f>
        <v>12.397219407304965</v>
      </c>
      <c r="K6">
        <f t="shared" si="0"/>
        <v>126.02692213231647</v>
      </c>
    </row>
    <row r="7" spans="1:14" x14ac:dyDescent="0.3">
      <c r="A7" t="s">
        <v>10</v>
      </c>
      <c r="B7">
        <v>314.08297729492199</v>
      </c>
      <c r="C7">
        <v>1810.97424316406</v>
      </c>
      <c r="D7">
        <v>5.7659102023334601</v>
      </c>
      <c r="E7">
        <v>9.9036588841179292</v>
      </c>
      <c r="F7" s="5">
        <f>E7*$N$5</f>
        <v>103.03229619406191</v>
      </c>
      <c r="G7">
        <v>486.403076171875</v>
      </c>
      <c r="H7">
        <v>1.54864513945034</v>
      </c>
      <c r="I7">
        <v>2.4605102310936502</v>
      </c>
      <c r="J7" s="5">
        <f>I7*$N$5</f>
        <v>25.597814089205656</v>
      </c>
      <c r="K7">
        <f t="shared" si="0"/>
        <v>128.63011028326758</v>
      </c>
    </row>
    <row r="8" spans="1:14" x14ac:dyDescent="0.3">
      <c r="A8" t="s">
        <v>11</v>
      </c>
      <c r="B8">
        <v>324.98489379882801</v>
      </c>
      <c r="C8">
        <v>1784.39074707031</v>
      </c>
      <c r="D8">
        <v>5.49068827849851</v>
      </c>
      <c r="E8">
        <v>9.4309314299184397</v>
      </c>
      <c r="F8" s="6">
        <f>E8*$N$12</f>
        <v>97.380143331214526</v>
      </c>
      <c r="G8">
        <v>608.59625244140602</v>
      </c>
      <c r="H8">
        <v>1.8726908974979499</v>
      </c>
      <c r="I8">
        <v>2.97535890927543</v>
      </c>
      <c r="J8" s="6">
        <f>I8*$N$12</f>
        <v>30.72240310515684</v>
      </c>
      <c r="K8">
        <f t="shared" si="0"/>
        <v>128.10254643637137</v>
      </c>
    </row>
    <row r="9" spans="1:14" x14ac:dyDescent="0.3">
      <c r="A9" t="s">
        <v>12</v>
      </c>
      <c r="B9">
        <v>394.11877441406301</v>
      </c>
      <c r="C9">
        <v>2008.39514160156</v>
      </c>
      <c r="D9">
        <v>5.09591339460406</v>
      </c>
      <c r="E9">
        <v>8.7528570845140106</v>
      </c>
      <c r="F9" s="6">
        <f>E9*$N$12</f>
        <v>90.378610403594266</v>
      </c>
      <c r="G9">
        <v>849.103515625</v>
      </c>
      <c r="H9">
        <v>2.15443559340039</v>
      </c>
      <c r="I9">
        <v>3.42299903622561</v>
      </c>
      <c r="J9" s="6">
        <f>I9*$N$12</f>
        <v>35.344561589410453</v>
      </c>
      <c r="K9">
        <f t="shared" si="0"/>
        <v>125.72317199300471</v>
      </c>
    </row>
    <row r="10" spans="1:14" x14ac:dyDescent="0.3">
      <c r="A10" t="s">
        <v>13</v>
      </c>
      <c r="B10">
        <v>358.55374145507801</v>
      </c>
      <c r="C10">
        <v>1681.03601074219</v>
      </c>
      <c r="D10">
        <v>4.6883794990403098</v>
      </c>
      <c r="E10">
        <v>8.0528675696329692</v>
      </c>
      <c r="F10" s="6">
        <f>E10*$N$12</f>
        <v>83.150789928384569</v>
      </c>
      <c r="G10">
        <v>956.18487548828205</v>
      </c>
      <c r="H10">
        <v>2.6667825905480802</v>
      </c>
      <c r="I10">
        <v>4.2370234994408698</v>
      </c>
      <c r="J10" s="6">
        <f>I10*$N$12</f>
        <v>43.74986275102674</v>
      </c>
      <c r="K10">
        <f t="shared" si="0"/>
        <v>126.90065267941131</v>
      </c>
      <c r="N10">
        <v>94.00146763340436</v>
      </c>
    </row>
    <row r="11" spans="1:14" x14ac:dyDescent="0.3">
      <c r="A11" t="s">
        <v>14</v>
      </c>
      <c r="B11">
        <v>616.29559326171898</v>
      </c>
      <c r="C11">
        <v>2636.69213867188</v>
      </c>
      <c r="D11">
        <v>4.2782914035086499</v>
      </c>
      <c r="E11">
        <v>7.3484909026256497</v>
      </c>
      <c r="F11" s="7">
        <f>E11*$N$20</f>
        <v>74.88647065476502</v>
      </c>
      <c r="G11">
        <v>1915.58837890625</v>
      </c>
      <c r="H11">
        <v>3.1082298816515501</v>
      </c>
      <c r="I11">
        <v>4.9384014643335803</v>
      </c>
      <c r="J11" s="7">
        <f>I11*$N$12</f>
        <v>50.992019823013671</v>
      </c>
      <c r="K11">
        <f t="shared" si="0"/>
        <v>125.87849047777868</v>
      </c>
      <c r="N11">
        <v>125.78496359765199</v>
      </c>
    </row>
    <row r="12" spans="1:14" x14ac:dyDescent="0.3">
      <c r="A12" t="s">
        <v>15</v>
      </c>
      <c r="B12">
        <v>165.04978942871099</v>
      </c>
      <c r="C12">
        <v>669.32537841796898</v>
      </c>
      <c r="D12">
        <v>4.05529374338927</v>
      </c>
      <c r="E12">
        <v>6.9654650350210803</v>
      </c>
      <c r="F12" s="7">
        <f>E12*$N$28</f>
        <v>70.1967783220299</v>
      </c>
      <c r="G12">
        <v>578.68255615234398</v>
      </c>
      <c r="H12">
        <v>3.50610902416383</v>
      </c>
      <c r="I12">
        <v>5.5705577123670604</v>
      </c>
      <c r="J12" s="7">
        <f>I12*$N$28</f>
        <v>56.139138291420785</v>
      </c>
      <c r="K12">
        <f t="shared" si="0"/>
        <v>126.33591661345068</v>
      </c>
      <c r="N12">
        <v>10.325612486407049</v>
      </c>
    </row>
    <row r="13" spans="1:14" x14ac:dyDescent="0.3">
      <c r="A13" t="s">
        <v>16</v>
      </c>
      <c r="B13">
        <v>210.52278137207099</v>
      </c>
      <c r="C13">
        <v>810.85626220703102</v>
      </c>
      <c r="D13">
        <v>3.8516319085389101</v>
      </c>
      <c r="E13">
        <v>6.6156508219493499</v>
      </c>
      <c r="F13" s="7">
        <f>E13*$N$20</f>
        <v>67.418296859164002</v>
      </c>
      <c r="G13">
        <v>781.26800537109398</v>
      </c>
      <c r="H13">
        <v>3.7110853290043999</v>
      </c>
      <c r="I13">
        <v>5.8962270877095602</v>
      </c>
      <c r="J13" s="7">
        <f>I13*$N$20</f>
        <v>60.086845398396775</v>
      </c>
      <c r="K13">
        <f t="shared" si="0"/>
        <v>127.50514225756078</v>
      </c>
      <c r="N13">
        <v>0</v>
      </c>
    </row>
    <row r="14" spans="1:14" x14ac:dyDescent="0.3">
      <c r="A14" t="s">
        <v>17</v>
      </c>
      <c r="B14">
        <v>553.86279296875</v>
      </c>
      <c r="C14">
        <v>1834.61596679688</v>
      </c>
      <c r="D14">
        <v>3.3124015371445799</v>
      </c>
      <c r="E14">
        <v>5.6894564361809996</v>
      </c>
      <c r="F14" s="8">
        <f>E14*$N$28</f>
        <v>57.337379516719551</v>
      </c>
      <c r="G14">
        <v>2293.0498046875</v>
      </c>
      <c r="H14">
        <v>4.14010443344021</v>
      </c>
      <c r="I14">
        <v>6.5778589663810099</v>
      </c>
      <c r="J14" s="8">
        <f>I14*$N$28</f>
        <v>66.290549930989229</v>
      </c>
      <c r="K14">
        <f t="shared" si="0"/>
        <v>123.62792944770878</v>
      </c>
    </row>
    <row r="15" spans="1:14" x14ac:dyDescent="0.3">
      <c r="A15" t="s">
        <v>18</v>
      </c>
      <c r="B15">
        <v>202.59324645996099</v>
      </c>
      <c r="C15">
        <v>518.33563232421898</v>
      </c>
      <c r="D15">
        <v>2.5585040043605698</v>
      </c>
      <c r="E15">
        <v>4.3945448374451601</v>
      </c>
      <c r="F15" s="8">
        <f>E15*$N$28</f>
        <v>44.287479476153202</v>
      </c>
      <c r="G15">
        <v>1015.44384765625</v>
      </c>
      <c r="H15">
        <v>5.0122295061643802</v>
      </c>
      <c r="I15">
        <v>7.9635041407124003</v>
      </c>
      <c r="J15" s="8">
        <f>I15*$N$28</f>
        <v>80.254847597618266</v>
      </c>
      <c r="K15">
        <f t="shared" si="0"/>
        <v>124.54232707377147</v>
      </c>
    </row>
    <row r="16" spans="1:14" x14ac:dyDescent="0.3">
      <c r="A16" t="s">
        <v>19</v>
      </c>
      <c r="B16">
        <v>457.41882324218801</v>
      </c>
      <c r="C16">
        <v>669.16534423828102</v>
      </c>
      <c r="D16">
        <v>1.46291606343445</v>
      </c>
      <c r="E16">
        <v>2.5127379997156498</v>
      </c>
      <c r="F16" s="8">
        <f>E16*$N$28</f>
        <v>25.32294849813233</v>
      </c>
      <c r="G16">
        <v>2839.87280273438</v>
      </c>
      <c r="H16">
        <v>6.2084738503005603</v>
      </c>
      <c r="I16">
        <v>9.8641147923428001</v>
      </c>
      <c r="J16" s="8">
        <f>I16*$N$28</f>
        <v>99.408880231217481</v>
      </c>
      <c r="K16">
        <f t="shared" si="0"/>
        <v>124.73182872934981</v>
      </c>
    </row>
    <row r="17" spans="6:14" x14ac:dyDescent="0.3">
      <c r="F17" s="8"/>
      <c r="J17" s="8"/>
    </row>
    <row r="18" spans="6:14" x14ac:dyDescent="0.3">
      <c r="F18" s="8"/>
      <c r="N18">
        <v>92.773515596951</v>
      </c>
    </row>
    <row r="19" spans="6:14" x14ac:dyDescent="0.3">
      <c r="N19">
        <v>124.14182007985799</v>
      </c>
    </row>
    <row r="20" spans="6:14" x14ac:dyDescent="0.3">
      <c r="N20">
        <v>10.190727817055301</v>
      </c>
    </row>
    <row r="21" spans="6:14" x14ac:dyDescent="0.3">
      <c r="N21">
        <v>148.52336278164279</v>
      </c>
    </row>
    <row r="26" spans="6:14" x14ac:dyDescent="0.3">
      <c r="N26">
        <v>185.35973904027759</v>
      </c>
    </row>
    <row r="27" spans="6:14" x14ac:dyDescent="0.3">
      <c r="N27">
        <v>122.7665270809717</v>
      </c>
    </row>
    <row r="28" spans="6:14" x14ac:dyDescent="0.3">
      <c r="N28">
        <v>10.077830836719929</v>
      </c>
    </row>
    <row r="29" spans="6:14" x14ac:dyDescent="0.3">
      <c r="N29">
        <v>146.87796124915971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O29"/>
  <sheetViews>
    <sheetView workbookViewId="0">
      <selection activeCell="E10" sqref="E10"/>
    </sheetView>
  </sheetViews>
  <sheetFormatPr defaultRowHeight="14.4" x14ac:dyDescent="0.3"/>
  <sheetData>
    <row r="1" spans="1:15" x14ac:dyDescent="0.3">
      <c r="A1" s="1" t="s">
        <v>20</v>
      </c>
      <c r="B1" s="2">
        <v>0.53134259259259264</v>
      </c>
      <c r="C1" s="3">
        <f t="shared" ref="C1:C20" si="0">(B1-$B$1)*86400/60</f>
        <v>0</v>
      </c>
      <c r="E1" t="s">
        <v>21</v>
      </c>
      <c r="F1" s="3">
        <f>C1</f>
        <v>0</v>
      </c>
      <c r="G1" t="s">
        <v>22</v>
      </c>
      <c r="H1" s="3">
        <f>C1</f>
        <v>0</v>
      </c>
      <c r="J1" s="1"/>
      <c r="K1" s="4"/>
      <c r="L1" s="2"/>
      <c r="N1" s="1"/>
      <c r="O1" s="2"/>
    </row>
    <row r="2" spans="1:15" x14ac:dyDescent="0.3">
      <c r="A2" s="1" t="s">
        <v>23</v>
      </c>
      <c r="B2" s="2">
        <v>0.57922453703703702</v>
      </c>
      <c r="C2" s="3">
        <f t="shared" si="0"/>
        <v>68.949999999999903</v>
      </c>
      <c r="E2" t="s">
        <v>24</v>
      </c>
      <c r="F2" s="3">
        <f>C2</f>
        <v>68.949999999999903</v>
      </c>
      <c r="G2" t="s">
        <v>25</v>
      </c>
      <c r="H2" s="3">
        <f>C6</f>
        <v>3.0333333333332217</v>
      </c>
      <c r="J2" s="1"/>
      <c r="K2" s="4"/>
      <c r="L2" s="2"/>
      <c r="N2" s="1"/>
      <c r="O2" s="2"/>
    </row>
    <row r="3" spans="1:15" x14ac:dyDescent="0.3">
      <c r="A3" s="1" t="s">
        <v>26</v>
      </c>
      <c r="B3" s="2">
        <v>0.5876851851851852</v>
      </c>
      <c r="C3" s="3">
        <f t="shared" si="0"/>
        <v>81.133333333333269</v>
      </c>
      <c r="E3" t="s">
        <v>27</v>
      </c>
      <c r="F3" s="3">
        <f>C3</f>
        <v>81.133333333333269</v>
      </c>
      <c r="G3" t="s">
        <v>28</v>
      </c>
      <c r="H3" s="3">
        <f>C7</f>
        <v>15.633333333333272</v>
      </c>
      <c r="J3" s="1"/>
      <c r="K3" s="4"/>
      <c r="L3" s="2"/>
      <c r="N3" s="1"/>
      <c r="O3" s="2"/>
    </row>
    <row r="4" spans="1:15" x14ac:dyDescent="0.3">
      <c r="A4" s="1" t="s">
        <v>29</v>
      </c>
      <c r="B4" s="2">
        <v>0.60746527777777781</v>
      </c>
      <c r="C4" s="3">
        <f t="shared" si="0"/>
        <v>109.61666666666663</v>
      </c>
      <c r="E4" t="s">
        <v>30</v>
      </c>
      <c r="F4" s="3">
        <f>C4</f>
        <v>109.61666666666663</v>
      </c>
      <c r="G4" t="s">
        <v>31</v>
      </c>
      <c r="H4" s="3">
        <f>C8</f>
        <v>65.833333333333286</v>
      </c>
      <c r="J4" s="1"/>
      <c r="K4" s="4"/>
      <c r="L4" s="2"/>
      <c r="N4" s="1"/>
      <c r="O4" s="2"/>
    </row>
    <row r="5" spans="1:15" x14ac:dyDescent="0.3">
      <c r="A5" s="1" t="s">
        <v>32</v>
      </c>
      <c r="B5" s="2">
        <v>0.5196412037037037</v>
      </c>
      <c r="C5" s="3">
        <f t="shared" si="0"/>
        <v>-16.850000000000076</v>
      </c>
      <c r="F5" s="3"/>
      <c r="G5" t="s">
        <v>33</v>
      </c>
      <c r="H5" s="3">
        <f>C10</f>
        <v>71.049999999999912</v>
      </c>
      <c r="J5" s="1"/>
      <c r="K5" s="4"/>
      <c r="L5" s="2"/>
      <c r="N5" s="1"/>
      <c r="O5" s="2"/>
    </row>
    <row r="6" spans="1:15" x14ac:dyDescent="0.3">
      <c r="A6" s="1" t="s">
        <v>34</v>
      </c>
      <c r="B6" s="2">
        <v>0.53344907407407405</v>
      </c>
      <c r="C6" s="3">
        <f t="shared" si="0"/>
        <v>3.0333333333332217</v>
      </c>
      <c r="F6" s="3"/>
      <c r="G6" t="s">
        <v>35</v>
      </c>
      <c r="H6" s="3">
        <f>C11</f>
        <v>74.249999999999943</v>
      </c>
      <c r="J6" s="1"/>
      <c r="K6" s="4"/>
      <c r="L6" s="2"/>
      <c r="N6" s="1"/>
      <c r="O6" s="2"/>
    </row>
    <row r="7" spans="1:15" x14ac:dyDescent="0.3">
      <c r="A7" s="1" t="s">
        <v>28</v>
      </c>
      <c r="B7" s="2">
        <v>0.54219907407407408</v>
      </c>
      <c r="C7" s="3">
        <f t="shared" si="0"/>
        <v>15.633333333333272</v>
      </c>
      <c r="F7" s="3"/>
      <c r="G7" t="s">
        <v>36</v>
      </c>
      <c r="H7" s="3">
        <f>C12</f>
        <v>20.233333333333192</v>
      </c>
      <c r="J7" s="1"/>
      <c r="K7" s="4"/>
      <c r="L7" s="2"/>
      <c r="N7" s="1"/>
      <c r="O7" s="2"/>
    </row>
    <row r="8" spans="1:15" x14ac:dyDescent="0.3">
      <c r="A8" s="1" t="s">
        <v>37</v>
      </c>
      <c r="B8" s="2">
        <v>0.5770601851851852</v>
      </c>
      <c r="C8" s="3">
        <f t="shared" si="0"/>
        <v>65.833333333333286</v>
      </c>
      <c r="G8" t="s">
        <v>38</v>
      </c>
      <c r="H8" s="3">
        <f>C14</f>
        <v>87.816666666666592</v>
      </c>
      <c r="J8" s="1"/>
      <c r="K8" s="4"/>
      <c r="L8" s="2"/>
      <c r="N8" s="1"/>
      <c r="O8" s="2"/>
    </row>
    <row r="9" spans="1:15" x14ac:dyDescent="0.3">
      <c r="C9" s="3">
        <f t="shared" si="0"/>
        <v>-765.13333333333344</v>
      </c>
      <c r="G9" t="s">
        <v>39</v>
      </c>
      <c r="H9" s="3">
        <f>C15</f>
        <v>96.066666666666606</v>
      </c>
      <c r="J9" s="1"/>
      <c r="K9" s="2"/>
    </row>
    <row r="10" spans="1:15" x14ac:dyDescent="0.3">
      <c r="A10" s="1" t="s">
        <v>40</v>
      </c>
      <c r="B10" s="2">
        <v>0.58068287037037036</v>
      </c>
      <c r="C10" s="3">
        <f t="shared" si="0"/>
        <v>71.049999999999912</v>
      </c>
      <c r="G10" t="s">
        <v>41</v>
      </c>
      <c r="H10" s="3">
        <f>C16</f>
        <v>101.36666666666663</v>
      </c>
      <c r="K10" s="4"/>
      <c r="L10" s="2"/>
      <c r="N10" s="1"/>
      <c r="O10" s="2"/>
    </row>
    <row r="11" spans="1:15" x14ac:dyDescent="0.3">
      <c r="A11" s="1" t="s">
        <v>42</v>
      </c>
      <c r="B11" s="2">
        <v>0.5829050925925926</v>
      </c>
      <c r="C11" s="3">
        <f t="shared" si="0"/>
        <v>74.249999999999943</v>
      </c>
      <c r="G11" t="s">
        <v>43</v>
      </c>
      <c r="H11" s="3">
        <f>C18</f>
        <v>111.21666666666657</v>
      </c>
      <c r="J11" s="1"/>
      <c r="K11" s="4"/>
      <c r="L11" s="2"/>
      <c r="N11" s="1"/>
      <c r="O11" s="2"/>
    </row>
    <row r="12" spans="1:15" x14ac:dyDescent="0.3">
      <c r="A12" s="1" t="s">
        <v>44</v>
      </c>
      <c r="B12" s="2">
        <v>0.54539351851851847</v>
      </c>
      <c r="C12" s="3">
        <f t="shared" si="0"/>
        <v>20.233333333333192</v>
      </c>
      <c r="G12" t="s">
        <v>45</v>
      </c>
      <c r="H12" s="3">
        <f>C19</f>
        <v>118.93333333333327</v>
      </c>
      <c r="J12" s="1"/>
      <c r="K12" s="4"/>
      <c r="L12" s="2"/>
      <c r="N12" s="1"/>
      <c r="O12" s="2"/>
    </row>
    <row r="13" spans="1:15" x14ac:dyDescent="0.3">
      <c r="C13" s="3">
        <f t="shared" si="0"/>
        <v>-765.13333333333344</v>
      </c>
      <c r="G13" t="s">
        <v>46</v>
      </c>
      <c r="H13" s="3">
        <f>C20</f>
        <v>140.19999999999985</v>
      </c>
      <c r="J13" s="1"/>
      <c r="K13" s="2"/>
    </row>
    <row r="14" spans="1:15" x14ac:dyDescent="0.3">
      <c r="A14" s="1" t="s">
        <v>47</v>
      </c>
      <c r="B14" s="2">
        <v>0.59232638888888889</v>
      </c>
      <c r="C14" s="3">
        <f t="shared" si="0"/>
        <v>87.816666666666592</v>
      </c>
      <c r="G14" t="s">
        <v>48</v>
      </c>
      <c r="H14" s="3">
        <f>C21</f>
        <v>0</v>
      </c>
      <c r="K14" s="4"/>
      <c r="L14" s="2"/>
      <c r="N14" s="1"/>
      <c r="O14" s="2"/>
    </row>
    <row r="15" spans="1:15" x14ac:dyDescent="0.3">
      <c r="A15" s="1" t="s">
        <v>49</v>
      </c>
      <c r="B15" s="2">
        <v>0.59805555555555556</v>
      </c>
      <c r="C15" s="3">
        <f t="shared" si="0"/>
        <v>96.066666666666606</v>
      </c>
      <c r="J15" s="1"/>
      <c r="K15" s="4"/>
      <c r="L15" s="2"/>
      <c r="N15" s="1"/>
      <c r="O15" s="2"/>
    </row>
    <row r="16" spans="1:15" x14ac:dyDescent="0.3">
      <c r="A16" s="1" t="s">
        <v>50</v>
      </c>
      <c r="B16" s="2">
        <v>0.60173611111111114</v>
      </c>
      <c r="C16" s="3">
        <f t="shared" si="0"/>
        <v>101.36666666666663</v>
      </c>
      <c r="J16" s="1"/>
      <c r="K16" s="4"/>
      <c r="L16" s="2"/>
      <c r="N16" s="1"/>
      <c r="O16" s="2"/>
    </row>
    <row r="17" spans="1:15" x14ac:dyDescent="0.3">
      <c r="C17" s="3">
        <f t="shared" si="0"/>
        <v>-765.13333333333344</v>
      </c>
      <c r="J17" s="1"/>
      <c r="K17" s="2"/>
    </row>
    <row r="18" spans="1:15" x14ac:dyDescent="0.3">
      <c r="A18" s="1" t="s">
        <v>51</v>
      </c>
      <c r="B18" s="2">
        <v>0.60857638888888888</v>
      </c>
      <c r="C18" s="3">
        <f t="shared" si="0"/>
        <v>111.21666666666657</v>
      </c>
      <c r="K18" s="4"/>
      <c r="L18" s="2"/>
      <c r="N18" s="1"/>
      <c r="O18" s="2"/>
    </row>
    <row r="19" spans="1:15" x14ac:dyDescent="0.3">
      <c r="A19" s="1" t="s">
        <v>52</v>
      </c>
      <c r="B19" s="2">
        <v>0.61393518518518519</v>
      </c>
      <c r="C19" s="3">
        <f t="shared" si="0"/>
        <v>118.93333333333327</v>
      </c>
      <c r="J19" s="1"/>
      <c r="K19" s="4"/>
      <c r="L19" s="2"/>
      <c r="N19" s="1"/>
      <c r="O19" s="2"/>
    </row>
    <row r="20" spans="1:15" x14ac:dyDescent="0.3">
      <c r="A20" s="1" t="s">
        <v>53</v>
      </c>
      <c r="B20" s="2">
        <v>0.62870370370370365</v>
      </c>
      <c r="C20" s="3">
        <f t="shared" si="0"/>
        <v>140.19999999999985</v>
      </c>
      <c r="J20" s="1"/>
      <c r="K20" s="4"/>
      <c r="L20" s="2"/>
      <c r="N20" s="1"/>
      <c r="O20" s="2"/>
    </row>
    <row r="21" spans="1:15" x14ac:dyDescent="0.3">
      <c r="A21" s="1"/>
      <c r="B21" s="2"/>
      <c r="C21" s="3"/>
      <c r="J21" s="1"/>
      <c r="K21" s="2"/>
    </row>
    <row r="22" spans="1:15" x14ac:dyDescent="0.3">
      <c r="C22" s="3"/>
    </row>
    <row r="23" spans="1:15" x14ac:dyDescent="0.3">
      <c r="A23" s="1"/>
      <c r="B23" s="2"/>
      <c r="C23" s="3"/>
      <c r="J23" s="1"/>
      <c r="K23" s="2"/>
    </row>
    <row r="24" spans="1:15" x14ac:dyDescent="0.3">
      <c r="A24" s="1"/>
      <c r="B24" s="2"/>
      <c r="C24" s="3"/>
      <c r="J24" s="1"/>
      <c r="K24" s="2"/>
    </row>
    <row r="25" spans="1:15" x14ac:dyDescent="0.3">
      <c r="A25" s="1"/>
      <c r="B25" s="2"/>
      <c r="C25" s="3"/>
      <c r="J25" s="1"/>
      <c r="K25" s="2"/>
    </row>
    <row r="26" spans="1:15" x14ac:dyDescent="0.3">
      <c r="B26" s="2"/>
      <c r="C26" s="3"/>
      <c r="K26" s="2"/>
    </row>
    <row r="27" spans="1:15" x14ac:dyDescent="0.3">
      <c r="A27" s="1"/>
      <c r="B27" s="2"/>
      <c r="J27" s="1"/>
      <c r="K27" s="2"/>
    </row>
    <row r="28" spans="1:15" x14ac:dyDescent="0.3">
      <c r="A28" s="1"/>
      <c r="B28" s="2"/>
      <c r="J28" s="1"/>
      <c r="K28" s="2"/>
    </row>
    <row r="29" spans="1:15" x14ac:dyDescent="0.3">
      <c r="A29" s="1"/>
      <c r="B29" s="2"/>
      <c r="J29" s="1"/>
      <c r="K2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tabSelected="1" workbookViewId="0">
      <selection activeCell="O13" sqref="O13"/>
    </sheetView>
  </sheetViews>
  <sheetFormatPr defaultRowHeight="14.4" x14ac:dyDescent="0.3"/>
  <sheetData>
    <row r="1" spans="1:3" x14ac:dyDescent="0.3">
      <c r="A1" t="s">
        <v>54</v>
      </c>
      <c r="B1" t="s">
        <v>55</v>
      </c>
      <c r="C1" t="s">
        <v>56</v>
      </c>
    </row>
    <row r="2" spans="1:3" x14ac:dyDescent="0.3">
      <c r="A2" s="3">
        <v>0</v>
      </c>
      <c r="B2">
        <v>126.76921700688369</v>
      </c>
      <c r="C2">
        <v>0</v>
      </c>
    </row>
    <row r="3" spans="1:3" x14ac:dyDescent="0.3">
      <c r="A3" s="3">
        <v>3.0333333333332222</v>
      </c>
      <c r="B3">
        <v>122.3005374384922</v>
      </c>
      <c r="C3">
        <v>3.0779667197354388</v>
      </c>
    </row>
    <row r="4" spans="1:3" x14ac:dyDescent="0.3">
      <c r="A4" s="3">
        <v>15.633333333333271</v>
      </c>
      <c r="B4">
        <v>113.6297027250116</v>
      </c>
      <c r="C4">
        <v>12.39721940730497</v>
      </c>
    </row>
    <row r="5" spans="1:3" x14ac:dyDescent="0.3">
      <c r="A5" s="3">
        <v>65.833333333333286</v>
      </c>
      <c r="B5">
        <v>103.0322961940619</v>
      </c>
      <c r="C5">
        <v>25.597814089205659</v>
      </c>
    </row>
    <row r="6" spans="1:3" x14ac:dyDescent="0.3">
      <c r="A6" s="3">
        <v>71.049999999999912</v>
      </c>
      <c r="B6">
        <v>97.380143331214583</v>
      </c>
      <c r="C6">
        <v>30.72240310515685</v>
      </c>
    </row>
    <row r="7" spans="1:3" x14ac:dyDescent="0.3">
      <c r="A7" s="3">
        <v>74.249999999999943</v>
      </c>
      <c r="B7">
        <v>90.378610403594323</v>
      </c>
      <c r="C7">
        <v>35.344561589410468</v>
      </c>
    </row>
    <row r="8" spans="1:3" x14ac:dyDescent="0.3">
      <c r="A8" s="3">
        <v>80.233333333333306</v>
      </c>
      <c r="B8">
        <v>83.150789928384626</v>
      </c>
      <c r="C8">
        <v>43.749862751026761</v>
      </c>
    </row>
    <row r="9" spans="1:3" x14ac:dyDescent="0.3">
      <c r="A9" s="3">
        <v>87.816666666666592</v>
      </c>
      <c r="B9">
        <v>74.886470654764992</v>
      </c>
      <c r="C9">
        <v>50.992019823013699</v>
      </c>
    </row>
    <row r="10" spans="1:3" x14ac:dyDescent="0.3">
      <c r="A10" s="3">
        <v>96.066666666666606</v>
      </c>
      <c r="B10">
        <v>70.196778322029914</v>
      </c>
      <c r="C10">
        <v>56.139138291420799</v>
      </c>
    </row>
    <row r="11" spans="1:3" x14ac:dyDescent="0.3">
      <c r="A11" s="3">
        <v>101.3666666666666</v>
      </c>
      <c r="B11">
        <v>67.418296859163988</v>
      </c>
      <c r="C11">
        <v>60.086845398396761</v>
      </c>
    </row>
    <row r="12" spans="1:3" x14ac:dyDescent="0.3">
      <c r="A12" s="3">
        <v>111.2166666666666</v>
      </c>
      <c r="B12">
        <v>57.337379516719558</v>
      </c>
      <c r="C12">
        <v>66.290549930989229</v>
      </c>
    </row>
    <row r="13" spans="1:3" x14ac:dyDescent="0.3">
      <c r="A13" s="3">
        <v>118.93333333333329</v>
      </c>
      <c r="B13">
        <v>44.287479476153209</v>
      </c>
      <c r="C13">
        <v>80.25484759761828</v>
      </c>
    </row>
    <row r="14" spans="1:3" x14ac:dyDescent="0.3">
      <c r="A14" s="3">
        <v>140.19999999999979</v>
      </c>
      <c r="B14">
        <v>25.32294849813233</v>
      </c>
      <c r="C14">
        <v>99.408880231217495</v>
      </c>
    </row>
    <row r="15" spans="1:3" x14ac:dyDescent="0.3">
      <c r="A15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C1_E4b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2025-03-06T08:01:39Z</dcterms:created>
  <dcterms:modified xsi:type="dcterms:W3CDTF">2026-01-12T10:50:47Z</dcterms:modified>
</cp:coreProperties>
</file>
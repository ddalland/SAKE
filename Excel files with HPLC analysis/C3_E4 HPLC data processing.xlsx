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dd4518_ic_ac_uk/Documents/PhD/SAKE publication with SI material/Cleaned Python Scripts for Github/Excel files with HPLC analysis/"/>
    </mc:Choice>
  </mc:AlternateContent>
  <xr:revisionPtr revIDLastSave="2" documentId="11_FBFC5DA5CE42C0457398EE9A42859605D6D7FBC6" xr6:coauthVersionLast="47" xr6:coauthVersionMax="47" xr10:uidLastSave="{58B5EAA2-075C-465F-AD6E-59782487C164}"/>
  <bookViews>
    <workbookView xWindow="30810" yWindow="3150" windowWidth="10860" windowHeight="7110" xr2:uid="{00000000-000D-0000-FFFF-FFFF00000000}"/>
  </bookViews>
  <sheets>
    <sheet name="C3_E4 HPLC 254 nm" sheetId="1" r:id="rId1"/>
    <sheet name="Sample and addition times" sheetId="2" r:id="rId2"/>
    <sheet name="Concentration vs time HPLC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2" l="1"/>
  <c r="C12" i="2"/>
  <c r="H7" i="2" s="1"/>
  <c r="C11" i="2"/>
  <c r="H6" i="2" s="1"/>
  <c r="C10" i="2"/>
  <c r="H5" i="2" s="1"/>
  <c r="C5" i="2"/>
  <c r="F4" i="2"/>
  <c r="C4" i="2"/>
  <c r="F3" i="2"/>
  <c r="C3" i="2"/>
  <c r="F2" i="2" s="1"/>
  <c r="M1" i="2"/>
  <c r="C20" i="2" s="1"/>
  <c r="H13" i="2" s="1"/>
  <c r="H1" i="2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H4" i="1" s="1"/>
  <c r="G7" i="1" l="1"/>
  <c r="H7" i="1" s="1"/>
  <c r="G13" i="1"/>
  <c r="H13" i="1" s="1"/>
  <c r="G15" i="1"/>
  <c r="H15" i="1"/>
  <c r="G8" i="1"/>
  <c r="H8" i="1" s="1"/>
  <c r="G12" i="1"/>
  <c r="H12" i="1"/>
  <c r="G14" i="1"/>
  <c r="H14" i="1" s="1"/>
  <c r="G16" i="1"/>
  <c r="H16" i="1"/>
  <c r="H5" i="1"/>
  <c r="G5" i="1"/>
  <c r="H9" i="1"/>
  <c r="G9" i="1"/>
  <c r="G6" i="1"/>
  <c r="H6" i="1" s="1"/>
  <c r="G10" i="1"/>
  <c r="H10" i="1" s="1"/>
  <c r="G11" i="1"/>
  <c r="H11" i="1" s="1"/>
  <c r="C1" i="2"/>
  <c r="C15" i="2"/>
  <c r="H9" i="2" s="1"/>
  <c r="C16" i="2"/>
  <c r="H10" i="2" s="1"/>
  <c r="C6" i="2"/>
  <c r="H2" i="2" s="1"/>
  <c r="C14" i="2"/>
  <c r="H8" i="2" s="1"/>
  <c r="C7" i="2"/>
  <c r="H3" i="2" s="1"/>
  <c r="C17" i="2"/>
  <c r="C8" i="2"/>
  <c r="H4" i="2" s="1"/>
  <c r="C18" i="2"/>
  <c r="H11" i="2" s="1"/>
  <c r="C2" i="2"/>
  <c r="F1" i="2" s="1"/>
  <c r="C19" i="2"/>
  <c r="H12" i="2" s="1"/>
  <c r="C9" i="2"/>
</calcChain>
</file>

<file path=xl/sharedStrings.xml><?xml version="1.0" encoding="utf-8"?>
<sst xmlns="http://schemas.openxmlformats.org/spreadsheetml/2006/main" count="74" uniqueCount="62">
  <si>
    <t>Product  conc</t>
  </si>
  <si>
    <t>filename</t>
  </si>
  <si>
    <t>Biphenyl</t>
  </si>
  <si>
    <t>4-SO2Me-ArOPh</t>
  </si>
  <si>
    <t>Ratio of integral with IS</t>
  </si>
  <si>
    <t>concentrations</t>
  </si>
  <si>
    <t>Compound</t>
  </si>
  <si>
    <t>Initial concentration / mM</t>
  </si>
  <si>
    <t>1-(2-Hydroxyethyl)piperazine</t>
  </si>
  <si>
    <t>C3_E4-S0</t>
  </si>
  <si>
    <t>Ar-4SO2Me-Oph</t>
  </si>
  <si>
    <t>C3_E4-S91</t>
  </si>
  <si>
    <t>C3_E4-S92</t>
  </si>
  <si>
    <t>C3_E4-S93</t>
  </si>
  <si>
    <t>C3_E4-S4</t>
  </si>
  <si>
    <t>C3_E4-S95</t>
  </si>
  <si>
    <t>C3_E4-S6</t>
  </si>
  <si>
    <t>C3_E4-S7</t>
  </si>
  <si>
    <t>C3_E4-S8</t>
  </si>
  <si>
    <t>C3_E4-S9</t>
  </si>
  <si>
    <t>Phenol</t>
  </si>
  <si>
    <t>C3_E4-S10</t>
  </si>
  <si>
    <t>C3_E4-S11</t>
  </si>
  <si>
    <t>C3_E4-S12</t>
  </si>
  <si>
    <t>CC 4SO2Me-ArOPh 254 nm</t>
  </si>
  <si>
    <t>Ir</t>
  </si>
  <si>
    <t>V1</t>
  </si>
  <si>
    <t>S0</t>
  </si>
  <si>
    <t>V1:</t>
  </si>
  <si>
    <t>V2</t>
  </si>
  <si>
    <t>S1</t>
  </si>
  <si>
    <t>V2:</t>
  </si>
  <si>
    <t>V3</t>
  </si>
  <si>
    <t>S2</t>
  </si>
  <si>
    <t>Phenol:</t>
  </si>
  <si>
    <t>V4</t>
  </si>
  <si>
    <t>S3</t>
  </si>
  <si>
    <t>V3:</t>
  </si>
  <si>
    <t>S4</t>
  </si>
  <si>
    <t>S1:</t>
  </si>
  <si>
    <t>S5</t>
  </si>
  <si>
    <t>S2:</t>
  </si>
  <si>
    <t>S6</t>
  </si>
  <si>
    <t>S3:</t>
  </si>
  <si>
    <t>S7</t>
  </si>
  <si>
    <t>S8</t>
  </si>
  <si>
    <t>S4:</t>
  </si>
  <si>
    <t>S9</t>
  </si>
  <si>
    <t>S5:</t>
  </si>
  <si>
    <t>S10</t>
  </si>
  <si>
    <t>S6:</t>
  </si>
  <si>
    <t>S11</t>
  </si>
  <si>
    <t>S12</t>
  </si>
  <si>
    <t>S7:</t>
  </si>
  <si>
    <t>S8:</t>
  </si>
  <si>
    <t>S9:</t>
  </si>
  <si>
    <t>S10:</t>
  </si>
  <si>
    <t>S11:</t>
  </si>
  <si>
    <t>S12:</t>
  </si>
  <si>
    <t>Time / min</t>
  </si>
  <si>
    <t>A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</si>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</sst>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33333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21" fontId="0" fillId="0" borderId="0" xfId="0" applyNumberFormat="1"/>
    <xf numFmtId="2" fontId="0" fillId="0" borderId="0" xfId="0" applyNumberForma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HPLC concentration vs time data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'Concentration vs time HPLC'!$B$1</c:f>
              <c:strCache>
                <c:ptCount val="1"/>
                <c:pt idx="0">
                  <c:v>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4.9666666666666703</c:v>
                </c:pt>
                <c:pt idx="2">
                  <c:v>73.916666666666657</c:v>
                </c:pt>
                <c:pt idx="3">
                  <c:v>146.01666666666671</c:v>
                </c:pt>
                <c:pt idx="4">
                  <c:v>180.73333333333329</c:v>
                </c:pt>
                <c:pt idx="5">
                  <c:v>190.1166666666667</c:v>
                </c:pt>
                <c:pt idx="6">
                  <c:v>210.36666666666659</c:v>
                </c:pt>
                <c:pt idx="7">
                  <c:v>225.1333333333333</c:v>
                </c:pt>
                <c:pt idx="8">
                  <c:v>238.93333333333339</c:v>
                </c:pt>
                <c:pt idx="9">
                  <c:v>300.56666666666672</c:v>
                </c:pt>
                <c:pt idx="10">
                  <c:v>349.51666666666671</c:v>
                </c:pt>
                <c:pt idx="11">
                  <c:v>367.4</c:v>
                </c:pt>
                <c:pt idx="12">
                  <c:v>1175</c:v>
                </c:pt>
              </c:numCache>
            </c:numRef>
          </c:xVal>
          <c:yVal>
            <c:numRef>
              <c:f>'Concentration vs time HPLC'!$B$2:$B$14</c:f>
              <c:numCache>
                <c:formatCode>General</c:formatCode>
                <c:ptCount val="13"/>
                <c:pt idx="0">
                  <c:v>128.79395761434239</c:v>
                </c:pt>
                <c:pt idx="1">
                  <c:v>124.7138087216797</c:v>
                </c:pt>
                <c:pt idx="2">
                  <c:v>109.3942830883755</c:v>
                </c:pt>
                <c:pt idx="3">
                  <c:v>105.7426439115975</c:v>
                </c:pt>
                <c:pt idx="4">
                  <c:v>100.9617140751771</c:v>
                </c:pt>
                <c:pt idx="5">
                  <c:v>91.837776108487731</c:v>
                </c:pt>
                <c:pt idx="6">
                  <c:v>87.117659415700572</c:v>
                </c:pt>
                <c:pt idx="7">
                  <c:v>80.281872705612869</c:v>
                </c:pt>
                <c:pt idx="8">
                  <c:v>77.058723128487657</c:v>
                </c:pt>
                <c:pt idx="9">
                  <c:v>62.63206952432958</c:v>
                </c:pt>
                <c:pt idx="10">
                  <c:v>53.656629302001399</c:v>
                </c:pt>
                <c:pt idx="11">
                  <c:v>42.200733674296849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1F-4D74-9D70-E5DDCFFDA998}"/>
            </c:ext>
          </c:extLst>
        </c:ser>
        <c:ser>
          <c:idx val="1"/>
          <c:order val="1"/>
          <c:tx>
            <c:strRef>
              <c:f>'Concentration vs time HPLC'!$C$1</c:f>
              <c:strCache>
                <c:ptCount val="1"/>
                <c:pt idx="0">
                  <c:v>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'Concentration vs time HPLC'!$A$2:$A$14</c:f>
              <c:numCache>
                <c:formatCode>General</c:formatCode>
                <c:ptCount val="13"/>
                <c:pt idx="0">
                  <c:v>0</c:v>
                </c:pt>
                <c:pt idx="1">
                  <c:v>4.9666666666666703</c:v>
                </c:pt>
                <c:pt idx="2">
                  <c:v>73.916666666666657</c:v>
                </c:pt>
                <c:pt idx="3">
                  <c:v>146.01666666666671</c:v>
                </c:pt>
                <c:pt idx="4">
                  <c:v>180.73333333333329</c:v>
                </c:pt>
                <c:pt idx="5">
                  <c:v>190.1166666666667</c:v>
                </c:pt>
                <c:pt idx="6">
                  <c:v>210.36666666666659</c:v>
                </c:pt>
                <c:pt idx="7">
                  <c:v>225.1333333333333</c:v>
                </c:pt>
                <c:pt idx="8">
                  <c:v>238.93333333333339</c:v>
                </c:pt>
                <c:pt idx="9">
                  <c:v>300.56666666666672</c:v>
                </c:pt>
                <c:pt idx="10">
                  <c:v>349.51666666666671</c:v>
                </c:pt>
                <c:pt idx="11">
                  <c:v>367.4</c:v>
                </c:pt>
                <c:pt idx="12">
                  <c:v>1175</c:v>
                </c:pt>
              </c:numCache>
            </c:numRef>
          </c:xVal>
          <c:yVal>
            <c:numRef>
              <c:f>'Concentration vs time HPLC'!$C$2:$C$14</c:f>
              <c:numCache>
                <c:formatCode>General</c:formatCode>
                <c:ptCount val="13"/>
                <c:pt idx="0">
                  <c:v>0</c:v>
                </c:pt>
                <c:pt idx="1">
                  <c:v>4.0317785983772723</c:v>
                </c:pt>
                <c:pt idx="2">
                  <c:v>19.3513042316815</c:v>
                </c:pt>
                <c:pt idx="3">
                  <c:v>23.002943408459458</c:v>
                </c:pt>
                <c:pt idx="4">
                  <c:v>26.654604397251958</c:v>
                </c:pt>
                <c:pt idx="5">
                  <c:v>35.778542363941277</c:v>
                </c:pt>
                <c:pt idx="6">
                  <c:v>40.498659056728442</c:v>
                </c:pt>
                <c:pt idx="7">
                  <c:v>45.930895894688049</c:v>
                </c:pt>
                <c:pt idx="8">
                  <c:v>49.154045471813262</c:v>
                </c:pt>
                <c:pt idx="9">
                  <c:v>63.580699075971339</c:v>
                </c:pt>
                <c:pt idx="10">
                  <c:v>70.673001870626962</c:v>
                </c:pt>
                <c:pt idx="11">
                  <c:v>82.128897498331497</c:v>
                </c:pt>
                <c:pt idx="12">
                  <c:v>124.3296311726284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1F-4D74-9D70-E5DDCFFDA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87683488"/>
        <c:axId val="1387678208"/>
      </c:scatterChart>
      <c:valAx>
        <c:axId val="1387683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Time / minutes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678208"/>
        <c:crosses val="autoZero"/>
        <c:crossBetween val="midCat"/>
      </c:valAx>
      <c:valAx>
        <c:axId val="138767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>
                    <a:effectLst/>
                  </a:rPr>
                  <a:t>Concentration / mM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76834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125977</xdr:colOff>
      <xdr:row>0</xdr:row>
      <xdr:rowOff>0</xdr:rowOff>
    </xdr:from>
    <xdr:to>
      <xdr:col>10</xdr:col>
      <xdr:colOff>396364</xdr:colOff>
      <xdr:row>14</xdr:row>
      <xdr:rowOff>164137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816C42-FF35-41CA-2A02-1E89253FC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PLC%20conc%20vs%20time%20CT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PLC conc vs time C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topLeftCell="A16" workbookViewId="0">
      <selection activeCell="M22" sqref="M22:M25"/>
    </sheetView>
  </sheetViews>
  <sheetFormatPr defaultRowHeight="14.4" x14ac:dyDescent="0.3"/>
  <cols>
    <col min="1" max="1" width="10" bestFit="1" customWidth="1"/>
    <col min="3" max="3" width="14.6640625" bestFit="1" customWidth="1"/>
    <col min="5" max="5" width="13.33203125" bestFit="1" customWidth="1"/>
    <col min="7" max="7" width="19.109375" bestFit="1" customWidth="1"/>
  </cols>
  <sheetData>
    <row r="1" spans="1:14" x14ac:dyDescent="0.3">
      <c r="A1">
        <v>0</v>
      </c>
      <c r="B1">
        <v>1</v>
      </c>
      <c r="C1">
        <v>2</v>
      </c>
      <c r="D1">
        <v>3</v>
      </c>
      <c r="E1">
        <v>4</v>
      </c>
      <c r="G1" t="s">
        <v>0</v>
      </c>
    </row>
    <row r="2" spans="1:14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M2" t="s">
        <v>6</v>
      </c>
      <c r="N2" t="s">
        <v>7</v>
      </c>
    </row>
    <row r="3" spans="1:14" x14ac:dyDescent="0.3">
      <c r="B3">
        <v>5.5229324733509699</v>
      </c>
      <c r="C3">
        <v>4.7338421485003304</v>
      </c>
      <c r="M3" t="s">
        <v>8</v>
      </c>
      <c r="N3">
        <v>35.893442432577039</v>
      </c>
    </row>
    <row r="4" spans="1:14" x14ac:dyDescent="0.3">
      <c r="A4" t="s">
        <v>9</v>
      </c>
      <c r="B4">
        <v>21.630327224731499</v>
      </c>
      <c r="C4">
        <v>129.89973449707099</v>
      </c>
      <c r="D4">
        <v>6.0054447233949997</v>
      </c>
      <c r="E4">
        <f t="shared" ref="E4:E16" si="0">D4/$B$17</f>
        <v>10.315088841283062</v>
      </c>
      <c r="F4" s="4">
        <f>E4*$N$5</f>
        <v>104.60796181199898</v>
      </c>
      <c r="G4" s="4">
        <v>0</v>
      </c>
      <c r="H4" s="4">
        <f t="shared" ref="H4:H16" si="1">SUM(F4,G4)</f>
        <v>104.60796181199898</v>
      </c>
      <c r="M4" t="s">
        <v>10</v>
      </c>
      <c r="N4">
        <v>128.74558732005701</v>
      </c>
    </row>
    <row r="5" spans="1:14" x14ac:dyDescent="0.3">
      <c r="A5" t="s">
        <v>11</v>
      </c>
      <c r="B5">
        <v>41.820827484130902</v>
      </c>
      <c r="C5">
        <v>299.42468261718801</v>
      </c>
      <c r="D5">
        <v>7.1597024886895397</v>
      </c>
      <c r="E5">
        <f t="shared" si="0"/>
        <v>12.297668307608278</v>
      </c>
      <c r="F5" s="4">
        <f>E5*$N$5</f>
        <v>124.71380872168051</v>
      </c>
      <c r="G5" s="4">
        <f>$N$4-F5</f>
        <v>4.0317785983765049</v>
      </c>
      <c r="H5" s="4">
        <f t="shared" si="1"/>
        <v>128.74558732005701</v>
      </c>
      <c r="M5" t="s">
        <v>2</v>
      </c>
      <c r="N5">
        <v>10.14125650506633</v>
      </c>
    </row>
    <row r="6" spans="1:14" x14ac:dyDescent="0.3">
      <c r="A6" t="s">
        <v>12</v>
      </c>
      <c r="B6">
        <v>40.647487640380902</v>
      </c>
      <c r="C6">
        <v>255.27528381347699</v>
      </c>
      <c r="D6">
        <v>6.2802229272314403</v>
      </c>
      <c r="E6">
        <f t="shared" si="0"/>
        <v>10.787054151891859</v>
      </c>
      <c r="F6" s="4">
        <f>E6*$N$5</f>
        <v>109.39428308837608</v>
      </c>
      <c r="G6" s="4">
        <f>$N$4-F6</f>
        <v>19.351304231680928</v>
      </c>
      <c r="H6" s="4">
        <f t="shared" si="1"/>
        <v>128.74558732005701</v>
      </c>
      <c r="N6">
        <v>0</v>
      </c>
    </row>
    <row r="7" spans="1:14" x14ac:dyDescent="0.3">
      <c r="A7" t="s">
        <v>13</v>
      </c>
      <c r="B7">
        <v>59.3673706054688</v>
      </c>
      <c r="C7">
        <v>360.39471435546898</v>
      </c>
      <c r="D7">
        <v>6.0705857557765901</v>
      </c>
      <c r="E7">
        <f t="shared" si="0"/>
        <v>10.426976564370644</v>
      </c>
      <c r="F7" s="4">
        <f>E7*$N$5</f>
        <v>105.74264391159797</v>
      </c>
      <c r="G7" s="4">
        <f>$N$4-F7</f>
        <v>23.002943408459046</v>
      </c>
      <c r="H7" s="4">
        <f t="shared" si="1"/>
        <v>128.74558732005701</v>
      </c>
    </row>
    <row r="8" spans="1:14" x14ac:dyDescent="0.3">
      <c r="A8" s="8" t="s">
        <v>14</v>
      </c>
      <c r="B8" s="8">
        <v>93.692085266113295</v>
      </c>
      <c r="C8" s="8">
        <v>547.855712890625</v>
      </c>
      <c r="D8" s="8">
        <v>5.84740654810438</v>
      </c>
      <c r="E8">
        <f t="shared" si="0"/>
        <v>10.04363886654823</v>
      </c>
      <c r="F8" s="8">
        <f>E8*$N$12</f>
        <v>100.96171407517734</v>
      </c>
      <c r="G8" s="8">
        <f>$N$11-F8</f>
        <v>26.65460439725166</v>
      </c>
      <c r="H8" s="4">
        <f t="shared" si="1"/>
        <v>127.616318472429</v>
      </c>
    </row>
    <row r="9" spans="1:14" x14ac:dyDescent="0.3">
      <c r="A9" s="8" t="s">
        <v>15</v>
      </c>
      <c r="B9" s="8">
        <v>25.030803680419901</v>
      </c>
      <c r="C9" s="8">
        <v>133.13821411132801</v>
      </c>
      <c r="D9" s="8">
        <v>5.3189748044516003</v>
      </c>
      <c r="E9">
        <f t="shared" si="0"/>
        <v>9.135992450105805</v>
      </c>
      <c r="F9" s="8">
        <f>E9*$N$12</f>
        <v>91.83777610848766</v>
      </c>
      <c r="G9" s="8">
        <f>$N$11-F9</f>
        <v>35.778542363941341</v>
      </c>
      <c r="H9" s="4">
        <f t="shared" si="1"/>
        <v>127.616318472429</v>
      </c>
    </row>
    <row r="10" spans="1:14" x14ac:dyDescent="0.3">
      <c r="A10" s="8" t="s">
        <v>16</v>
      </c>
      <c r="B10" s="8">
        <v>129.36990356445301</v>
      </c>
      <c r="C10" s="8">
        <v>652.74871826171898</v>
      </c>
      <c r="D10" s="8">
        <v>5.0455994808445901</v>
      </c>
      <c r="E10">
        <f t="shared" si="0"/>
        <v>8.6664367585788202</v>
      </c>
      <c r="F10" s="8">
        <f>E10*$N$12</f>
        <v>87.117659415700558</v>
      </c>
      <c r="G10" s="8">
        <f>$N$11-F10</f>
        <v>40.498659056728442</v>
      </c>
      <c r="H10" s="4">
        <f t="shared" si="1"/>
        <v>127.616318472429</v>
      </c>
      <c r="M10" t="s">
        <v>8</v>
      </c>
      <c r="N10">
        <v>107.0616064312627</v>
      </c>
    </row>
    <row r="11" spans="1:14" x14ac:dyDescent="0.3">
      <c r="A11" s="5" t="s">
        <v>17</v>
      </c>
      <c r="B11" s="5">
        <v>79.174713134765696</v>
      </c>
      <c r="C11" s="5">
        <v>372.23181152343801</v>
      </c>
      <c r="D11" s="5">
        <v>4.7013976658159899</v>
      </c>
      <c r="E11">
        <f t="shared" si="0"/>
        <v>8.0752278698316555</v>
      </c>
      <c r="F11" s="7">
        <f>E11*$N$20</f>
        <v>80.281872705612926</v>
      </c>
      <c r="G11" s="7">
        <f>$N$19-F11</f>
        <v>45.930895894687978</v>
      </c>
      <c r="H11" s="4">
        <f t="shared" si="1"/>
        <v>126.2127686003009</v>
      </c>
      <c r="M11" t="s">
        <v>10</v>
      </c>
      <c r="N11">
        <v>127.616318472429</v>
      </c>
    </row>
    <row r="12" spans="1:14" x14ac:dyDescent="0.3">
      <c r="A12" s="5" t="s">
        <v>18</v>
      </c>
      <c r="B12" s="5">
        <v>66.182151794433594</v>
      </c>
      <c r="C12" s="5">
        <v>298.65664672851602</v>
      </c>
      <c r="D12" s="5">
        <v>4.5126463650829001</v>
      </c>
      <c r="E12">
        <f t="shared" si="0"/>
        <v>7.7510243302694946</v>
      </c>
      <c r="F12" s="7">
        <f>E12*$N$20</f>
        <v>77.0587231284876</v>
      </c>
      <c r="G12" s="7">
        <f>$N$19-F12</f>
        <v>49.154045471813305</v>
      </c>
      <c r="H12" s="4">
        <f t="shared" si="1"/>
        <v>126.2127686003009</v>
      </c>
      <c r="M12" t="s">
        <v>2</v>
      </c>
      <c r="N12">
        <v>10.05230429097214</v>
      </c>
    </row>
    <row r="13" spans="1:14" x14ac:dyDescent="0.3">
      <c r="A13" s="5" t="s">
        <v>19</v>
      </c>
      <c r="B13" s="5">
        <v>183.04252624511699</v>
      </c>
      <c r="C13" s="5">
        <v>671.36431884765705</v>
      </c>
      <c r="D13" s="5">
        <v>3.66780514135068</v>
      </c>
      <c r="E13">
        <f t="shared" si="0"/>
        <v>6.2999057735325996</v>
      </c>
      <c r="F13" s="7">
        <f>E13*$N$20</f>
        <v>62.63206952432958</v>
      </c>
      <c r="G13" s="7">
        <f>$N$19-F13</f>
        <v>63.580699075971324</v>
      </c>
      <c r="H13" s="4">
        <f t="shared" si="1"/>
        <v>126.2127686003009</v>
      </c>
      <c r="M13" t="s">
        <v>20</v>
      </c>
      <c r="N13">
        <v>0</v>
      </c>
    </row>
    <row r="14" spans="1:14" x14ac:dyDescent="0.3">
      <c r="A14" s="6" t="s">
        <v>21</v>
      </c>
      <c r="B14" s="6">
        <v>131.43347167968801</v>
      </c>
      <c r="C14" s="6">
        <v>419.24462890625</v>
      </c>
      <c r="D14" s="6">
        <v>3.1897858555237399</v>
      </c>
      <c r="E14">
        <f t="shared" si="0"/>
        <v>5.4788489445615589</v>
      </c>
      <c r="F14" s="6">
        <f>E14*$N$28</f>
        <v>53.656629302001299</v>
      </c>
      <c r="G14" s="6">
        <f>$N$27-F14</f>
        <v>70.673001870627104</v>
      </c>
      <c r="H14" s="4">
        <f t="shared" si="1"/>
        <v>124.32963117262841</v>
      </c>
    </row>
    <row r="15" spans="1:14" x14ac:dyDescent="0.3">
      <c r="A15" s="6" t="s">
        <v>22</v>
      </c>
      <c r="B15" s="6">
        <v>68.634178161621094</v>
      </c>
      <c r="C15" s="6">
        <v>172.18629455566401</v>
      </c>
      <c r="D15" s="6">
        <v>2.5087543723507002</v>
      </c>
      <c r="E15">
        <f t="shared" si="0"/>
        <v>4.3090937347143594</v>
      </c>
      <c r="F15" s="6">
        <f>E15*$N$28</f>
        <v>42.200733674296842</v>
      </c>
      <c r="G15" s="6">
        <f>$N$27-F15</f>
        <v>82.128897498331554</v>
      </c>
      <c r="H15" s="4">
        <f t="shared" si="1"/>
        <v>124.3296311726284</v>
      </c>
    </row>
    <row r="16" spans="1:14" x14ac:dyDescent="0.3">
      <c r="A16" s="6" t="s">
        <v>23</v>
      </c>
      <c r="B16" s="6">
        <v>49.133064270019602</v>
      </c>
      <c r="C16" s="6">
        <v>107.82537841796901</v>
      </c>
      <c r="D16" s="6">
        <v>2.1945583899549801</v>
      </c>
      <c r="E16">
        <f t="shared" si="0"/>
        <v>3.7694235485313978</v>
      </c>
      <c r="F16" s="6">
        <f>E16*$N$28</f>
        <v>36.915520773126332</v>
      </c>
      <c r="G16" s="6">
        <f>$N$27-F16</f>
        <v>87.414110399502064</v>
      </c>
      <c r="H16" s="4">
        <f t="shared" si="1"/>
        <v>124.3296311726284</v>
      </c>
    </row>
    <row r="17" spans="1:14" x14ac:dyDescent="0.3">
      <c r="A17" t="s">
        <v>24</v>
      </c>
      <c r="B17">
        <v>0.58220000000000005</v>
      </c>
    </row>
    <row r="18" spans="1:14" x14ac:dyDescent="0.3">
      <c r="M18" t="s">
        <v>8</v>
      </c>
      <c r="N18">
        <v>105.8841214057181</v>
      </c>
    </row>
    <row r="19" spans="1:14" x14ac:dyDescent="0.3">
      <c r="M19" t="s">
        <v>10</v>
      </c>
      <c r="N19">
        <v>126.2127686003009</v>
      </c>
    </row>
    <row r="20" spans="1:14" x14ac:dyDescent="0.3">
      <c r="M20" t="s">
        <v>2</v>
      </c>
      <c r="N20">
        <v>9.9417470317511381</v>
      </c>
    </row>
    <row r="21" spans="1:14" x14ac:dyDescent="0.3">
      <c r="M21" t="s">
        <v>20</v>
      </c>
      <c r="N21">
        <v>125.0459532094951</v>
      </c>
    </row>
    <row r="26" spans="1:14" x14ac:dyDescent="0.3">
      <c r="M26" t="s">
        <v>8</v>
      </c>
      <c r="N26">
        <v>225.899507500939</v>
      </c>
    </row>
    <row r="27" spans="1:14" x14ac:dyDescent="0.3">
      <c r="M27" t="s">
        <v>10</v>
      </c>
      <c r="N27">
        <v>124.3296311726284</v>
      </c>
    </row>
    <row r="28" spans="1:14" x14ac:dyDescent="0.3">
      <c r="M28" t="s">
        <v>2</v>
      </c>
      <c r="N28">
        <v>9.7934127852278525</v>
      </c>
    </row>
    <row r="29" spans="1:14" x14ac:dyDescent="0.3">
      <c r="M29" t="s">
        <v>20</v>
      </c>
      <c r="N29">
        <v>123.1802250642428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0"/>
  <sheetViews>
    <sheetView workbookViewId="0">
      <selection activeCell="C5" sqref="C5"/>
    </sheetView>
  </sheetViews>
  <sheetFormatPr defaultRowHeight="14.4" x14ac:dyDescent="0.3"/>
  <sheetData>
    <row r="1" spans="1:13" x14ac:dyDescent="0.3">
      <c r="A1" s="1" t="s">
        <v>25</v>
      </c>
      <c r="B1" s="2">
        <v>0.40417824074074082</v>
      </c>
      <c r="C1" s="3">
        <f>(B1-$B$1)*$M$1</f>
        <v>0</v>
      </c>
      <c r="E1" t="s">
        <v>26</v>
      </c>
      <c r="F1" s="3">
        <f>C2</f>
        <v>0</v>
      </c>
      <c r="G1" t="s">
        <v>27</v>
      </c>
      <c r="H1">
        <f>0</f>
        <v>0</v>
      </c>
      <c r="M1">
        <f>86400/60</f>
        <v>1440</v>
      </c>
    </row>
    <row r="2" spans="1:13" x14ac:dyDescent="0.3">
      <c r="A2" s="1" t="s">
        <v>28</v>
      </c>
      <c r="B2" s="2">
        <v>0.42674768518518519</v>
      </c>
      <c r="C2" s="3">
        <f t="shared" ref="C2:C20" si="0">(B2-$B$2)*$M$1</f>
        <v>0</v>
      </c>
      <c r="E2" t="s">
        <v>29</v>
      </c>
      <c r="F2" s="3">
        <f>C3</f>
        <v>177.85000000000005</v>
      </c>
      <c r="G2" t="s">
        <v>30</v>
      </c>
      <c r="H2" s="3">
        <f>C6</f>
        <v>4.9666666666667503</v>
      </c>
    </row>
    <row r="3" spans="1:13" x14ac:dyDescent="0.3">
      <c r="A3" s="1" t="s">
        <v>31</v>
      </c>
      <c r="B3" s="2">
        <v>0.55025462962962968</v>
      </c>
      <c r="C3" s="3">
        <f t="shared" si="0"/>
        <v>177.85000000000005</v>
      </c>
      <c r="E3" t="s">
        <v>32</v>
      </c>
      <c r="F3" s="3">
        <f>C4</f>
        <v>213.84999999999994</v>
      </c>
      <c r="G3" t="s">
        <v>33</v>
      </c>
      <c r="H3" s="3">
        <f>C7</f>
        <v>73.916666666666657</v>
      </c>
    </row>
    <row r="4" spans="1:13" x14ac:dyDescent="0.3">
      <c r="A4" s="1" t="s">
        <v>34</v>
      </c>
      <c r="B4" s="2">
        <v>0.57525462962962959</v>
      </c>
      <c r="C4" s="3">
        <f t="shared" si="0"/>
        <v>213.84999999999994</v>
      </c>
      <c r="E4" t="s">
        <v>35</v>
      </c>
      <c r="F4" s="3">
        <f>C5</f>
        <v>345.35</v>
      </c>
      <c r="G4" t="s">
        <v>36</v>
      </c>
      <c r="H4" s="3">
        <f>C8</f>
        <v>146.01666666666665</v>
      </c>
    </row>
    <row r="5" spans="1:13" x14ac:dyDescent="0.3">
      <c r="A5" s="1" t="s">
        <v>37</v>
      </c>
      <c r="B5" s="2">
        <v>0.6665740740740741</v>
      </c>
      <c r="C5" s="3">
        <f t="shared" si="0"/>
        <v>345.35</v>
      </c>
      <c r="G5" t="s">
        <v>38</v>
      </c>
      <c r="H5" s="3">
        <f>C10</f>
        <v>180.73333333333326</v>
      </c>
    </row>
    <row r="6" spans="1:13" x14ac:dyDescent="0.3">
      <c r="A6" s="1" t="s">
        <v>39</v>
      </c>
      <c r="B6" s="2">
        <v>0.43019675925925932</v>
      </c>
      <c r="C6" s="3">
        <f t="shared" si="0"/>
        <v>4.9666666666667503</v>
      </c>
      <c r="G6" t="s">
        <v>40</v>
      </c>
      <c r="H6" s="3">
        <f>C11</f>
        <v>190.11666666666667</v>
      </c>
    </row>
    <row r="7" spans="1:13" x14ac:dyDescent="0.3">
      <c r="A7" s="1" t="s">
        <v>41</v>
      </c>
      <c r="B7" s="2">
        <v>0.4780787037037037</v>
      </c>
      <c r="C7" s="3">
        <f t="shared" si="0"/>
        <v>73.916666666666657</v>
      </c>
      <c r="G7" t="s">
        <v>42</v>
      </c>
      <c r="H7" s="3">
        <f>C12</f>
        <v>210.36666666666665</v>
      </c>
    </row>
    <row r="8" spans="1:13" x14ac:dyDescent="0.3">
      <c r="A8" s="1" t="s">
        <v>43</v>
      </c>
      <c r="B8" s="2">
        <v>0.52814814814814814</v>
      </c>
      <c r="C8" s="3">
        <f t="shared" si="0"/>
        <v>146.01666666666665</v>
      </c>
      <c r="G8" t="s">
        <v>44</v>
      </c>
      <c r="H8" s="3">
        <f>C14</f>
        <v>225.13333333333333</v>
      </c>
    </row>
    <row r="9" spans="1:13" x14ac:dyDescent="0.3">
      <c r="A9" s="1"/>
      <c r="C9" s="3">
        <f t="shared" si="0"/>
        <v>-614.51666666666665</v>
      </c>
      <c r="G9" t="s">
        <v>45</v>
      </c>
      <c r="H9" s="3">
        <f>C15</f>
        <v>238.93333333333339</v>
      </c>
    </row>
    <row r="10" spans="1:13" x14ac:dyDescent="0.3">
      <c r="A10" s="1" t="s">
        <v>46</v>
      </c>
      <c r="B10" s="2">
        <v>0.5522569444444444</v>
      </c>
      <c r="C10" s="3">
        <f t="shared" si="0"/>
        <v>180.73333333333326</v>
      </c>
      <c r="G10" t="s">
        <v>47</v>
      </c>
      <c r="H10" s="3">
        <f>C16</f>
        <v>300.56666666666666</v>
      </c>
    </row>
    <row r="11" spans="1:13" x14ac:dyDescent="0.3">
      <c r="A11" s="1" t="s">
        <v>48</v>
      </c>
      <c r="B11" s="2">
        <v>0.55877314814814816</v>
      </c>
      <c r="C11" s="3">
        <f t="shared" si="0"/>
        <v>190.11666666666667</v>
      </c>
      <c r="G11" t="s">
        <v>49</v>
      </c>
      <c r="H11" s="3">
        <f>C18</f>
        <v>349.51666666666665</v>
      </c>
    </row>
    <row r="12" spans="1:13" x14ac:dyDescent="0.3">
      <c r="A12" s="1" t="s">
        <v>50</v>
      </c>
      <c r="B12" s="2">
        <v>0.57283564814814814</v>
      </c>
      <c r="C12" s="3">
        <f t="shared" si="0"/>
        <v>210.36666666666665</v>
      </c>
      <c r="G12" t="s">
        <v>51</v>
      </c>
      <c r="H12" s="3">
        <f>C19</f>
        <v>367.4</v>
      </c>
    </row>
    <row r="13" spans="1:13" x14ac:dyDescent="0.3">
      <c r="A13" s="1"/>
      <c r="C13" s="3">
        <f t="shared" si="0"/>
        <v>-614.51666666666665</v>
      </c>
      <c r="G13" t="s">
        <v>52</v>
      </c>
      <c r="H13" s="3">
        <f>C20</f>
        <v>406.11666666666673</v>
      </c>
    </row>
    <row r="14" spans="1:13" x14ac:dyDescent="0.3">
      <c r="A14" s="1" t="s">
        <v>53</v>
      </c>
      <c r="B14" s="2">
        <v>0.58309027777777778</v>
      </c>
      <c r="C14" s="3">
        <f t="shared" si="0"/>
        <v>225.13333333333333</v>
      </c>
      <c r="H14" s="3"/>
    </row>
    <row r="15" spans="1:13" x14ac:dyDescent="0.3">
      <c r="A15" s="1" t="s">
        <v>54</v>
      </c>
      <c r="B15" s="2">
        <v>0.59267361111111116</v>
      </c>
      <c r="C15" s="3">
        <f t="shared" si="0"/>
        <v>238.93333333333339</v>
      </c>
    </row>
    <row r="16" spans="1:13" x14ac:dyDescent="0.3">
      <c r="A16" s="1" t="s">
        <v>55</v>
      </c>
      <c r="B16" s="2">
        <v>0.63547453703703705</v>
      </c>
      <c r="C16" s="3">
        <f t="shared" si="0"/>
        <v>300.56666666666666</v>
      </c>
    </row>
    <row r="17" spans="1:3" x14ac:dyDescent="0.3">
      <c r="A17" s="1"/>
      <c r="C17" s="3">
        <f t="shared" si="0"/>
        <v>-614.51666666666665</v>
      </c>
    </row>
    <row r="18" spans="1:3" x14ac:dyDescent="0.3">
      <c r="A18" s="1" t="s">
        <v>56</v>
      </c>
      <c r="B18" s="2">
        <v>0.66946759259259259</v>
      </c>
      <c r="C18" s="3">
        <f t="shared" si="0"/>
        <v>349.51666666666665</v>
      </c>
    </row>
    <row r="19" spans="1:3" x14ac:dyDescent="0.3">
      <c r="A19" s="1" t="s">
        <v>57</v>
      </c>
      <c r="B19" s="2">
        <v>0.68188657407407405</v>
      </c>
      <c r="C19" s="3">
        <f t="shared" si="0"/>
        <v>367.4</v>
      </c>
    </row>
    <row r="20" spans="1:3" x14ac:dyDescent="0.3">
      <c r="A20" s="1" t="s">
        <v>58</v>
      </c>
      <c r="B20" s="2">
        <v>0.70877314814814818</v>
      </c>
      <c r="C20" s="3">
        <f t="shared" si="0"/>
        <v>406.11666666666673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topLeftCell="A7" zoomScale="62" workbookViewId="0">
      <selection activeCell="C7" sqref="C7"/>
    </sheetView>
  </sheetViews>
  <sheetFormatPr defaultRowHeight="14.4" x14ac:dyDescent="0.3"/>
  <sheetData>
    <row r="1" spans="1:3" x14ac:dyDescent="0.3">
      <c r="A1" t="s">
        <v>59</v>
      </c>
      <c r="B1" t="s">
        <v>60</v>
      </c>
      <c r="C1" t="s">
        <v>61</v>
      </c>
    </row>
    <row r="2" spans="1:3" x14ac:dyDescent="0.3">
      <c r="A2">
        <v>0</v>
      </c>
      <c r="B2">
        <v>128.79395761434239</v>
      </c>
      <c r="C2">
        <v>0</v>
      </c>
    </row>
    <row r="3" spans="1:3" x14ac:dyDescent="0.3">
      <c r="A3">
        <v>4.9666666666666703</v>
      </c>
      <c r="B3">
        <v>124.7138087216797</v>
      </c>
      <c r="C3">
        <v>4.0317785983772723</v>
      </c>
    </row>
    <row r="4" spans="1:3" x14ac:dyDescent="0.3">
      <c r="A4">
        <v>73.916666666666657</v>
      </c>
      <c r="B4">
        <v>109.3942830883755</v>
      </c>
      <c r="C4">
        <v>19.3513042316815</v>
      </c>
    </row>
    <row r="5" spans="1:3" x14ac:dyDescent="0.3">
      <c r="A5">
        <v>146.01666666666671</v>
      </c>
      <c r="B5">
        <v>105.7426439115975</v>
      </c>
      <c r="C5">
        <v>23.002943408459458</v>
      </c>
    </row>
    <row r="6" spans="1:3" x14ac:dyDescent="0.3">
      <c r="A6">
        <v>180.73333333333329</v>
      </c>
      <c r="B6">
        <v>100.9617140751771</v>
      </c>
      <c r="C6">
        <v>26.654604397251958</v>
      </c>
    </row>
    <row r="7" spans="1:3" x14ac:dyDescent="0.3">
      <c r="A7">
        <v>190.1166666666667</v>
      </c>
      <c r="B7">
        <v>91.837776108487731</v>
      </c>
      <c r="C7">
        <v>35.778542363941277</v>
      </c>
    </row>
    <row r="8" spans="1:3" x14ac:dyDescent="0.3">
      <c r="A8">
        <v>210.36666666666659</v>
      </c>
      <c r="B8">
        <v>87.117659415700572</v>
      </c>
      <c r="C8">
        <v>40.498659056728442</v>
      </c>
    </row>
    <row r="9" spans="1:3" x14ac:dyDescent="0.3">
      <c r="A9">
        <v>225.1333333333333</v>
      </c>
      <c r="B9">
        <v>80.281872705612869</v>
      </c>
      <c r="C9">
        <v>45.930895894688049</v>
      </c>
    </row>
    <row r="10" spans="1:3" x14ac:dyDescent="0.3">
      <c r="A10">
        <v>238.93333333333339</v>
      </c>
      <c r="B10">
        <v>77.058723128487657</v>
      </c>
      <c r="C10">
        <v>49.154045471813262</v>
      </c>
    </row>
    <row r="11" spans="1:3" x14ac:dyDescent="0.3">
      <c r="A11">
        <v>300.56666666666672</v>
      </c>
      <c r="B11">
        <v>62.63206952432958</v>
      </c>
      <c r="C11">
        <v>63.580699075971339</v>
      </c>
    </row>
    <row r="12" spans="1:3" x14ac:dyDescent="0.3">
      <c r="A12">
        <v>349.51666666666671</v>
      </c>
      <c r="B12">
        <v>53.656629302001399</v>
      </c>
      <c r="C12">
        <v>70.673001870626962</v>
      </c>
    </row>
    <row r="13" spans="1:3" x14ac:dyDescent="0.3">
      <c r="A13">
        <v>367.4</v>
      </c>
      <c r="B13">
        <v>42.200733674296849</v>
      </c>
      <c r="C13">
        <v>82.128897498331497</v>
      </c>
    </row>
    <row r="14" spans="1:3" x14ac:dyDescent="0.3">
      <c r="A14">
        <v>1175</v>
      </c>
      <c r="B14">
        <v>0</v>
      </c>
      <c r="C14">
        <v>124.3296311726284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C3_E4 HPLC 254 nm</vt:lpstr>
      <vt:lpstr>Sample and addition times</vt:lpstr>
      <vt:lpstr>Concentration vs time HPLC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Dalland</dc:creator>
  <cp:lastModifiedBy>Dalland, Daniel</cp:lastModifiedBy>
  <dcterms:created xsi:type="dcterms:W3CDTF">2025-02-04T10:53:07Z</dcterms:created>
  <dcterms:modified xsi:type="dcterms:W3CDTF">2026-01-12T11:08:27Z</dcterms:modified>
</cp:coreProperties>
</file>
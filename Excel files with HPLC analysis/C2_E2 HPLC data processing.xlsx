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9" documentId="11_7AD02FCC0BEA1679A2ADD725F1C4893F45D25683" xr6:coauthVersionLast="47" xr6:coauthVersionMax="47" xr10:uidLastSave="{CDBD848B-429A-4EB5-BAD0-F0F0279841B2}"/>
  <bookViews>
    <workbookView xWindow="30585" yWindow="1785" windowWidth="17280" windowHeight="8880" firstSheet="2" activeTab="2" xr2:uid="{00000000-000D-0000-FFFF-FFFF00000000}"/>
  </bookViews>
  <sheets>
    <sheet name="C2_E2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C21" i="2"/>
  <c r="C20" i="2"/>
  <c r="H12" i="2" s="1"/>
  <c r="C19" i="2"/>
  <c r="H11" i="2" s="1"/>
  <c r="C17" i="2"/>
  <c r="H10" i="2" s="1"/>
  <c r="C16" i="2"/>
  <c r="H9" i="2" s="1"/>
  <c r="C15" i="2"/>
  <c r="H8" i="2" s="1"/>
  <c r="H13" i="2"/>
  <c r="C13" i="2"/>
  <c r="H7" i="2" s="1"/>
  <c r="C12" i="2"/>
  <c r="C11" i="2"/>
  <c r="C9" i="2"/>
  <c r="C8" i="2"/>
  <c r="H3" i="2" s="1"/>
  <c r="C7" i="2"/>
  <c r="H2" i="2" s="1"/>
  <c r="H6" i="2"/>
  <c r="C6" i="2"/>
  <c r="H5" i="2"/>
  <c r="H4" i="2"/>
  <c r="F4" i="2"/>
  <c r="C4" i="2"/>
  <c r="C3" i="2"/>
  <c r="F3" i="2" s="1"/>
  <c r="C2" i="2"/>
  <c r="F2" i="2" s="1"/>
  <c r="F1" i="2"/>
  <c r="C1" i="2"/>
  <c r="J17" i="1"/>
  <c r="F17" i="1"/>
  <c r="K17" i="1" s="1"/>
  <c r="B17" i="1"/>
  <c r="D17" i="1" s="1"/>
  <c r="K16" i="1"/>
  <c r="J16" i="1"/>
  <c r="F16" i="1"/>
  <c r="B16" i="1"/>
  <c r="D16" i="1" s="1"/>
  <c r="J15" i="1"/>
  <c r="K15" i="1" s="1"/>
  <c r="H15" i="1"/>
  <c r="F15" i="1"/>
  <c r="B15" i="1"/>
  <c r="D15" i="1" s="1"/>
  <c r="J14" i="1"/>
  <c r="H14" i="1"/>
  <c r="F14" i="1"/>
  <c r="K14" i="1" s="1"/>
  <c r="D14" i="1"/>
  <c r="B14" i="1"/>
  <c r="J13" i="1"/>
  <c r="F13" i="1"/>
  <c r="K13" i="1" s="1"/>
  <c r="B13" i="1"/>
  <c r="H13" i="1" s="1"/>
  <c r="K12" i="1"/>
  <c r="J12" i="1"/>
  <c r="F12" i="1"/>
  <c r="B12" i="1"/>
  <c r="H12" i="1" s="1"/>
  <c r="K11" i="1"/>
  <c r="J11" i="1"/>
  <c r="H11" i="1"/>
  <c r="F11" i="1"/>
  <c r="D11" i="1"/>
  <c r="B11" i="1"/>
  <c r="J10" i="1"/>
  <c r="H10" i="1"/>
  <c r="F10" i="1"/>
  <c r="K10" i="1" s="1"/>
  <c r="D10" i="1"/>
  <c r="B10" i="1"/>
  <c r="J9" i="1"/>
  <c r="F9" i="1"/>
  <c r="K9" i="1" s="1"/>
  <c r="B9" i="1"/>
  <c r="D9" i="1" s="1"/>
  <c r="K8" i="1"/>
  <c r="J8" i="1"/>
  <c r="F8" i="1"/>
  <c r="B8" i="1"/>
  <c r="H8" i="1" s="1"/>
  <c r="J7" i="1"/>
  <c r="K7" i="1" s="1"/>
  <c r="H7" i="1"/>
  <c r="F7" i="1"/>
  <c r="B7" i="1"/>
  <c r="D7" i="1" s="1"/>
  <c r="J6" i="1"/>
  <c r="H6" i="1"/>
  <c r="F6" i="1"/>
  <c r="K6" i="1" s="1"/>
  <c r="D6" i="1"/>
  <c r="B6" i="1"/>
  <c r="J5" i="1"/>
  <c r="F5" i="1"/>
  <c r="K5" i="1" s="1"/>
  <c r="B5" i="1"/>
  <c r="H5" i="1" s="1"/>
  <c r="K4" i="1"/>
  <c r="J4" i="1"/>
  <c r="F4" i="1"/>
  <c r="B4" i="1"/>
  <c r="H4" i="1" s="1"/>
  <c r="D4" i="1" l="1"/>
  <c r="H9" i="1"/>
  <c r="D12" i="1"/>
  <c r="H17" i="1"/>
  <c r="D8" i="1"/>
  <c r="D13" i="1"/>
  <c r="D5" i="1"/>
  <c r="H16" i="1"/>
</calcChain>
</file>

<file path=xl/sharedStrings.xml><?xml version="1.0" encoding="utf-8"?>
<sst xmlns="http://schemas.openxmlformats.org/spreadsheetml/2006/main" count="78" uniqueCount="63">
  <si>
    <t>filename</t>
  </si>
  <si>
    <t>Biphenyl</t>
  </si>
  <si>
    <t>4-CONH2-ArOPh</t>
  </si>
  <si>
    <t>Ratio of integral with IS</t>
  </si>
  <si>
    <t>concentrations</t>
  </si>
  <si>
    <t>Product</t>
  </si>
  <si>
    <t>Compound</t>
  </si>
  <si>
    <t>Initial concentration / mM</t>
  </si>
  <si>
    <t>DMSO</t>
  </si>
  <si>
    <t>C2_E2-S0</t>
  </si>
  <si>
    <t>4-Me-piperidine</t>
  </si>
  <si>
    <t>C2_E2-S1</t>
  </si>
  <si>
    <t>Ar-CONH2-Oph</t>
  </si>
  <si>
    <t>C2_E2-S2</t>
  </si>
  <si>
    <t>C2_E2-S3</t>
  </si>
  <si>
    <t>C2_E2-S4</t>
  </si>
  <si>
    <t>C2_E2-S5</t>
  </si>
  <si>
    <t>C2_E2-S6</t>
  </si>
  <si>
    <t>C2_E2-S7</t>
  </si>
  <si>
    <t>Ar-4SO2Me-Oph</t>
  </si>
  <si>
    <t>C2_E2-S8</t>
  </si>
  <si>
    <t>C2_E2-S9</t>
  </si>
  <si>
    <t>C2_E2-S10</t>
  </si>
  <si>
    <t>C2_E2-S11</t>
  </si>
  <si>
    <t>C2_E2-S12</t>
  </si>
  <si>
    <t>C2_E2-S90</t>
  </si>
  <si>
    <t>Phenol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</si>
  <si>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</si>
  <si>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</si>
  <si>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</si>
  <si>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</si>
  <si>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</si>
  <si>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</si>
  <si>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</si>
  <si>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</si>
  <si>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</si>
  <si>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</si>
  <si>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</si>
  <si>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</si>
  <si>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S4</t>
  </si>
  <si>
    <t>Start:</t>
  </si>
  <si>
    <t>S5</t>
  </si>
  <si>
    <t>S1:</t>
  </si>
  <si>
    <t>S6</t>
  </si>
  <si>
    <t>S7</t>
  </si>
  <si>
    <t>S3:</t>
  </si>
  <si>
    <t>S8</t>
  </si>
  <si>
    <t>S9</t>
  </si>
  <si>
    <t>S4:</t>
  </si>
  <si>
    <t>S10</t>
  </si>
  <si>
    <t>S5:</t>
  </si>
  <si>
    <t>S11</t>
  </si>
  <si>
    <t>S6:</t>
  </si>
  <si>
    <t>S12</t>
  </si>
  <si>
    <t>S7:</t>
  </si>
  <si>
    <t>S8:</t>
  </si>
  <si>
    <t>S9: </t>
  </si>
  <si>
    <t>S10:</t>
  </si>
  <si>
    <t>S11:</t>
  </si>
  <si>
    <t>S12: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</si>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</sst>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General</c:formatCode>
                <c:ptCount val="11"/>
                <c:pt idx="0">
                  <c:v>0</c:v>
                </c:pt>
                <c:pt idx="1">
                  <c:v>73.316666666666634</c:v>
                </c:pt>
                <c:pt idx="2">
                  <c:v>159.96666666666661</c:v>
                </c:pt>
                <c:pt idx="3">
                  <c:v>317.05</c:v>
                </c:pt>
                <c:pt idx="4">
                  <c:v>411.48333333333329</c:v>
                </c:pt>
                <c:pt idx="5">
                  <c:v>430.41666666666669</c:v>
                </c:pt>
                <c:pt idx="6">
                  <c:v>478.76666666666671</c:v>
                </c:pt>
                <c:pt idx="7">
                  <c:v>506.83333333333343</c:v>
                </c:pt>
                <c:pt idx="8">
                  <c:v>817.63333333333344</c:v>
                </c:pt>
                <c:pt idx="9">
                  <c:v>821.86666666666667</c:v>
                </c:pt>
                <c:pt idx="10">
                  <c:v>1474.866666666667</c:v>
                </c:pt>
              </c:numCache>
            </c:numRef>
          </c:xVal>
          <c:yVal>
            <c:numRef>
              <c:f>'Concentration vs time HPLC'!$B$2:$B$12</c:f>
              <c:numCache>
                <c:formatCode>General</c:formatCode>
                <c:ptCount val="11"/>
                <c:pt idx="0">
                  <c:v>152.13</c:v>
                </c:pt>
                <c:pt idx="1">
                  <c:v>146.61549465113441</c:v>
                </c:pt>
                <c:pt idx="2">
                  <c:v>141.77904569600841</c:v>
                </c:pt>
                <c:pt idx="3">
                  <c:v>135.98260848520312</c:v>
                </c:pt>
                <c:pt idx="4">
                  <c:v>130.21998989666329</c:v>
                </c:pt>
                <c:pt idx="5">
                  <c:v>125.55318686285941</c:v>
                </c:pt>
                <c:pt idx="6">
                  <c:v>118.0073441239102</c:v>
                </c:pt>
                <c:pt idx="7">
                  <c:v>114.864004772692</c:v>
                </c:pt>
                <c:pt idx="8">
                  <c:v>87.86296548105247</c:v>
                </c:pt>
                <c:pt idx="9">
                  <c:v>85.958906914356959</c:v>
                </c:pt>
                <c:pt idx="10">
                  <c:v>23.572450879542611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CB-48CF-9467-261FC5AAD56F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General</c:formatCode>
                <c:ptCount val="11"/>
                <c:pt idx="0">
                  <c:v>0</c:v>
                </c:pt>
                <c:pt idx="1">
                  <c:v>73.316666666666634</c:v>
                </c:pt>
                <c:pt idx="2">
                  <c:v>159.96666666666661</c:v>
                </c:pt>
                <c:pt idx="3">
                  <c:v>317.05</c:v>
                </c:pt>
                <c:pt idx="4">
                  <c:v>411.48333333333329</c:v>
                </c:pt>
                <c:pt idx="5">
                  <c:v>430.41666666666669</c:v>
                </c:pt>
                <c:pt idx="6">
                  <c:v>478.76666666666671</c:v>
                </c:pt>
                <c:pt idx="7">
                  <c:v>506.83333333333343</c:v>
                </c:pt>
                <c:pt idx="8">
                  <c:v>817.63333333333344</c:v>
                </c:pt>
                <c:pt idx="9">
                  <c:v>821.86666666666667</c:v>
                </c:pt>
                <c:pt idx="10">
                  <c:v>1474.866666666667</c:v>
                </c:pt>
              </c:numCache>
            </c:numRef>
          </c:xVal>
          <c:yVal>
            <c:numRef>
              <c:f>'Concentration vs time HPLC'!$C$2:$C$12</c:f>
              <c:numCache>
                <c:formatCode>General</c:formatCode>
                <c:ptCount val="11"/>
                <c:pt idx="0">
                  <c:v>0</c:v>
                </c:pt>
                <c:pt idx="1">
                  <c:v>5.5145053488655726</c:v>
                </c:pt>
                <c:pt idx="2">
                  <c:v>10.35095430399158</c:v>
                </c:pt>
                <c:pt idx="3">
                  <c:v>16.14739151479689</c:v>
                </c:pt>
                <c:pt idx="4">
                  <c:v>20.796275337473801</c:v>
                </c:pt>
                <c:pt idx="5">
                  <c:v>24.078874497691611</c:v>
                </c:pt>
                <c:pt idx="6">
                  <c:v>31.348259978861421</c:v>
                </c:pt>
                <c:pt idx="7">
                  <c:v>35.390605130807991</c:v>
                </c:pt>
                <c:pt idx="8">
                  <c:v>61.614225572984772</c:v>
                </c:pt>
                <c:pt idx="9">
                  <c:v>62.842036435863413</c:v>
                </c:pt>
                <c:pt idx="10">
                  <c:v>121.4177930817026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CB-48CF-9467-261FC5AAD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539072"/>
        <c:axId val="1673535232"/>
      </c:scatterChart>
      <c:valAx>
        <c:axId val="167353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35232"/>
        <c:crosses val="autoZero"/>
        <c:crossBetween val="midCat"/>
      </c:valAx>
      <c:valAx>
        <c:axId val="16735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3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0</xdr:rowOff>
    </xdr:from>
    <xdr:to>
      <xdr:col>11</xdr:col>
      <xdr:colOff>76200</xdr:colOff>
      <xdr:row>15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10609-CCC3-6BE2-469E-26CA553B5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.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opLeftCell="A7" workbookViewId="0">
      <selection activeCell="N10" sqref="N10:N30"/>
    </sheetView>
  </sheetViews>
  <sheetFormatPr defaultRowHeight="14.4" x14ac:dyDescent="0.3"/>
  <cols>
    <col min="1" max="1" width="10.44140625" bestFit="1" customWidth="1"/>
    <col min="4" max="4" width="12" bestFit="1" customWidth="1"/>
    <col min="5" max="5" width="14.44140625" bestFit="1" customWidth="1"/>
    <col min="9" max="9" width="14.44140625" bestFit="1" customWidth="1"/>
    <col min="10" max="10" width="10" bestFit="1" customWidth="1"/>
    <col min="11" max="11" width="11" bestFit="1" customWidth="1"/>
    <col min="14" max="14" width="10.44140625" bestFit="1" customWidth="1"/>
    <col min="15" max="15" width="23.44140625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N2" t="s">
        <v>6</v>
      </c>
      <c r="O2" t="s">
        <v>7</v>
      </c>
    </row>
    <row r="3" spans="1:15" x14ac:dyDescent="0.3">
      <c r="B3">
        <v>4.7676104818071599</v>
      </c>
      <c r="C3">
        <v>2.9134052651269098</v>
      </c>
      <c r="G3">
        <v>3.2475505556379001</v>
      </c>
      <c r="N3" t="s">
        <v>8</v>
      </c>
      <c r="O3">
        <v>36.639149980822268</v>
      </c>
    </row>
    <row r="4" spans="1:15" x14ac:dyDescent="0.3">
      <c r="A4" t="s">
        <v>9</v>
      </c>
      <c r="B4">
        <f>L4/$O$4*M4</f>
        <v>192.55151854093401</v>
      </c>
      <c r="C4">
        <v>1868.04565429688</v>
      </c>
      <c r="D4">
        <f t="shared" ref="D4:D17" si="0">C4/B4</f>
        <v>9.7015368585616066</v>
      </c>
      <c r="E4">
        <v>12.126921073202009</v>
      </c>
      <c r="F4" s="1">
        <f>E4*$O$5</f>
        <v>142.58308839625056</v>
      </c>
      <c r="G4">
        <v>0</v>
      </c>
      <c r="H4">
        <f t="shared" ref="H4:H17" si="1">G4/B4</f>
        <v>0</v>
      </c>
      <c r="I4" s="1">
        <v>0</v>
      </c>
      <c r="J4" s="1">
        <f>I4*$O$5</f>
        <v>0</v>
      </c>
      <c r="K4">
        <f t="shared" ref="K4:K17" si="2">SUM(F4,J4)</f>
        <v>142.58308839625056</v>
      </c>
      <c r="L4">
        <v>269.35586547851602</v>
      </c>
      <c r="M4">
        <v>101.92683252017051</v>
      </c>
      <c r="N4" t="s">
        <v>10</v>
      </c>
      <c r="O4">
        <v>142.58308839625059</v>
      </c>
    </row>
    <row r="5" spans="1:15" x14ac:dyDescent="0.3">
      <c r="A5" t="s">
        <v>11</v>
      </c>
      <c r="B5">
        <f>L5/$O$4*M5</f>
        <v>166.36031254310905</v>
      </c>
      <c r="C5">
        <v>1567.173828125</v>
      </c>
      <c r="D5">
        <f t="shared" si="0"/>
        <v>9.42035876326511</v>
      </c>
      <c r="E5">
        <v>11.77544845408139</v>
      </c>
      <c r="F5" s="1">
        <f>E5*$O$5</f>
        <v>138.45062548844137</v>
      </c>
      <c r="G5">
        <v>35.082656860351598</v>
      </c>
      <c r="H5">
        <f t="shared" si="1"/>
        <v>0.21088357147237632</v>
      </c>
      <c r="I5" s="1">
        <v>0.35147261912062733</v>
      </c>
      <c r="J5" s="1">
        <f>I5*$O$5</f>
        <v>4.1324629078092885</v>
      </c>
      <c r="K5">
        <f t="shared" si="2"/>
        <v>142.58308839625067</v>
      </c>
      <c r="L5">
        <v>169.23818969726599</v>
      </c>
      <c r="M5">
        <v>140.158478363499</v>
      </c>
      <c r="N5" t="s">
        <v>12</v>
      </c>
      <c r="O5">
        <v>11.75756711333182</v>
      </c>
    </row>
    <row r="6" spans="1:15" x14ac:dyDescent="0.3">
      <c r="A6" t="s">
        <v>13</v>
      </c>
      <c r="B6">
        <f>L6/$O$4*M6</f>
        <v>69.913471936119421</v>
      </c>
      <c r="C6">
        <v>642.84802246093795</v>
      </c>
      <c r="D6">
        <f t="shared" si="0"/>
        <v>9.1949091449544103</v>
      </c>
      <c r="E6">
        <v>11.493636431193019</v>
      </c>
      <c r="F6" s="1">
        <f>E6*$O$5</f>
        <v>135.13720171598754</v>
      </c>
      <c r="G6">
        <v>26.565076828003001</v>
      </c>
      <c r="H6">
        <f t="shared" si="1"/>
        <v>0.37997078520540012</v>
      </c>
      <c r="I6" s="1">
        <v>0.63328464200900036</v>
      </c>
      <c r="J6" s="1">
        <f>I6*$O$5</f>
        <v>7.445886680263138</v>
      </c>
      <c r="K6">
        <f t="shared" si="2"/>
        <v>142.58308839625067</v>
      </c>
      <c r="L6">
        <v>69.56201171875</v>
      </c>
      <c r="M6">
        <v>143.30348566485691</v>
      </c>
      <c r="N6" t="s">
        <v>1</v>
      </c>
      <c r="O6">
        <v>0</v>
      </c>
    </row>
    <row r="7" spans="1:15" x14ac:dyDescent="0.3">
      <c r="A7" t="s">
        <v>14</v>
      </c>
      <c r="B7">
        <f>L7/$O$4*M7</f>
        <v>180.50939161112933</v>
      </c>
      <c r="C7">
        <v>1600.61315917969</v>
      </c>
      <c r="D7">
        <f t="shared" si="0"/>
        <v>8.8672015616111803</v>
      </c>
      <c r="E7">
        <v>11.084001952013979</v>
      </c>
      <c r="F7" s="1">
        <f>E7*$O$5</f>
        <v>130.32089683510526</v>
      </c>
      <c r="G7">
        <v>112.95401763916</v>
      </c>
      <c r="H7">
        <f t="shared" si="1"/>
        <v>0.62575147271282372</v>
      </c>
      <c r="I7" s="1">
        <v>1.04291912118804</v>
      </c>
      <c r="J7" s="1">
        <f>I7*$O$5</f>
        <v>12.262191561145421</v>
      </c>
      <c r="K7">
        <f t="shared" si="2"/>
        <v>142.58308839625067</v>
      </c>
      <c r="L7">
        <v>187.79379272461</v>
      </c>
      <c r="M7">
        <v>137.05238158849011</v>
      </c>
    </row>
    <row r="8" spans="1:15" x14ac:dyDescent="0.3">
      <c r="A8" t="s">
        <v>15</v>
      </c>
      <c r="B8">
        <f>L8/$O$11*M8</f>
        <v>248.08900365902846</v>
      </c>
      <c r="C8">
        <v>2132.60498046875</v>
      </c>
      <c r="D8">
        <f t="shared" si="0"/>
        <v>8.5961286031032031</v>
      </c>
      <c r="E8">
        <v>10.745160753879</v>
      </c>
      <c r="F8" s="2">
        <f>E8*$O$5</f>
        <v>126.33694870727149</v>
      </c>
      <c r="G8">
        <v>188.33038330078099</v>
      </c>
      <c r="H8">
        <f t="shared" si="1"/>
        <v>0.75912426799706434</v>
      </c>
      <c r="I8" s="1">
        <v>1.2652071133284399</v>
      </c>
      <c r="J8" s="2">
        <f>I8*$O$5</f>
        <v>14.87575754722395</v>
      </c>
      <c r="K8">
        <f t="shared" si="2"/>
        <v>141.21270625449543</v>
      </c>
      <c r="L8">
        <v>243.25563049316401</v>
      </c>
      <c r="M8">
        <v>144.01853526534239</v>
      </c>
    </row>
    <row r="9" spans="1:15" x14ac:dyDescent="0.3">
      <c r="A9" t="s">
        <v>16</v>
      </c>
      <c r="B9">
        <f>L9/$O$11*M9</f>
        <v>393.61337054817938</v>
      </c>
      <c r="C9">
        <v>3342.55078125</v>
      </c>
      <c r="D9">
        <f t="shared" si="0"/>
        <v>8.4919645300536413</v>
      </c>
      <c r="E9">
        <v>10.61495566256705</v>
      </c>
      <c r="F9" s="2">
        <f>E9*$O$12</f>
        <v>123.60652855199832</v>
      </c>
      <c r="G9">
        <v>357.077880859375</v>
      </c>
      <c r="H9">
        <f t="shared" si="1"/>
        <v>0.90717924638098058</v>
      </c>
      <c r="I9" s="1">
        <v>1.5119654106349669</v>
      </c>
      <c r="J9" s="2">
        <f>I9*$O$12</f>
        <v>17.606177702497249</v>
      </c>
      <c r="K9">
        <f t="shared" si="2"/>
        <v>141.21270625449557</v>
      </c>
      <c r="L9">
        <v>390.98428344726602</v>
      </c>
      <c r="M9">
        <v>142.16225977932109</v>
      </c>
    </row>
    <row r="10" spans="1:15" x14ac:dyDescent="0.3">
      <c r="A10" t="s">
        <v>17</v>
      </c>
      <c r="B10">
        <f>L10/$O$11*M10</f>
        <v>177.90449561207672</v>
      </c>
      <c r="C10">
        <v>1443.63818359375</v>
      </c>
      <c r="D10">
        <f t="shared" si="0"/>
        <v>8.1146807371390075</v>
      </c>
      <c r="E10">
        <v>10.14335092142376</v>
      </c>
      <c r="F10" s="2">
        <f>E10*$O$12</f>
        <v>118.11489705070493</v>
      </c>
      <c r="G10">
        <v>211.73162841796901</v>
      </c>
      <c r="H10">
        <f t="shared" si="1"/>
        <v>1.1901420910669556</v>
      </c>
      <c r="I10" s="1">
        <v>1.9835701517782589</v>
      </c>
      <c r="J10" s="2">
        <f>I10*$O$12</f>
        <v>23.097809203790661</v>
      </c>
      <c r="K10">
        <f t="shared" si="2"/>
        <v>141.21270625449557</v>
      </c>
      <c r="L10">
        <v>178.712890625</v>
      </c>
      <c r="M10">
        <v>140.5739406506361</v>
      </c>
      <c r="N10" t="s">
        <v>10</v>
      </c>
      <c r="O10">
        <v>117.5022182496206</v>
      </c>
    </row>
    <row r="11" spans="1:15" x14ac:dyDescent="0.3">
      <c r="A11" t="s">
        <v>18</v>
      </c>
      <c r="B11">
        <f>L11/$O$19*M11</f>
        <v>168.10628992020568</v>
      </c>
      <c r="C11">
        <v>1313.91723632813</v>
      </c>
      <c r="D11">
        <f t="shared" si="0"/>
        <v>7.8159909242646526</v>
      </c>
      <c r="E11">
        <v>9.7699886553308115</v>
      </c>
      <c r="F11" s="3">
        <f>E11*$O$12</f>
        <v>113.76725631897753</v>
      </c>
      <c r="G11">
        <v>223.32260131836</v>
      </c>
      <c r="H11">
        <f t="shared" si="1"/>
        <v>1.3284607103301347</v>
      </c>
      <c r="I11" s="1">
        <v>2.2141011838835571</v>
      </c>
      <c r="J11" s="3">
        <f>I11*$O$12</f>
        <v>25.782242517302411</v>
      </c>
      <c r="K11">
        <f t="shared" si="2"/>
        <v>139.54949883627995</v>
      </c>
      <c r="L11">
        <v>167.73135375976599</v>
      </c>
      <c r="M11">
        <v>139.8614390437136</v>
      </c>
      <c r="N11" t="s">
        <v>19</v>
      </c>
      <c r="O11">
        <v>141.21270625449549</v>
      </c>
    </row>
    <row r="12" spans="1:15" x14ac:dyDescent="0.3">
      <c r="A12" t="s">
        <v>20</v>
      </c>
      <c r="B12">
        <f>L12/$O$19*M12</f>
        <v>184.11265829326823</v>
      </c>
      <c r="C12">
        <v>1227.87475585938</v>
      </c>
      <c r="D12">
        <f t="shared" si="0"/>
        <v>6.6691490266982649</v>
      </c>
      <c r="E12">
        <v>8.33643628337283</v>
      </c>
      <c r="F12" s="3">
        <f>E12*$O$20</f>
        <v>95.930821879925531</v>
      </c>
      <c r="G12">
        <v>418.72573852539102</v>
      </c>
      <c r="H12">
        <f t="shared" si="1"/>
        <v>2.2742908738975123</v>
      </c>
      <c r="I12" s="1">
        <v>3.7904847898291871</v>
      </c>
      <c r="J12" s="3">
        <f>I12*$O$20</f>
        <v>43.618676956354349</v>
      </c>
      <c r="K12">
        <f t="shared" si="2"/>
        <v>139.54949883627989</v>
      </c>
      <c r="L12">
        <v>191.47627258300801</v>
      </c>
      <c r="M12">
        <v>134.18283554220841</v>
      </c>
      <c r="N12" t="s">
        <v>1</v>
      </c>
      <c r="O12">
        <v>11.64456380989783</v>
      </c>
    </row>
    <row r="13" spans="1:15" x14ac:dyDescent="0.3">
      <c r="A13" t="s">
        <v>21</v>
      </c>
      <c r="B13">
        <f>L13/$O$19*M13</f>
        <v>175.53778041279185</v>
      </c>
      <c r="C13">
        <v>1126.11853027344</v>
      </c>
      <c r="D13">
        <f t="shared" si="0"/>
        <v>6.4152487722316964</v>
      </c>
      <c r="E13">
        <v>8.0190609652896185</v>
      </c>
      <c r="F13" s="3">
        <f>E13*$O$20</f>
        <v>92.278652766745779</v>
      </c>
      <c r="G13">
        <v>432.65078735351602</v>
      </c>
      <c r="H13">
        <f t="shared" si="1"/>
        <v>2.4647160647474369</v>
      </c>
      <c r="I13" s="1">
        <v>4.1078601079123942</v>
      </c>
      <c r="J13" s="3">
        <f>I13*$O$20</f>
        <v>47.270846069534052</v>
      </c>
      <c r="K13">
        <f t="shared" si="2"/>
        <v>139.54949883627984</v>
      </c>
      <c r="L13">
        <v>183.29925537109401</v>
      </c>
      <c r="M13">
        <v>133.6405280744041</v>
      </c>
      <c r="O13">
        <v>0</v>
      </c>
    </row>
    <row r="14" spans="1:15" x14ac:dyDescent="0.3">
      <c r="A14" t="s">
        <v>22</v>
      </c>
      <c r="B14">
        <f>L14/$O$27*M14</f>
        <v>340.65405454343028</v>
      </c>
      <c r="C14">
        <v>2115.88623046875</v>
      </c>
      <c r="D14">
        <f t="shared" si="0"/>
        <v>6.2112462841653739</v>
      </c>
      <c r="E14">
        <v>7.7640578552067208</v>
      </c>
      <c r="F14" s="4">
        <f>E14*$O$20</f>
        <v>89.344226460269866</v>
      </c>
      <c r="G14">
        <v>848.684326171875</v>
      </c>
      <c r="H14">
        <f t="shared" si="1"/>
        <v>2.4913378098767809</v>
      </c>
      <c r="I14" s="1">
        <v>4.1522296831279686</v>
      </c>
      <c r="J14" s="4">
        <f>I14*$O$20</f>
        <v>47.781425131402813</v>
      </c>
      <c r="K14">
        <f t="shared" si="2"/>
        <v>137.12565159167269</v>
      </c>
      <c r="L14">
        <v>353.95379638671898</v>
      </c>
      <c r="M14">
        <v>131.97318314839191</v>
      </c>
    </row>
    <row r="15" spans="1:15" x14ac:dyDescent="0.3">
      <c r="A15" t="s">
        <v>23</v>
      </c>
      <c r="B15">
        <f>L15/$O$27*M15</f>
        <v>111.82660584308107</v>
      </c>
      <c r="C15">
        <v>242.29179382324199</v>
      </c>
      <c r="D15">
        <f t="shared" si="0"/>
        <v>2.1666739502335801</v>
      </c>
      <c r="E15">
        <v>2.7083424377919738</v>
      </c>
      <c r="F15" s="4">
        <f>E15*$O$28</f>
        <v>30.624691896138732</v>
      </c>
      <c r="G15">
        <v>631.94860839843795</v>
      </c>
      <c r="H15">
        <f t="shared" si="1"/>
        <v>5.6511471812460261</v>
      </c>
      <c r="I15" s="1">
        <v>9.4185786354100394</v>
      </c>
      <c r="J15" s="4">
        <f>I15*$O$28</f>
        <v>106.50095969553398</v>
      </c>
      <c r="K15">
        <f t="shared" si="2"/>
        <v>137.12565159167272</v>
      </c>
      <c r="L15">
        <v>138.18273925781301</v>
      </c>
      <c r="M15">
        <v>110.9711406350676</v>
      </c>
    </row>
    <row r="16" spans="1:15" x14ac:dyDescent="0.3">
      <c r="A16" t="s">
        <v>24</v>
      </c>
      <c r="B16">
        <f>L16/$O$27*M16</f>
        <v>115.04432932870293</v>
      </c>
      <c r="C16">
        <v>236.09158325195301</v>
      </c>
      <c r="D16">
        <f t="shared" si="0"/>
        <v>2.0521792306459163</v>
      </c>
      <c r="E16">
        <v>2.565224038307397</v>
      </c>
      <c r="F16" s="4">
        <f>E16*$O$28</f>
        <v>29.006374792760568</v>
      </c>
      <c r="G16">
        <v>660.01141357421898</v>
      </c>
      <c r="H16">
        <f t="shared" si="1"/>
        <v>5.7370182209367684</v>
      </c>
      <c r="I16" s="1">
        <v>9.5616970348946193</v>
      </c>
      <c r="J16" s="4">
        <f>I16*$O$28</f>
        <v>108.11927679891218</v>
      </c>
      <c r="K16">
        <f t="shared" si="2"/>
        <v>137.12565159167275</v>
      </c>
      <c r="L16">
        <v>135.44837951660199</v>
      </c>
      <c r="M16">
        <v>116.4689358220912</v>
      </c>
    </row>
    <row r="17" spans="1:15" x14ac:dyDescent="0.3">
      <c r="A17" t="s">
        <v>25</v>
      </c>
      <c r="B17">
        <f>L17/$O$27*M17</f>
        <v>192.54693848373287</v>
      </c>
      <c r="C17">
        <v>1868.00122070313</v>
      </c>
      <c r="D17">
        <f t="shared" si="0"/>
        <v>9.7015368585616137</v>
      </c>
      <c r="E17">
        <v>12.12692107320202</v>
      </c>
      <c r="F17" s="4">
        <f>E17*$O$28</f>
        <v>137.12565159167278</v>
      </c>
      <c r="G17">
        <v>0</v>
      </c>
      <c r="H17">
        <f t="shared" si="1"/>
        <v>0</v>
      </c>
      <c r="I17" s="4">
        <v>0</v>
      </c>
      <c r="J17" s="4">
        <f>I17*$O$28</f>
        <v>0</v>
      </c>
      <c r="K17">
        <f t="shared" si="2"/>
        <v>137.12565159167278</v>
      </c>
      <c r="L17">
        <v>268.724212646485</v>
      </c>
      <c r="M17">
        <v>98.253611542990043</v>
      </c>
    </row>
    <row r="18" spans="1:15" x14ac:dyDescent="0.3">
      <c r="N18" t="s">
        <v>10</v>
      </c>
      <c r="O18">
        <v>116.11827365827941</v>
      </c>
    </row>
    <row r="19" spans="1:15" x14ac:dyDescent="0.3">
      <c r="N19" t="s">
        <v>19</v>
      </c>
      <c r="O19">
        <v>139.54949883627989</v>
      </c>
    </row>
    <row r="20" spans="1:15" x14ac:dyDescent="0.3">
      <c r="N20" t="s">
        <v>1</v>
      </c>
      <c r="O20">
        <v>11.50741379398068</v>
      </c>
    </row>
    <row r="21" spans="1:15" x14ac:dyDescent="0.3">
      <c r="N21" t="s">
        <v>26</v>
      </c>
      <c r="O21">
        <v>133.91235310991399</v>
      </c>
    </row>
    <row r="22" spans="1:15" x14ac:dyDescent="0.3">
      <c r="D22" s="8"/>
      <c r="E22" s="8"/>
      <c r="F22" s="8"/>
      <c r="G22" s="8"/>
      <c r="H22" s="8"/>
    </row>
    <row r="24" spans="1:15" x14ac:dyDescent="0.3">
      <c r="N24" t="s">
        <v>6</v>
      </c>
    </row>
    <row r="25" spans="1:15" x14ac:dyDescent="0.3">
      <c r="N25" t="s">
        <v>8</v>
      </c>
    </row>
    <row r="26" spans="1:15" x14ac:dyDescent="0.3">
      <c r="N26" t="s">
        <v>10</v>
      </c>
      <c r="O26">
        <v>260.87254641281243</v>
      </c>
    </row>
    <row r="27" spans="1:15" x14ac:dyDescent="0.3">
      <c r="N27" t="s">
        <v>19</v>
      </c>
      <c r="O27">
        <v>137.12565159167269</v>
      </c>
    </row>
    <row r="28" spans="1:15" x14ac:dyDescent="0.3">
      <c r="N28" t="s">
        <v>1</v>
      </c>
      <c r="O28">
        <v>11.30754053431518</v>
      </c>
    </row>
    <row r="29" spans="1:15" x14ac:dyDescent="0.3">
      <c r="N29" t="s">
        <v>26</v>
      </c>
      <c r="O29">
        <v>131.58641793414441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H21"/>
  <sheetViews>
    <sheetView workbookViewId="0">
      <selection activeCell="H1" sqref="H1:H13"/>
    </sheetView>
  </sheetViews>
  <sheetFormatPr defaultRowHeight="14.4" x14ac:dyDescent="0.3"/>
  <sheetData>
    <row r="1" spans="1:8" ht="15" customHeight="1" x14ac:dyDescent="0.3">
      <c r="A1" s="5" t="s">
        <v>27</v>
      </c>
      <c r="B1" s="6">
        <v>0.42579861111111111</v>
      </c>
      <c r="C1" s="7">
        <f>(B1-$B$1)*86400/60</f>
        <v>0</v>
      </c>
      <c r="E1" t="s">
        <v>28</v>
      </c>
      <c r="F1" s="7">
        <f>C1</f>
        <v>0</v>
      </c>
      <c r="G1" t="s">
        <v>29</v>
      </c>
      <c r="H1">
        <v>0</v>
      </c>
    </row>
    <row r="2" spans="1:8" ht="15" customHeight="1" x14ac:dyDescent="0.3">
      <c r="A2" s="5" t="s">
        <v>30</v>
      </c>
      <c r="B2" s="6">
        <v>0.71031250000000001</v>
      </c>
      <c r="C2" s="7">
        <f>(B2-$B$1)*86400/60</f>
        <v>409.7</v>
      </c>
      <c r="E2" t="s">
        <v>31</v>
      </c>
      <c r="F2" s="7">
        <f>C2</f>
        <v>409.7</v>
      </c>
      <c r="G2" t="s">
        <v>32</v>
      </c>
      <c r="H2" s="7">
        <f>C7</f>
        <v>73.316666666666563</v>
      </c>
    </row>
    <row r="3" spans="1:8" ht="15" customHeight="1" x14ac:dyDescent="0.3">
      <c r="A3" s="5" t="s">
        <v>33</v>
      </c>
      <c r="B3" s="6">
        <v>0.77675925925925926</v>
      </c>
      <c r="C3" s="7">
        <f>(B3-$B$1)*86400/60</f>
        <v>505.38333333333333</v>
      </c>
      <c r="E3" t="s">
        <v>34</v>
      </c>
      <c r="F3" s="7">
        <f>C3</f>
        <v>505.38333333333333</v>
      </c>
      <c r="G3" t="s">
        <v>35</v>
      </c>
      <c r="H3" s="7">
        <f>C8</f>
        <v>159.96666666666661</v>
      </c>
    </row>
    <row r="4" spans="1:8" ht="15" customHeight="1" x14ac:dyDescent="0.3">
      <c r="A4" s="5" t="s">
        <v>36</v>
      </c>
      <c r="B4" s="6">
        <v>0.99496527777777777</v>
      </c>
      <c r="C4" s="7">
        <f>(B4-$B$1)*86400/60</f>
        <v>819.59999999999991</v>
      </c>
      <c r="E4" t="s">
        <v>37</v>
      </c>
      <c r="F4" s="7">
        <f>C4</f>
        <v>819.59999999999991</v>
      </c>
      <c r="G4" t="s">
        <v>38</v>
      </c>
      <c r="H4" s="7">
        <f>C9</f>
        <v>317.04999999999995</v>
      </c>
    </row>
    <row r="5" spans="1:8" x14ac:dyDescent="0.3">
      <c r="C5" s="7"/>
      <c r="F5" s="7"/>
      <c r="G5" t="s">
        <v>39</v>
      </c>
      <c r="H5" s="7">
        <f>C11</f>
        <v>411.48333333333335</v>
      </c>
    </row>
    <row r="6" spans="1:8" ht="15" customHeight="1" x14ac:dyDescent="0.3">
      <c r="A6" s="5" t="s">
        <v>40</v>
      </c>
      <c r="B6" s="6">
        <v>0.41365740740740742</v>
      </c>
      <c r="C6" s="7">
        <f>(B6-$B$1)*86400/60</f>
        <v>-17.483333333333324</v>
      </c>
      <c r="G6" t="s">
        <v>41</v>
      </c>
      <c r="H6" s="7">
        <f>C12</f>
        <v>430.41666666666669</v>
      </c>
    </row>
    <row r="7" spans="1:8" ht="15" customHeight="1" x14ac:dyDescent="0.3">
      <c r="A7" s="5" t="s">
        <v>42</v>
      </c>
      <c r="B7" s="6">
        <v>0.47671296296296289</v>
      </c>
      <c r="C7" s="7">
        <f>(B7-$B$1)*86400/60</f>
        <v>73.316666666666563</v>
      </c>
      <c r="G7" t="s">
        <v>43</v>
      </c>
      <c r="H7" s="7">
        <f>C13</f>
        <v>478.76666666666671</v>
      </c>
    </row>
    <row r="8" spans="1:8" ht="15" customHeight="1" x14ac:dyDescent="0.3">
      <c r="A8" s="5" t="s">
        <v>35</v>
      </c>
      <c r="B8" s="6">
        <v>0.53688657407407403</v>
      </c>
      <c r="C8" s="7">
        <f>(B8-$B$1)*86400/60</f>
        <v>159.96666666666661</v>
      </c>
      <c r="G8" t="s">
        <v>44</v>
      </c>
      <c r="H8" s="7">
        <f>C15</f>
        <v>506.83333333333337</v>
      </c>
    </row>
    <row r="9" spans="1:8" ht="15" customHeight="1" x14ac:dyDescent="0.3">
      <c r="A9" s="5" t="s">
        <v>45</v>
      </c>
      <c r="B9" s="6">
        <v>0.64597222222222217</v>
      </c>
      <c r="C9" s="7">
        <f>(B9-$B$1)*86400/60</f>
        <v>317.04999999999995</v>
      </c>
      <c r="G9" t="s">
        <v>46</v>
      </c>
      <c r="H9" s="7">
        <f>C16</f>
        <v>806.61666666666667</v>
      </c>
    </row>
    <row r="10" spans="1:8" x14ac:dyDescent="0.3">
      <c r="C10" s="7"/>
      <c r="G10" t="s">
        <v>47</v>
      </c>
      <c r="H10" s="7">
        <f>C17</f>
        <v>817.63333333333344</v>
      </c>
    </row>
    <row r="11" spans="1:8" ht="15" customHeight="1" x14ac:dyDescent="0.3">
      <c r="A11" s="5" t="s">
        <v>48</v>
      </c>
      <c r="B11" s="6">
        <v>0.71155092592592595</v>
      </c>
      <c r="C11" s="7">
        <f>(B11-$B$1)*86400/60</f>
        <v>411.48333333333335</v>
      </c>
      <c r="G11" t="s">
        <v>49</v>
      </c>
      <c r="H11" s="7">
        <f>C19</f>
        <v>821.86666666666667</v>
      </c>
    </row>
    <row r="12" spans="1:8" ht="15" customHeight="1" x14ac:dyDescent="0.3">
      <c r="A12" s="5" t="s">
        <v>50</v>
      </c>
      <c r="B12" s="6">
        <v>0.72469907407407408</v>
      </c>
      <c r="C12" s="7">
        <f>(B12-$B$1)*86400/60</f>
        <v>430.41666666666669</v>
      </c>
      <c r="G12" t="s">
        <v>51</v>
      </c>
      <c r="H12" s="7">
        <f>C20</f>
        <v>1453.0666666666666</v>
      </c>
    </row>
    <row r="13" spans="1:8" ht="15" customHeight="1" x14ac:dyDescent="0.3">
      <c r="A13" s="5" t="s">
        <v>52</v>
      </c>
      <c r="B13" s="6">
        <v>0.758275462962963</v>
      </c>
      <c r="C13" s="7">
        <f>(B13-$B$1)*86400/60</f>
        <v>478.76666666666671</v>
      </c>
      <c r="G13" t="s">
        <v>53</v>
      </c>
      <c r="H13" s="7">
        <f>C21</f>
        <v>1474.8666666666666</v>
      </c>
    </row>
    <row r="14" spans="1:8" x14ac:dyDescent="0.3">
      <c r="C14" s="7"/>
    </row>
    <row r="15" spans="1:8" ht="15" customHeight="1" x14ac:dyDescent="0.3">
      <c r="A15" s="5" t="s">
        <v>54</v>
      </c>
      <c r="B15" s="6">
        <v>0.77776620370370375</v>
      </c>
      <c r="C15" s="7">
        <f>(B15-$B$1)*86400/60</f>
        <v>506.83333333333337</v>
      </c>
    </row>
    <row r="16" spans="1:8" ht="15" customHeight="1" x14ac:dyDescent="0.3">
      <c r="A16" s="5" t="s">
        <v>55</v>
      </c>
      <c r="B16" s="6">
        <v>0.98594907407407406</v>
      </c>
      <c r="C16" s="7">
        <f>(B16-$B$1)*86400/60</f>
        <v>806.61666666666667</v>
      </c>
    </row>
    <row r="17" spans="1:3" ht="15" customHeight="1" x14ac:dyDescent="0.3">
      <c r="A17" s="5" t="s">
        <v>56</v>
      </c>
      <c r="B17" s="6">
        <v>0.99359953703703707</v>
      </c>
      <c r="C17" s="7">
        <f>(B17-$B$1)*86400/60</f>
        <v>817.63333333333344</v>
      </c>
    </row>
    <row r="18" spans="1:3" x14ac:dyDescent="0.3">
      <c r="C18" s="7"/>
    </row>
    <row r="19" spans="1:3" ht="15" customHeight="1" x14ac:dyDescent="0.3">
      <c r="A19" s="5" t="s">
        <v>57</v>
      </c>
      <c r="B19" s="6">
        <v>0.99653935185185183</v>
      </c>
      <c r="C19" s="7">
        <f>(B19-$B$1)*86400/60</f>
        <v>821.86666666666667</v>
      </c>
    </row>
    <row r="20" spans="1:3" ht="15" customHeight="1" x14ac:dyDescent="0.3">
      <c r="A20" s="5" t="s">
        <v>58</v>
      </c>
      <c r="B20" s="6">
        <v>0.43487268518518518</v>
      </c>
      <c r="C20" s="7">
        <f>(B20-$B$1)*86400/60+24*60</f>
        <v>1453.0666666666666</v>
      </c>
    </row>
    <row r="21" spans="1:3" ht="15" customHeight="1" x14ac:dyDescent="0.3">
      <c r="A21" s="5" t="s">
        <v>59</v>
      </c>
      <c r="B21" s="6">
        <v>0.45001157407407399</v>
      </c>
      <c r="C21" s="7">
        <f>(B21-$B$1)*86400/60+24*60</f>
        <v>1474.8666666666666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C12"/>
  <sheetViews>
    <sheetView tabSelected="1" workbookViewId="0">
      <selection activeCell="L8" sqref="L8"/>
    </sheetView>
  </sheetViews>
  <sheetFormatPr defaultRowHeight="14.4" x14ac:dyDescent="0.3"/>
  <sheetData>
    <row r="1" spans="1:3" x14ac:dyDescent="0.3">
      <c r="A1" t="s">
        <v>60</v>
      </c>
      <c r="B1" t="s">
        <v>61</v>
      </c>
      <c r="C1" t="s">
        <v>62</v>
      </c>
    </row>
    <row r="2" spans="1:3" x14ac:dyDescent="0.3">
      <c r="A2">
        <v>0</v>
      </c>
      <c r="B2">
        <f>152.13-C2</f>
        <v>152.13</v>
      </c>
      <c r="C2">
        <v>0</v>
      </c>
    </row>
    <row r="3" spans="1:3" x14ac:dyDescent="0.3">
      <c r="A3">
        <v>73.316666666666634</v>
      </c>
      <c r="B3">
        <f>152.13-C3</f>
        <v>146.61549465113441</v>
      </c>
      <c r="C3">
        <v>5.5145053488655726</v>
      </c>
    </row>
    <row r="4" spans="1:3" x14ac:dyDescent="0.3">
      <c r="A4">
        <v>159.96666666666661</v>
      </c>
      <c r="B4">
        <f>152.13-C4</f>
        <v>141.77904569600841</v>
      </c>
      <c r="C4">
        <v>10.35095430399158</v>
      </c>
    </row>
    <row r="5" spans="1:3" x14ac:dyDescent="0.3">
      <c r="A5">
        <v>317.05</v>
      </c>
      <c r="B5">
        <f>152.13-C5</f>
        <v>135.98260848520312</v>
      </c>
      <c r="C5">
        <v>16.14739151479689</v>
      </c>
    </row>
    <row r="6" spans="1:3" x14ac:dyDescent="0.3">
      <c r="A6">
        <v>411.48333333333329</v>
      </c>
      <c r="B6">
        <v>130.21998989666329</v>
      </c>
      <c r="C6">
        <v>20.796275337473801</v>
      </c>
    </row>
    <row r="7" spans="1:3" x14ac:dyDescent="0.3">
      <c r="A7">
        <v>430.41666666666669</v>
      </c>
      <c r="B7">
        <v>125.55318686285941</v>
      </c>
      <c r="C7">
        <v>24.078874497691611</v>
      </c>
    </row>
    <row r="8" spans="1:3" x14ac:dyDescent="0.3">
      <c r="A8">
        <v>478.76666666666671</v>
      </c>
      <c r="B8">
        <v>118.0073441239102</v>
      </c>
      <c r="C8">
        <v>31.348259978861421</v>
      </c>
    </row>
    <row r="9" spans="1:3" x14ac:dyDescent="0.3">
      <c r="A9">
        <v>506.83333333333343</v>
      </c>
      <c r="B9">
        <v>114.864004772692</v>
      </c>
      <c r="C9">
        <v>35.390605130807991</v>
      </c>
    </row>
    <row r="10" spans="1:3" x14ac:dyDescent="0.3">
      <c r="A10">
        <v>817.63333333333344</v>
      </c>
      <c r="B10">
        <v>87.86296548105247</v>
      </c>
      <c r="C10">
        <v>61.614225572984772</v>
      </c>
    </row>
    <row r="11" spans="1:3" x14ac:dyDescent="0.3">
      <c r="A11">
        <v>821.86666666666667</v>
      </c>
      <c r="B11">
        <v>85.958906914356959</v>
      </c>
      <c r="C11">
        <v>62.842036435863413</v>
      </c>
    </row>
    <row r="12" spans="1:3" x14ac:dyDescent="0.3">
      <c r="A12">
        <v>1474.866666666667</v>
      </c>
      <c r="B12">
        <v>23.572450879542611</v>
      </c>
      <c r="C12">
        <v>121.4177930817026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C2_E2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2025-02-21T12:27:52Z</dcterms:created>
  <dcterms:modified xsi:type="dcterms:W3CDTF">2026-01-12T11:01:12Z</dcterms:modified>
</cp:coreProperties>
</file>
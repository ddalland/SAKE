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7" documentId="11_CBBDA7FDCB09F29E0928185DB0E5BA5E5648DFB8" xr6:coauthVersionLast="47" xr6:coauthVersionMax="47" xr10:uidLastSave="{B4F3716C-DC7A-4CB7-A896-9E0B61880D62}"/>
  <bookViews>
    <workbookView xWindow="40260" yWindow="4905" windowWidth="17280" windowHeight="8880" firstSheet="1" activeTab="1" xr2:uid="{00000000-000D-0000-FFFF-FFFF00000000}"/>
  </bookViews>
  <sheets>
    <sheet name="C1_E5 HPLC 254 nm" sheetId="1" r:id="rId1"/>
    <sheet name="C1_E5 HPLC 254 nm MB fixed" sheetId="2" r:id="rId2"/>
    <sheet name="Sample and addition times" sheetId="3" r:id="rId3"/>
    <sheet name="Concentration vs time HPLC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4" l="1"/>
  <c r="D14" i="4"/>
  <c r="D13" i="4"/>
  <c r="D12" i="4"/>
  <c r="D11" i="4"/>
  <c r="D10" i="4"/>
  <c r="D9" i="4"/>
  <c r="D8" i="4"/>
  <c r="D7" i="4"/>
  <c r="D6" i="4"/>
  <c r="D5" i="4"/>
  <c r="D4" i="4"/>
  <c r="D3" i="4"/>
  <c r="D2" i="4"/>
  <c r="C18" i="3"/>
  <c r="D18" i="3" s="1"/>
  <c r="G14" i="3" s="1"/>
  <c r="H14" i="3" s="1"/>
  <c r="C17" i="3"/>
  <c r="C16" i="3"/>
  <c r="D16" i="3" s="1"/>
  <c r="G12" i="3" s="1"/>
  <c r="C15" i="3"/>
  <c r="D15" i="3" s="1"/>
  <c r="J5" i="3" s="1"/>
  <c r="D14" i="3"/>
  <c r="G11" i="3" s="1"/>
  <c r="H11" i="3" s="1"/>
  <c r="C14" i="3"/>
  <c r="C13" i="3"/>
  <c r="D13" i="3" s="1"/>
  <c r="G10" i="3" s="1"/>
  <c r="H10" i="3" s="1"/>
  <c r="C12" i="3"/>
  <c r="C11" i="3"/>
  <c r="D11" i="3" s="1"/>
  <c r="J4" i="3" s="1"/>
  <c r="C10" i="3"/>
  <c r="C9" i="3"/>
  <c r="D9" i="3" s="1"/>
  <c r="G7" i="3" s="1"/>
  <c r="H7" i="3" s="1"/>
  <c r="C8" i="3"/>
  <c r="C7" i="3"/>
  <c r="D7" i="3" s="1"/>
  <c r="J3" i="3" s="1"/>
  <c r="C6" i="3"/>
  <c r="C5" i="3"/>
  <c r="D5" i="3" s="1"/>
  <c r="G4" i="3" s="1"/>
  <c r="H4" i="3" s="1"/>
  <c r="C4" i="3"/>
  <c r="D4" i="3" s="1"/>
  <c r="G3" i="3" s="1"/>
  <c r="H3" i="3" s="1"/>
  <c r="C3" i="3"/>
  <c r="D3" i="3" s="1"/>
  <c r="G2" i="3" s="1"/>
  <c r="H2" i="3" s="1"/>
  <c r="C2" i="3"/>
  <c r="D17" i="3" s="1"/>
  <c r="G13" i="3" s="1"/>
  <c r="H13" i="3" s="1"/>
  <c r="C1" i="3"/>
  <c r="D1" i="3" s="1"/>
  <c r="J2" i="3" s="1"/>
  <c r="B17" i="2"/>
  <c r="G17" i="2" s="1"/>
  <c r="H17" i="2" s="1"/>
  <c r="D16" i="2"/>
  <c r="E16" i="2" s="1"/>
  <c r="B16" i="2"/>
  <c r="G16" i="2" s="1"/>
  <c r="H16" i="2" s="1"/>
  <c r="G15" i="2"/>
  <c r="H15" i="2" s="1"/>
  <c r="E15" i="2"/>
  <c r="I15" i="2" s="1"/>
  <c r="D15" i="2"/>
  <c r="B15" i="2"/>
  <c r="B14" i="2"/>
  <c r="G14" i="2" s="1"/>
  <c r="H14" i="2" s="1"/>
  <c r="B13" i="2"/>
  <c r="G13" i="2" s="1"/>
  <c r="H13" i="2" s="1"/>
  <c r="H12" i="2"/>
  <c r="G12" i="2"/>
  <c r="D12" i="2"/>
  <c r="E12" i="2" s="1"/>
  <c r="I12" i="2" s="1"/>
  <c r="B12" i="2"/>
  <c r="E11" i="2"/>
  <c r="I11" i="2" s="1"/>
  <c r="D11" i="2"/>
  <c r="B11" i="2"/>
  <c r="G11" i="2" s="1"/>
  <c r="H11" i="2" s="1"/>
  <c r="B10" i="2"/>
  <c r="G10" i="2" s="1"/>
  <c r="H10" i="2" s="1"/>
  <c r="B9" i="2"/>
  <c r="G9" i="2" s="1"/>
  <c r="H9" i="2" s="1"/>
  <c r="D8" i="2"/>
  <c r="E8" i="2" s="1"/>
  <c r="I8" i="2" s="1"/>
  <c r="B8" i="2"/>
  <c r="G8" i="2" s="1"/>
  <c r="H8" i="2" s="1"/>
  <c r="G7" i="2"/>
  <c r="H7" i="2" s="1"/>
  <c r="E7" i="2"/>
  <c r="I7" i="2" s="1"/>
  <c r="D7" i="2"/>
  <c r="B7" i="2"/>
  <c r="B6" i="2"/>
  <c r="D6" i="2" s="1"/>
  <c r="E6" i="2" s="1"/>
  <c r="B5" i="2"/>
  <c r="G5" i="2" s="1"/>
  <c r="H5" i="2" s="1"/>
  <c r="H4" i="2"/>
  <c r="G4" i="2"/>
  <c r="D4" i="2"/>
  <c r="E4" i="2" s="1"/>
  <c r="I4" i="2" s="1"/>
  <c r="B4" i="2"/>
  <c r="H17" i="1"/>
  <c r="E17" i="1"/>
  <c r="I17" i="1" s="1"/>
  <c r="H16" i="1"/>
  <c r="E16" i="1"/>
  <c r="I16" i="1" s="1"/>
  <c r="H15" i="1"/>
  <c r="E15" i="1"/>
  <c r="I15" i="1" s="1"/>
  <c r="H14" i="1"/>
  <c r="E14" i="1"/>
  <c r="I14" i="1" s="1"/>
  <c r="I13" i="1"/>
  <c r="H13" i="1"/>
  <c r="E13" i="1"/>
  <c r="H12" i="1"/>
  <c r="E12" i="1"/>
  <c r="I12" i="1" s="1"/>
  <c r="H11" i="1"/>
  <c r="E11" i="1"/>
  <c r="I11" i="1" s="1"/>
  <c r="H10" i="1"/>
  <c r="E10" i="1"/>
  <c r="I10" i="1" s="1"/>
  <c r="H9" i="1"/>
  <c r="E9" i="1"/>
  <c r="I9" i="1" s="1"/>
  <c r="I8" i="1"/>
  <c r="H8" i="1"/>
  <c r="E8" i="1"/>
  <c r="H7" i="1"/>
  <c r="E7" i="1"/>
  <c r="I7" i="1" s="1"/>
  <c r="H6" i="1"/>
  <c r="E6" i="1"/>
  <c r="I6" i="1" s="1"/>
  <c r="H5" i="1"/>
  <c r="E5" i="1"/>
  <c r="I5" i="1" s="1"/>
  <c r="H4" i="1"/>
  <c r="E4" i="1"/>
  <c r="I4" i="1" s="1"/>
  <c r="I16" i="2" l="1"/>
  <c r="H12" i="3"/>
  <c r="D13" i="2"/>
  <c r="E13" i="2" s="1"/>
  <c r="I13" i="2" s="1"/>
  <c r="D10" i="2"/>
  <c r="E10" i="2" s="1"/>
  <c r="I10" i="2" s="1"/>
  <c r="D5" i="2"/>
  <c r="E5" i="2" s="1"/>
  <c r="I5" i="2" s="1"/>
  <c r="D2" i="3"/>
  <c r="D14" i="2"/>
  <c r="E14" i="2" s="1"/>
  <c r="I14" i="2" s="1"/>
  <c r="D9" i="2"/>
  <c r="E9" i="2" s="1"/>
  <c r="I9" i="2" s="1"/>
  <c r="D17" i="2"/>
  <c r="E17" i="2" s="1"/>
  <c r="I17" i="2" s="1"/>
  <c r="D6" i="3"/>
  <c r="G5" i="3" s="1"/>
  <c r="H5" i="3" s="1"/>
  <c r="D10" i="3"/>
  <c r="G8" i="3" s="1"/>
  <c r="H8" i="3" s="1"/>
  <c r="G6" i="2"/>
  <c r="H6" i="2" s="1"/>
  <c r="I6" i="2" s="1"/>
  <c r="D8" i="3"/>
  <c r="G6" i="3" s="1"/>
  <c r="H6" i="3" s="1"/>
  <c r="D12" i="3"/>
  <c r="G9" i="3" s="1"/>
  <c r="H9" i="3" s="1"/>
</calcChain>
</file>

<file path=xl/sharedStrings.xml><?xml version="1.0" encoding="utf-8"?>
<sst xmlns="http://schemas.openxmlformats.org/spreadsheetml/2006/main" count="123" uniqueCount="66">
  <si>
    <t>CC254 4SO2MeArOPh</t>
  </si>
  <si>
    <t>filename</t>
  </si>
  <si>
    <t>Biphenyl</t>
  </si>
  <si>
    <t>4-SO2Me-ArOPh</t>
  </si>
  <si>
    <t>Ratio of integral with IS</t>
  </si>
  <si>
    <t>concentrations</t>
  </si>
  <si>
    <t>Product</t>
  </si>
  <si>
    <t>CC254 Product</t>
  </si>
  <si>
    <t>Compound</t>
  </si>
  <si>
    <t>initial concentration / mM</t>
  </si>
  <si>
    <t>MB</t>
  </si>
  <si>
    <t>4-Me-piperidine</t>
  </si>
  <si>
    <t>C1_E5-S02</t>
  </si>
  <si>
    <t>nan</t>
  </si>
  <si>
    <t>Ar-4SO2Me-Oph</t>
  </si>
  <si>
    <t>C1_E5-S1</t>
  </si>
  <si>
    <t>C1_E5-S2</t>
  </si>
  <si>
    <t>C1_E5-S3</t>
  </si>
  <si>
    <t>C1_E5-S4</t>
  </si>
  <si>
    <t>C1_E5-S5</t>
  </si>
  <si>
    <t>C1_E5-S6</t>
  </si>
  <si>
    <t>C1_E5-S7</t>
  </si>
  <si>
    <t>C1_E5-S8</t>
  </si>
  <si>
    <t>C1_E5-S9</t>
  </si>
  <si>
    <t>Phenol</t>
  </si>
  <si>
    <t>C1_E5-S10</t>
  </si>
  <si>
    <t>C1_E5-S11</t>
  </si>
  <si>
    <t>C1_E5-S12</t>
  </si>
  <si>
    <t>C1_E5-S13</t>
  </si>
  <si>
    <t>amine</t>
  </si>
  <si>
    <t>Ir:</t>
  </si>
  <si>
    <t>S1</t>
  </si>
  <si>
    <t>V1</t>
  </si>
  <si>
    <t>S1:</t>
  </si>
  <si>
    <t>S2</t>
  </si>
  <si>
    <t>V2</t>
  </si>
  <si>
    <t>S2:</t>
  </si>
  <si>
    <t>S3</t>
  </si>
  <si>
    <t>V3</t>
  </si>
  <si>
    <t>S3:</t>
  </si>
  <si>
    <t>S4</t>
  </si>
  <si>
    <t>V4</t>
  </si>
  <si>
    <t>S4:</t>
  </si>
  <si>
    <t>S5</t>
  </si>
  <si>
    <t>V2:</t>
  </si>
  <si>
    <t>S6</t>
  </si>
  <si>
    <t>S5:</t>
  </si>
  <si>
    <t>S7</t>
  </si>
  <si>
    <t>S6:</t>
  </si>
  <si>
    <t>S8</t>
  </si>
  <si>
    <t>S7:</t>
  </si>
  <si>
    <t>S9</t>
  </si>
  <si>
    <t>Phenol:</t>
  </si>
  <si>
    <t>S10</t>
  </si>
  <si>
    <t>S8:</t>
  </si>
  <si>
    <t>S11</t>
  </si>
  <si>
    <t>S9:</t>
  </si>
  <si>
    <t>S12</t>
  </si>
  <si>
    <t>S10:</t>
  </si>
  <si>
    <t>S13</t>
  </si>
  <si>
    <t>V3:</t>
  </si>
  <si>
    <t>S11:</t>
  </si>
  <si>
    <t>S12:</t>
  </si>
  <si>
    <t>S13:</t>
  </si>
  <si>
    <t>Time / min</t>
  </si>
  <si>
    <t>4SO2MeArOPh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</si>
</sst>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21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000" b="0" i="0" u="none" strike="noStrike" baseline="0">
                <a:effectLst/>
              </a:rPr>
              <a:t>HPLC concentration vs time data</a:t>
            </a:r>
            <a:r>
              <a:rPr lang="en-US" sz="1000" b="1" i="0" u="none" strike="noStrike" baseline="0">
                <a:effectLst/>
              </a:rPr>
              <a:t> </a:t>
            </a:r>
            <a:endParaRPr lang="en-US"/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 '!$B$1</c:f>
              <c:strCache>
                <c:ptCount val="1"/>
                <c:pt idx="0">
                  <c:v>4SO2MeArOPh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'Concentration vs time HPLC '!$A$2:$A$15</c:f>
              <c:numCache>
                <c:formatCode>0.00</c:formatCode>
                <c:ptCount val="14"/>
                <c:pt idx="0" formatCode="General">
                  <c:v>0</c:v>
                </c:pt>
                <c:pt idx="1">
                  <c:v>3.466666666666697</c:v>
                </c:pt>
                <c:pt idx="2" formatCode="General">
                  <c:v>6.7499999999998863</c:v>
                </c:pt>
                <c:pt idx="3" formatCode="General">
                  <c:v>16.416666666666519</c:v>
                </c:pt>
                <c:pt idx="4" formatCode="General">
                  <c:v>46.949999999999932</c:v>
                </c:pt>
                <c:pt idx="5" formatCode="General">
                  <c:v>50.383333333333212</c:v>
                </c:pt>
                <c:pt idx="6" formatCode="General">
                  <c:v>53.033333333333083</c:v>
                </c:pt>
                <c:pt idx="7" formatCode="General">
                  <c:v>57.983333333333348</c:v>
                </c:pt>
                <c:pt idx="8" formatCode="General">
                  <c:v>60.416666666666522</c:v>
                </c:pt>
                <c:pt idx="9" formatCode="General">
                  <c:v>68.016666666666424</c:v>
                </c:pt>
                <c:pt idx="10" formatCode="General">
                  <c:v>75.89999999999975</c:v>
                </c:pt>
                <c:pt idx="11" formatCode="General">
                  <c:v>78.816666666666492</c:v>
                </c:pt>
                <c:pt idx="12" formatCode="General">
                  <c:v>88.933333333333167</c:v>
                </c:pt>
                <c:pt idx="13" formatCode="General">
                  <c:v>100.6833333333332</c:v>
                </c:pt>
              </c:numCache>
            </c:numRef>
          </c:xVal>
          <c:yVal>
            <c:numRef>
              <c:f>'Concentration vs time HPLC '!$B$2:$B$15</c:f>
              <c:numCache>
                <c:formatCode>General</c:formatCode>
                <c:ptCount val="14"/>
                <c:pt idx="0">
                  <c:v>132.299574951149</c:v>
                </c:pt>
                <c:pt idx="1">
                  <c:v>122.1039965650609</c:v>
                </c:pt>
                <c:pt idx="2">
                  <c:v>115.9447040679801</c:v>
                </c:pt>
                <c:pt idx="3">
                  <c:v>105.63098163424969</c:v>
                </c:pt>
                <c:pt idx="4">
                  <c:v>95.618111915019142</c:v>
                </c:pt>
                <c:pt idx="5">
                  <c:v>85.272400637703072</c:v>
                </c:pt>
                <c:pt idx="6">
                  <c:v>75.148638141654544</c:v>
                </c:pt>
                <c:pt idx="7">
                  <c:v>62.885785619506393</c:v>
                </c:pt>
                <c:pt idx="8">
                  <c:v>58.220506326904449</c:v>
                </c:pt>
                <c:pt idx="9">
                  <c:v>48.652025098913271</c:v>
                </c:pt>
                <c:pt idx="10">
                  <c:v>42.114325769617828</c:v>
                </c:pt>
                <c:pt idx="11">
                  <c:v>32.766366529830542</c:v>
                </c:pt>
                <c:pt idx="12">
                  <c:v>12.417341745352131</c:v>
                </c:pt>
                <c:pt idx="13">
                  <c:v>5.0110802721625261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01-47C1-82A0-4044B37199E7}"/>
            </c:ext>
          </c:extLst>
        </c:ser>
        <c:ser>
          <c:idx val="1"/>
          <c:order val="1"/>
          <c:tx>
            <c:strRef>
              <c:f>'Concentration vs time HPLC '!$C$1</c:f>
              <c:strCache>
                <c:ptCount val="1"/>
                <c:pt idx="0">
                  <c:v>Product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'Concentration vs time HPLC '!$A$2:$A$15</c:f>
              <c:numCache>
                <c:formatCode>0.00</c:formatCode>
                <c:ptCount val="14"/>
                <c:pt idx="0" formatCode="General">
                  <c:v>0</c:v>
                </c:pt>
                <c:pt idx="1">
                  <c:v>3.466666666666697</c:v>
                </c:pt>
                <c:pt idx="2" formatCode="General">
                  <c:v>6.7499999999998863</c:v>
                </c:pt>
                <c:pt idx="3" formatCode="General">
                  <c:v>16.416666666666519</c:v>
                </c:pt>
                <c:pt idx="4" formatCode="General">
                  <c:v>46.949999999999932</c:v>
                </c:pt>
                <c:pt idx="5" formatCode="General">
                  <c:v>50.383333333333212</c:v>
                </c:pt>
                <c:pt idx="6" formatCode="General">
                  <c:v>53.033333333333083</c:v>
                </c:pt>
                <c:pt idx="7" formatCode="General">
                  <c:v>57.983333333333348</c:v>
                </c:pt>
                <c:pt idx="8" formatCode="General">
                  <c:v>60.416666666666522</c:v>
                </c:pt>
                <c:pt idx="9" formatCode="General">
                  <c:v>68.016666666666424</c:v>
                </c:pt>
                <c:pt idx="10" formatCode="General">
                  <c:v>75.89999999999975</c:v>
                </c:pt>
                <c:pt idx="11" formatCode="General">
                  <c:v>78.816666666666492</c:v>
                </c:pt>
                <c:pt idx="12" formatCode="General">
                  <c:v>88.933333333333167</c:v>
                </c:pt>
                <c:pt idx="13" formatCode="General">
                  <c:v>100.6833333333332</c:v>
                </c:pt>
              </c:numCache>
            </c:numRef>
          </c:xVal>
          <c:yVal>
            <c:numRef>
              <c:f>'Concentration vs time HPLC '!$C$2:$C$15</c:f>
              <c:numCache>
                <c:formatCode>General</c:formatCode>
                <c:ptCount val="14"/>
                <c:pt idx="0">
                  <c:v>0</c:v>
                </c:pt>
                <c:pt idx="1">
                  <c:v>10.195578386088171</c:v>
                </c:pt>
                <c:pt idx="2">
                  <c:v>16.35487088316896</c:v>
                </c:pt>
                <c:pt idx="3">
                  <c:v>26.66859331689934</c:v>
                </c:pt>
                <c:pt idx="4">
                  <c:v>36.681463036129877</c:v>
                </c:pt>
                <c:pt idx="5">
                  <c:v>45.738309619939898</c:v>
                </c:pt>
                <c:pt idx="6">
                  <c:v>55.862072115988497</c:v>
                </c:pt>
                <c:pt idx="7">
                  <c:v>68.124924638136633</c:v>
                </c:pt>
                <c:pt idx="8">
                  <c:v>71.635663394792729</c:v>
                </c:pt>
                <c:pt idx="9">
                  <c:v>81.204144622783872</c:v>
                </c:pt>
                <c:pt idx="10">
                  <c:v>87.74184395207935</c:v>
                </c:pt>
                <c:pt idx="11">
                  <c:v>95.052518768648468</c:v>
                </c:pt>
                <c:pt idx="12">
                  <c:v>115.4015435531269</c:v>
                </c:pt>
                <c:pt idx="13">
                  <c:v>122.8078050263165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01-47C1-82A0-4044B3719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383280"/>
        <c:axId val="1270381360"/>
      </c:scatterChart>
      <c:valAx>
        <c:axId val="127038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81360"/>
        <c:crosses val="autoZero"/>
        <c:crossBetween val="midCat"/>
      </c:valAx>
      <c:valAx>
        <c:axId val="127038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 b="0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83280"/>
        <c:crosses val="autoZero"/>
        <c:crossBetween val="midCat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</xdr:colOff>
      <xdr:row>0</xdr:row>
      <xdr:rowOff>158750</xdr:rowOff>
    </xdr:from>
    <xdr:to>
      <xdr:col>11</xdr:col>
      <xdr:colOff>367665</xdr:colOff>
      <xdr:row>15</xdr:row>
      <xdr:rowOff>141605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workbookViewId="0">
      <selection activeCell="E13" sqref="E13"/>
    </sheetView>
  </sheetViews>
  <sheetFormatPr defaultRowHeight="14.4" x14ac:dyDescent="0.3"/>
  <cols>
    <col min="1" max="1" width="10" bestFit="1" customWidth="1"/>
    <col min="3" max="3" width="14.33203125" bestFit="1" customWidth="1"/>
    <col min="10" max="10" width="18.88671875" bestFit="1" customWidth="1"/>
    <col min="12" max="12" width="14.6640625" bestFit="1" customWidth="1"/>
    <col min="13" max="13" width="23.44140625" bestFit="1" customWidth="1"/>
  </cols>
  <sheetData>
    <row r="1" spans="1:13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J1" t="s">
        <v>0</v>
      </c>
      <c r="K1">
        <v>0.58220000000000005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4</v>
      </c>
      <c r="H2" t="s">
        <v>5</v>
      </c>
      <c r="J2" t="s">
        <v>7</v>
      </c>
      <c r="K2">
        <v>0.62939999999999996</v>
      </c>
      <c r="L2" t="s">
        <v>8</v>
      </c>
      <c r="M2" t="s">
        <v>9</v>
      </c>
    </row>
    <row r="3" spans="1:13" x14ac:dyDescent="0.3">
      <c r="B3">
        <v>3.9323719755808502</v>
      </c>
      <c r="C3">
        <v>1.9837977170944201</v>
      </c>
      <c r="E3">
        <v>0</v>
      </c>
      <c r="F3">
        <v>2.8604781926473</v>
      </c>
      <c r="H3">
        <v>0</v>
      </c>
      <c r="I3" t="s">
        <v>10</v>
      </c>
      <c r="L3" t="s">
        <v>11</v>
      </c>
      <c r="M3">
        <v>40.696763434414358</v>
      </c>
    </row>
    <row r="4" spans="1:13" x14ac:dyDescent="0.3">
      <c r="A4" s="4" t="s">
        <v>12</v>
      </c>
      <c r="B4" s="4">
        <v>255.88551330566401</v>
      </c>
      <c r="C4" s="4">
        <v>1523.00305175781</v>
      </c>
      <c r="D4" s="4">
        <v>5.9518924384692697</v>
      </c>
      <c r="E4" s="4">
        <f>D4*$M$5/$K$2</f>
        <v>121.58052715252819</v>
      </c>
      <c r="F4" s="4" t="s">
        <v>13</v>
      </c>
      <c r="G4" s="4">
        <v>0</v>
      </c>
      <c r="H4" s="4">
        <f>G4*$M$5/$K$2</f>
        <v>0</v>
      </c>
      <c r="I4">
        <f t="shared" ref="I4:I17" si="0">SUM(E4,H4)</f>
        <v>121.58052715252819</v>
      </c>
      <c r="L4" t="s">
        <v>14</v>
      </c>
      <c r="M4">
        <v>132.299574951149</v>
      </c>
    </row>
    <row r="5" spans="1:13" x14ac:dyDescent="0.3">
      <c r="A5" s="4" t="s">
        <v>15</v>
      </c>
      <c r="B5" s="4">
        <v>258.28988647461</v>
      </c>
      <c r="C5" s="4">
        <v>1409.794921875</v>
      </c>
      <c r="D5" s="4">
        <v>5.4581886310658296</v>
      </c>
      <c r="E5" s="4">
        <f>D5*$M$5/$K$2</f>
        <v>111.49553825498725</v>
      </c>
      <c r="F5" s="4">
        <v>128.17002868652401</v>
      </c>
      <c r="G5" s="4">
        <v>0.49622550242253899</v>
      </c>
      <c r="H5" s="4">
        <f>G5*$M$5/$K$2</f>
        <v>10.136500078717265</v>
      </c>
      <c r="I5">
        <f t="shared" si="0"/>
        <v>121.63203833370451</v>
      </c>
      <c r="L5" t="s">
        <v>2</v>
      </c>
      <c r="M5">
        <v>12.856882845396591</v>
      </c>
    </row>
    <row r="6" spans="1:13" x14ac:dyDescent="0.3">
      <c r="A6" s="4" t="s">
        <v>16</v>
      </c>
      <c r="B6" s="4">
        <v>523.85919189453205</v>
      </c>
      <c r="C6" s="4">
        <v>2726.70947265625</v>
      </c>
      <c r="D6" s="4">
        <v>5.2050427191992696</v>
      </c>
      <c r="E6" s="4">
        <f>D6*$M$5/$K$2</f>
        <v>106.32447481097793</v>
      </c>
      <c r="F6" s="4">
        <v>418.77777099609398</v>
      </c>
      <c r="G6" s="4">
        <v>0.79940903486218795</v>
      </c>
      <c r="H6" s="4">
        <f>G6*$M$5/$K$2</f>
        <v>16.329692257347805</v>
      </c>
      <c r="I6">
        <f t="shared" si="0"/>
        <v>122.65416706832573</v>
      </c>
    </row>
    <row r="7" spans="1:13" x14ac:dyDescent="0.3">
      <c r="A7" s="4" t="s">
        <v>17</v>
      </c>
      <c r="B7" s="4">
        <v>573.20916748046898</v>
      </c>
      <c r="C7" s="4">
        <v>2719.25244140625</v>
      </c>
      <c r="D7" s="4">
        <v>4.74390954589696</v>
      </c>
      <c r="E7" s="4">
        <f>D7*$M$5/$K$2</f>
        <v>96.904812934152773</v>
      </c>
      <c r="F7" s="4">
        <v>747.49255371093795</v>
      </c>
      <c r="G7" s="4">
        <v>1.3040484976828399</v>
      </c>
      <c r="H7" s="4">
        <f>G7*$M$5/$K$2</f>
        <v>26.638066030225136</v>
      </c>
      <c r="I7">
        <f t="shared" si="0"/>
        <v>123.54287896437791</v>
      </c>
    </row>
    <row r="8" spans="1:13" x14ac:dyDescent="0.3">
      <c r="A8" s="4" t="s">
        <v>18</v>
      </c>
      <c r="B8" s="4">
        <v>306.591796875</v>
      </c>
      <c r="C8" s="4">
        <v>1333.24267578125</v>
      </c>
      <c r="D8" s="4">
        <v>4.3485921325051704</v>
      </c>
      <c r="E8" s="4">
        <f>D8*$M$5/$K$2</f>
        <v>88.829583079174299</v>
      </c>
      <c r="F8" s="4">
        <v>556.88336181640602</v>
      </c>
      <c r="G8" s="4">
        <v>1.8163674550087501</v>
      </c>
      <c r="H8" s="4">
        <f>G8*$M$5/$K$2</f>
        <v>37.103310411882212</v>
      </c>
      <c r="I8">
        <f t="shared" si="0"/>
        <v>125.93289349105652</v>
      </c>
    </row>
    <row r="9" spans="1:13" x14ac:dyDescent="0.3">
      <c r="A9" s="5" t="s">
        <v>19</v>
      </c>
      <c r="B9" s="5">
        <v>542.72955322265705</v>
      </c>
      <c r="C9" s="5">
        <v>2088.13989257813</v>
      </c>
      <c r="D9" s="5">
        <v>3.8474777726383702</v>
      </c>
      <c r="E9" s="5">
        <f>D9*$M$12/$K$2</f>
        <v>77.827560856762886</v>
      </c>
      <c r="F9" s="5">
        <v>1219.49426269531</v>
      </c>
      <c r="G9" s="5">
        <v>2.2469649118130901</v>
      </c>
      <c r="H9" s="5">
        <f>G9*$M$12/$K$2</f>
        <v>45.452062039392828</v>
      </c>
      <c r="I9">
        <f t="shared" si="0"/>
        <v>123.27962289615571</v>
      </c>
    </row>
    <row r="10" spans="1:13" x14ac:dyDescent="0.3">
      <c r="A10" s="5" t="s">
        <v>20</v>
      </c>
      <c r="B10" s="5">
        <v>270.88641357421898</v>
      </c>
      <c r="C10" s="5">
        <v>931.78277587890602</v>
      </c>
      <c r="D10" s="5">
        <v>3.4397545583201001</v>
      </c>
      <c r="E10" s="5">
        <f>D10*$M$12/$K$2</f>
        <v>69.580052969716633</v>
      </c>
      <c r="F10" s="5">
        <v>754.15246582031295</v>
      </c>
      <c r="G10" s="5">
        <v>2.7840173151160399</v>
      </c>
      <c r="H10" s="5">
        <f>G10*$M$12/$K$2</f>
        <v>56.315666996015842</v>
      </c>
      <c r="I10">
        <f t="shared" si="0"/>
        <v>125.89571996573247</v>
      </c>
      <c r="L10" t="s">
        <v>11</v>
      </c>
      <c r="M10">
        <v>122.6216637645241</v>
      </c>
    </row>
    <row r="11" spans="1:13" x14ac:dyDescent="0.3">
      <c r="A11" s="5" t="s">
        <v>21</v>
      </c>
      <c r="B11" s="5">
        <v>295.67581176757801</v>
      </c>
      <c r="C11" s="5">
        <v>838.43371582031295</v>
      </c>
      <c r="D11" s="5">
        <v>2.8356520298636401</v>
      </c>
      <c r="E11" s="5">
        <f>D11*$M$12/$K$2</f>
        <v>57.360144480179386</v>
      </c>
      <c r="F11" s="5">
        <v>988.94201660156295</v>
      </c>
      <c r="G11" s="5">
        <v>3.3446835258169201</v>
      </c>
      <c r="H11" s="5">
        <f>G11*$M$12/$K$2</f>
        <v>67.656936838812342</v>
      </c>
      <c r="I11">
        <f t="shared" si="0"/>
        <v>125.01708131899173</v>
      </c>
      <c r="L11" t="s">
        <v>14</v>
      </c>
      <c r="M11">
        <v>131.01071025764301</v>
      </c>
    </row>
    <row r="12" spans="1:13" x14ac:dyDescent="0.3">
      <c r="A12" s="6" t="s">
        <v>22</v>
      </c>
      <c r="B12" s="6">
        <v>904.88079833984398</v>
      </c>
      <c r="C12" s="6">
        <v>2381.70532226563</v>
      </c>
      <c r="D12" s="6">
        <v>2.6320652694092601</v>
      </c>
      <c r="E12" s="6">
        <f>D12*$M$20/$K$2</f>
        <v>52.772751989451734</v>
      </c>
      <c r="F12" s="6">
        <v>3190.72875976563</v>
      </c>
      <c r="G12" s="6">
        <v>3.5261315806673701</v>
      </c>
      <c r="H12" s="6">
        <f>G12*$M$20/$K$2</f>
        <v>70.698728314779629</v>
      </c>
      <c r="I12">
        <f t="shared" si="0"/>
        <v>123.47148030423136</v>
      </c>
      <c r="L12" t="s">
        <v>2</v>
      </c>
      <c r="M12">
        <v>12.731630875584189</v>
      </c>
    </row>
    <row r="13" spans="1:13" x14ac:dyDescent="0.3">
      <c r="A13" s="6" t="s">
        <v>23</v>
      </c>
      <c r="B13" s="6">
        <v>314.13522338867199</v>
      </c>
      <c r="C13" s="6">
        <v>697.71356201171898</v>
      </c>
      <c r="D13" s="6">
        <v>2.22106121843093</v>
      </c>
      <c r="E13" s="6">
        <f>D13*$M$20/$K$2</f>
        <v>44.532145230559522</v>
      </c>
      <c r="F13" s="6">
        <v>1267.95251464844</v>
      </c>
      <c r="G13" s="6">
        <v>4.0363270981542598</v>
      </c>
      <c r="H13" s="6">
        <f>G13*$M$20/$K$2</f>
        <v>80.928118073229101</v>
      </c>
      <c r="I13">
        <f t="shared" si="0"/>
        <v>125.46026330378862</v>
      </c>
      <c r="L13" t="s">
        <v>24</v>
      </c>
      <c r="M13">
        <v>0</v>
      </c>
    </row>
    <row r="14" spans="1:13" x14ac:dyDescent="0.3">
      <c r="A14" s="6" t="s">
        <v>25</v>
      </c>
      <c r="B14" s="6">
        <v>916.57800292968795</v>
      </c>
      <c r="C14" s="6">
        <v>1751.01684570313</v>
      </c>
      <c r="D14" s="6">
        <v>1.9103849755354101</v>
      </c>
      <c r="E14" s="6">
        <f>D14*$M$20/$K$2</f>
        <v>38.303105052152517</v>
      </c>
      <c r="F14" s="6">
        <v>3972.05981445313</v>
      </c>
      <c r="G14" s="6">
        <v>4.3335753222934699</v>
      </c>
      <c r="H14" s="6">
        <f>G14*$M$20/$K$2</f>
        <v>86.887927274816334</v>
      </c>
      <c r="I14">
        <f t="shared" si="0"/>
        <v>125.19103232696885</v>
      </c>
    </row>
    <row r="15" spans="1:13" x14ac:dyDescent="0.3">
      <c r="A15" s="7" t="s">
        <v>26</v>
      </c>
      <c r="B15" s="7">
        <v>536.69152832031295</v>
      </c>
      <c r="C15" s="7">
        <v>822.47650146484398</v>
      </c>
      <c r="D15" s="7">
        <v>1.53249391515262</v>
      </c>
      <c r="E15" s="7">
        <f>D15*$M$28/$K$2</f>
        <v>30.244351976835283</v>
      </c>
      <c r="F15" s="7">
        <v>2597.81005859375</v>
      </c>
      <c r="G15" s="7">
        <v>4.8404156233360496</v>
      </c>
      <c r="H15" s="7">
        <f>G15*$M$28/$K$2</f>
        <v>95.527448676211307</v>
      </c>
      <c r="I15">
        <f t="shared" si="0"/>
        <v>125.7718006530466</v>
      </c>
    </row>
    <row r="16" spans="1:13" x14ac:dyDescent="0.3">
      <c r="A16" s="7" t="s">
        <v>27</v>
      </c>
      <c r="B16" s="7">
        <v>414.09893798828102</v>
      </c>
      <c r="C16" s="7">
        <v>241.16375732421901</v>
      </c>
      <c r="D16" s="7">
        <v>0.58238197493528399</v>
      </c>
      <c r="E16" s="7">
        <f>D16*$M$28/$K$2</f>
        <v>11.493530421719848</v>
      </c>
      <c r="F16" s="7">
        <v>2440.30200195313</v>
      </c>
      <c r="G16" s="7">
        <v>5.8930409573332199</v>
      </c>
      <c r="H16" s="7">
        <f>G16*$M$28/$K$2</f>
        <v>116.30141116073688</v>
      </c>
      <c r="I16">
        <f t="shared" si="0"/>
        <v>127.79494158245673</v>
      </c>
    </row>
    <row r="17" spans="1:13" x14ac:dyDescent="0.3">
      <c r="A17" s="7" t="s">
        <v>28</v>
      </c>
      <c r="B17" s="7">
        <v>569.67321777343795</v>
      </c>
      <c r="C17" s="7">
        <v>132.64016723632801</v>
      </c>
      <c r="D17" s="7">
        <v>0.23283553289507</v>
      </c>
      <c r="E17" s="7">
        <f>D17*$M$28/$K$2</f>
        <v>4.595098055505952</v>
      </c>
      <c r="F17" s="7">
        <v>3539.30688476563</v>
      </c>
      <c r="G17" s="7">
        <v>6.2128721771386299</v>
      </c>
      <c r="H17" s="7">
        <f>G17*$M$28/$K$2</f>
        <v>122.6134022814403</v>
      </c>
      <c r="I17">
        <f t="shared" si="0"/>
        <v>127.20850033694626</v>
      </c>
    </row>
    <row r="18" spans="1:13" x14ac:dyDescent="0.3">
      <c r="L18" t="s">
        <v>11</v>
      </c>
      <c r="M18">
        <v>121.5410522548021</v>
      </c>
    </row>
    <row r="19" spans="1:13" x14ac:dyDescent="0.3">
      <c r="L19" t="s">
        <v>14</v>
      </c>
      <c r="M19">
        <v>129.8561697216972</v>
      </c>
    </row>
    <row r="20" spans="1:13" x14ac:dyDescent="0.3">
      <c r="L20" t="s">
        <v>2</v>
      </c>
      <c r="M20">
        <v>12.61943253771048</v>
      </c>
    </row>
    <row r="21" spans="1:13" x14ac:dyDescent="0.3">
      <c r="L21" t="s">
        <v>24</v>
      </c>
      <c r="M21">
        <v>100.19600107958649</v>
      </c>
    </row>
    <row r="26" spans="1:13" x14ac:dyDescent="0.3">
      <c r="L26" t="s">
        <v>11</v>
      </c>
      <c r="M26">
        <v>252.20651894227561</v>
      </c>
    </row>
    <row r="27" spans="1:13" x14ac:dyDescent="0.3">
      <c r="L27" t="s">
        <v>14</v>
      </c>
      <c r="M27">
        <v>127.818885298479</v>
      </c>
    </row>
    <row r="28" spans="1:13" x14ac:dyDescent="0.3">
      <c r="L28" t="s">
        <v>2</v>
      </c>
      <c r="M28">
        <v>12.42144908113672</v>
      </c>
    </row>
    <row r="29" spans="1:13" x14ac:dyDescent="0.3">
      <c r="L29" t="s">
        <v>24</v>
      </c>
      <c r="M29">
        <v>98.624048412988699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7"/>
  <sheetViews>
    <sheetView tabSelected="1" workbookViewId="0">
      <selection activeCell="E11" sqref="E11"/>
    </sheetView>
  </sheetViews>
  <sheetFormatPr defaultRowHeight="14.4" x14ac:dyDescent="0.3"/>
  <cols>
    <col min="1" max="1" width="10" bestFit="1" customWidth="1"/>
    <col min="3" max="3" width="14.33203125" bestFit="1" customWidth="1"/>
    <col min="10" max="10" width="18.88671875" bestFit="1" customWidth="1"/>
    <col min="12" max="12" width="23.44140625" bestFit="1" customWidth="1"/>
  </cols>
  <sheetData>
    <row r="1" spans="1:13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J1" t="s">
        <v>0</v>
      </c>
      <c r="K1">
        <v>0.58220000000000005</v>
      </c>
    </row>
    <row r="2" spans="1:13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4</v>
      </c>
      <c r="H2" t="s">
        <v>5</v>
      </c>
      <c r="J2" t="s">
        <v>7</v>
      </c>
      <c r="K2">
        <v>0.63390000000000002</v>
      </c>
      <c r="L2" t="s">
        <v>8</v>
      </c>
      <c r="M2" t="s">
        <v>9</v>
      </c>
    </row>
    <row r="3" spans="1:13" x14ac:dyDescent="0.3">
      <c r="B3">
        <v>3.9323719755808502</v>
      </c>
      <c r="C3">
        <v>1.9837977170944201</v>
      </c>
      <c r="E3">
        <v>0</v>
      </c>
      <c r="F3">
        <v>2.8604781926473</v>
      </c>
      <c r="H3">
        <v>0</v>
      </c>
      <c r="I3" t="s">
        <v>10</v>
      </c>
      <c r="L3" t="s">
        <v>11</v>
      </c>
      <c r="M3">
        <v>40.696763434414358</v>
      </c>
    </row>
    <row r="4" spans="1:13" x14ac:dyDescent="0.3">
      <c r="A4" s="4" t="s">
        <v>12</v>
      </c>
      <c r="B4" s="4">
        <f>J4/$M$4*K4</f>
        <v>254.21771458824006</v>
      </c>
      <c r="C4" s="4">
        <v>1523.00305175781</v>
      </c>
      <c r="D4" s="4">
        <f t="shared" ref="D4:D17" si="0">C4/B4</f>
        <v>5.990939908434938</v>
      </c>
      <c r="E4" s="4">
        <f>D4*$M$5/$K$1</f>
        <v>132.29957495114903</v>
      </c>
      <c r="F4" s="4">
        <v>0</v>
      </c>
      <c r="G4" s="4">
        <f t="shared" ref="G4:G17" si="1">F4/B4</f>
        <v>0</v>
      </c>
      <c r="H4" s="4">
        <f>G4*$M$5/$K$2</f>
        <v>0</v>
      </c>
      <c r="I4">
        <f t="shared" ref="I4:I17" si="2">SUM(E4,H4)</f>
        <v>132.29957495114903</v>
      </c>
      <c r="J4" s="4">
        <v>277.19477856548127</v>
      </c>
      <c r="K4">
        <v>121.3330776255283</v>
      </c>
      <c r="L4" t="s">
        <v>14</v>
      </c>
      <c r="M4">
        <v>132.299574951149</v>
      </c>
    </row>
    <row r="5" spans="1:13" x14ac:dyDescent="0.3">
      <c r="A5" s="4" t="s">
        <v>15</v>
      </c>
      <c r="B5" s="4">
        <f>J5/$M$4*K5</f>
        <v>254.97027262944928</v>
      </c>
      <c r="C5" s="4">
        <v>1409.794921875</v>
      </c>
      <c r="D5" s="4">
        <f t="shared" si="0"/>
        <v>5.5292521254972664</v>
      </c>
      <c r="E5" s="4">
        <f>D5*$M$5/$K$1</f>
        <v>122.10399656506088</v>
      </c>
      <c r="F5" s="4">
        <v>128.17002868652401</v>
      </c>
      <c r="G5" s="4">
        <f t="shared" si="1"/>
        <v>0.50268616558603574</v>
      </c>
      <c r="H5" s="4">
        <f>G5*$M$5/$K$2</f>
        <v>10.195578386088172</v>
      </c>
      <c r="I5">
        <f t="shared" si="2"/>
        <v>132.29957495114905</v>
      </c>
      <c r="J5" s="4">
        <v>278.01535536882722</v>
      </c>
      <c r="K5">
        <v>121.3330776255282</v>
      </c>
      <c r="L5" t="s">
        <v>2</v>
      </c>
      <c r="M5">
        <v>12.856882845396591</v>
      </c>
    </row>
    <row r="6" spans="1:13" x14ac:dyDescent="0.3">
      <c r="A6" s="4" t="s">
        <v>16</v>
      </c>
      <c r="B6" s="4">
        <f>J6/$M$4*K6</f>
        <v>519.33959615792207</v>
      </c>
      <c r="C6" s="4">
        <v>2726.70947265625</v>
      </c>
      <c r="D6" s="4">
        <f t="shared" si="0"/>
        <v>5.2503400334356662</v>
      </c>
      <c r="E6" s="4">
        <f>D6*$M$5/$K$1</f>
        <v>115.94470406798003</v>
      </c>
      <c r="F6" s="4">
        <v>418.77777099609398</v>
      </c>
      <c r="G6" s="4">
        <f t="shared" si="1"/>
        <v>0.80636595802479694</v>
      </c>
      <c r="H6" s="4">
        <f>G6*$M$5/$K$2</f>
        <v>16.354870883168953</v>
      </c>
      <c r="I6">
        <f t="shared" si="2"/>
        <v>132.29957495114897</v>
      </c>
      <c r="J6" s="4">
        <v>566.27927990955584</v>
      </c>
      <c r="K6">
        <v>121.3330776255284</v>
      </c>
    </row>
    <row r="7" spans="1:13" x14ac:dyDescent="0.3">
      <c r="A7" s="4" t="s">
        <v>17</v>
      </c>
      <c r="B7" s="4">
        <f>J7/$M$4*K7</f>
        <v>568.48851714418208</v>
      </c>
      <c r="C7" s="4">
        <v>2719.25244140625</v>
      </c>
      <c r="D7" s="4">
        <f t="shared" si="0"/>
        <v>4.7833023172860036</v>
      </c>
      <c r="E7" s="4">
        <f>D7*$M$5/$K$1</f>
        <v>105.63098163424969</v>
      </c>
      <c r="F7" s="4">
        <v>747.49255371093795</v>
      </c>
      <c r="G7" s="4">
        <f t="shared" si="1"/>
        <v>1.3148771367731185</v>
      </c>
      <c r="H7" s="4">
        <f>G7*$M$5/$K$2</f>
        <v>26.668593316899344</v>
      </c>
      <c r="I7">
        <f t="shared" si="2"/>
        <v>132.29957495114903</v>
      </c>
      <c r="J7" s="4">
        <v>619.87044798210877</v>
      </c>
      <c r="K7">
        <v>121.3330776255284</v>
      </c>
    </row>
    <row r="8" spans="1:13" x14ac:dyDescent="0.3">
      <c r="A8" s="4" t="s">
        <v>18</v>
      </c>
      <c r="B8" s="4">
        <f>J8/$M$4*K8</f>
        <v>307.9161926841798</v>
      </c>
      <c r="C8" s="4">
        <v>1333.24267578125</v>
      </c>
      <c r="D8" s="4">
        <f t="shared" si="0"/>
        <v>4.3298881561214815</v>
      </c>
      <c r="E8" s="4">
        <f>D8*$M$5/$K$1</f>
        <v>95.618111915019142</v>
      </c>
      <c r="F8" s="4">
        <v>556.88336181640602</v>
      </c>
      <c r="G8" s="4">
        <f t="shared" si="1"/>
        <v>1.8085549738775324</v>
      </c>
      <c r="H8" s="4">
        <f>G8*$M$5/$K$2</f>
        <v>36.68146303612987</v>
      </c>
      <c r="I8">
        <f t="shared" si="2"/>
        <v>132.299574951149</v>
      </c>
      <c r="J8" s="4">
        <v>335.74670823417711</v>
      </c>
      <c r="K8">
        <v>121.3330776255285</v>
      </c>
    </row>
    <row r="9" spans="1:13" x14ac:dyDescent="0.3">
      <c r="A9" s="5" t="s">
        <v>19</v>
      </c>
      <c r="B9" s="4">
        <f>J9/$M$10*K9</f>
        <v>535.50427026094837</v>
      </c>
      <c r="C9" s="5">
        <v>2088.13989257813</v>
      </c>
      <c r="D9" s="4">
        <f t="shared" si="0"/>
        <v>3.8993898060991943</v>
      </c>
      <c r="E9" s="5">
        <f>D9*$M$11/$K$1</f>
        <v>85.2724006377031</v>
      </c>
      <c r="F9" s="5">
        <v>1219.49426269531</v>
      </c>
      <c r="G9" s="4">
        <f t="shared" si="1"/>
        <v>2.2772820506194225</v>
      </c>
      <c r="H9" s="5">
        <f>G9*$M$11/$K$2</f>
        <v>45.738309619939919</v>
      </c>
      <c r="I9">
        <f t="shared" si="2"/>
        <v>131.01071025764301</v>
      </c>
      <c r="J9" s="4">
        <v>583.39128660725362</v>
      </c>
      <c r="K9">
        <v>120.2568437401399</v>
      </c>
      <c r="L9" t="s">
        <v>11</v>
      </c>
      <c r="M9">
        <v>122.6216637645241</v>
      </c>
    </row>
    <row r="10" spans="1:13" x14ac:dyDescent="0.3">
      <c r="A10" s="5" t="s">
        <v>20</v>
      </c>
      <c r="B10" s="4">
        <f>J10/$M$10*K10</f>
        <v>271.14737305191187</v>
      </c>
      <c r="C10" s="5">
        <v>931.78277587890602</v>
      </c>
      <c r="D10" s="4">
        <f t="shared" si="0"/>
        <v>3.4364440466126656</v>
      </c>
      <c r="E10" s="5">
        <f>D10*$M$11/$K$1</f>
        <v>75.148638141654558</v>
      </c>
      <c r="F10" s="5">
        <v>754.15246582031295</v>
      </c>
      <c r="G10" s="4">
        <f t="shared" si="1"/>
        <v>2.7813379024547236</v>
      </c>
      <c r="H10" s="5">
        <f>G10*$M$11/$K$2</f>
        <v>55.862072115988518</v>
      </c>
      <c r="I10">
        <f t="shared" si="2"/>
        <v>131.01071025764307</v>
      </c>
      <c r="J10" s="4">
        <v>295.39449750391179</v>
      </c>
      <c r="K10">
        <v>120.2568437401399</v>
      </c>
      <c r="L10" t="s">
        <v>14</v>
      </c>
      <c r="M10">
        <v>131.01071025764301</v>
      </c>
    </row>
    <row r="11" spans="1:13" x14ac:dyDescent="0.3">
      <c r="A11" s="5" t="s">
        <v>21</v>
      </c>
      <c r="B11" s="4">
        <f>J11/$M$10*K11</f>
        <v>291.56009363563612</v>
      </c>
      <c r="C11" s="5">
        <v>838.43371582031295</v>
      </c>
      <c r="D11" s="4">
        <f t="shared" si="0"/>
        <v>2.8756806371042916</v>
      </c>
      <c r="E11" s="5">
        <f>D11*$M$11/$K$1</f>
        <v>62.885785619506365</v>
      </c>
      <c r="F11" s="5">
        <v>988.94201660156295</v>
      </c>
      <c r="G11" s="4">
        <f t="shared" si="1"/>
        <v>3.3918977191626505</v>
      </c>
      <c r="H11" s="5">
        <f>G11*$M$11/$K$2</f>
        <v>68.124924638136591</v>
      </c>
      <c r="I11">
        <f t="shared" si="2"/>
        <v>131.01071025764296</v>
      </c>
      <c r="J11" s="4">
        <v>317.63260835723992</v>
      </c>
      <c r="K11">
        <v>120.2568437401397</v>
      </c>
      <c r="L11" t="s">
        <v>2</v>
      </c>
      <c r="M11">
        <v>12.731630875584189</v>
      </c>
    </row>
    <row r="12" spans="1:13" x14ac:dyDescent="0.3">
      <c r="A12" s="6" t="s">
        <v>22</v>
      </c>
      <c r="B12" s="4">
        <f>J12/$M$17*K12</f>
        <v>886.70605534030688</v>
      </c>
      <c r="C12" s="6">
        <v>2381.70532226563</v>
      </c>
      <c r="D12" s="4">
        <f t="shared" si="0"/>
        <v>2.6860145004327967</v>
      </c>
      <c r="E12" s="6">
        <f>D12*$M$18/$K$1</f>
        <v>58.220506326904484</v>
      </c>
      <c r="F12" s="6">
        <v>3190.72875976563</v>
      </c>
      <c r="G12" s="4">
        <f t="shared" si="1"/>
        <v>3.598406417266506</v>
      </c>
      <c r="H12" s="6">
        <f>G12*$M$18/$K$2</f>
        <v>71.635663394792772</v>
      </c>
      <c r="I12">
        <f t="shared" si="2"/>
        <v>129.85616972169726</v>
      </c>
      <c r="J12" s="4">
        <v>965.23833209761062</v>
      </c>
      <c r="K12">
        <v>119.2910063624405</v>
      </c>
      <c r="L12" t="s">
        <v>24</v>
      </c>
      <c r="M12">
        <v>0</v>
      </c>
    </row>
    <row r="13" spans="1:13" x14ac:dyDescent="0.3">
      <c r="A13" s="6" t="s">
        <v>23</v>
      </c>
      <c r="B13" s="4">
        <f>J13/$M$17*K13</f>
        <v>310.84498697043546</v>
      </c>
      <c r="C13" s="6">
        <v>697.71356201171898</v>
      </c>
      <c r="D13" s="4">
        <f t="shared" si="0"/>
        <v>2.2445707386559164</v>
      </c>
      <c r="E13" s="6">
        <f>D13*$M$18/$K$1</f>
        <v>48.652025098913285</v>
      </c>
      <c r="F13" s="6">
        <v>1267.95251464844</v>
      </c>
      <c r="G13" s="4">
        <f t="shared" si="1"/>
        <v>4.0790508703588495</v>
      </c>
      <c r="H13" s="6">
        <f>G13*$M$18/$K$2</f>
        <v>81.204144622783915</v>
      </c>
      <c r="I13">
        <f t="shared" si="2"/>
        <v>129.8561697216972</v>
      </c>
      <c r="J13" s="4">
        <v>338.37537812809302</v>
      </c>
      <c r="K13">
        <v>119.2910063624407</v>
      </c>
    </row>
    <row r="14" spans="1:13" x14ac:dyDescent="0.3">
      <c r="A14" s="6" t="s">
        <v>25</v>
      </c>
      <c r="B14" s="4">
        <f>J14/$M$17*K14</f>
        <v>901.21434756688541</v>
      </c>
      <c r="C14" s="6">
        <v>1751.01684570313</v>
      </c>
      <c r="D14" s="4">
        <f t="shared" si="0"/>
        <v>1.9429526953610499</v>
      </c>
      <c r="E14" s="6">
        <f>D14*$M$18/$K$1</f>
        <v>42.114325769617842</v>
      </c>
      <c r="F14" s="6">
        <v>3972.05981445313</v>
      </c>
      <c r="G14" s="4">
        <f t="shared" si="1"/>
        <v>4.4074529274605627</v>
      </c>
      <c r="H14" s="6">
        <f>G14*$M$18/$K$2</f>
        <v>87.741843952079407</v>
      </c>
      <c r="I14">
        <f t="shared" si="2"/>
        <v>129.85616972169726</v>
      </c>
      <c r="J14" s="4">
        <v>981.03157012280133</v>
      </c>
      <c r="K14">
        <v>119.2910063624405</v>
      </c>
    </row>
    <row r="15" spans="1:13" x14ac:dyDescent="0.3">
      <c r="A15" s="7" t="s">
        <v>26</v>
      </c>
      <c r="B15" s="4">
        <f>J15/$M$25*K15</f>
        <v>535.54414557170367</v>
      </c>
      <c r="C15" s="7">
        <v>822.47650146484398</v>
      </c>
      <c r="D15" s="4">
        <f t="shared" si="0"/>
        <v>1.5357772244654724</v>
      </c>
      <c r="E15" s="7">
        <f>D15*$M$26/$K$1</f>
        <v>32.766366529830542</v>
      </c>
      <c r="F15" s="7">
        <v>2597.81005859375</v>
      </c>
      <c r="G15" s="4">
        <f t="shared" si="1"/>
        <v>4.8507860277709467</v>
      </c>
      <c r="H15" s="7">
        <f>G15*$M$26/$K$2</f>
        <v>95.052518768648468</v>
      </c>
      <c r="I15">
        <f t="shared" si="2"/>
        <v>127.81888529847902</v>
      </c>
      <c r="J15" s="4">
        <v>582.16639197775942</v>
      </c>
      <c r="K15">
        <v>117.5826304272759</v>
      </c>
    </row>
    <row r="16" spans="1:13" x14ac:dyDescent="0.3">
      <c r="A16" s="7" t="s">
        <v>27</v>
      </c>
      <c r="B16" s="4">
        <f>J16/$M$25*K16</f>
        <v>414.36538657412837</v>
      </c>
      <c r="C16" s="7">
        <v>241.16375732421901</v>
      </c>
      <c r="D16" s="4">
        <f t="shared" si="0"/>
        <v>0.58200748696241722</v>
      </c>
      <c r="E16" s="7">
        <f>D16*$M$26/$K$1</f>
        <v>12.417341745352127</v>
      </c>
      <c r="F16" s="7">
        <v>2440.30200195313</v>
      </c>
      <c r="G16" s="4">
        <f t="shared" si="1"/>
        <v>5.8892515664229341</v>
      </c>
      <c r="H16" s="7">
        <f>G16*$M$26/$K$2</f>
        <v>115.4015435531269</v>
      </c>
      <c r="I16">
        <f t="shared" si="2"/>
        <v>127.81888529847903</v>
      </c>
      <c r="J16" s="4">
        <v>450.43831410912583</v>
      </c>
      <c r="K16">
        <v>117.5826304272756</v>
      </c>
      <c r="L16" t="s">
        <v>11</v>
      </c>
      <c r="M16">
        <v>121.5410522548021</v>
      </c>
    </row>
    <row r="17" spans="1:13" x14ac:dyDescent="0.3">
      <c r="A17" s="7" t="s">
        <v>28</v>
      </c>
      <c r="B17" s="4">
        <f>J17/$M$25*K17</f>
        <v>564.73377631915628</v>
      </c>
      <c r="C17" s="7">
        <v>132.64016723632801</v>
      </c>
      <c r="D17" s="4">
        <f t="shared" si="0"/>
        <v>0.23487202784443892</v>
      </c>
      <c r="E17" s="7">
        <f>D17*$M$26/$K$1</f>
        <v>5.0110802721625278</v>
      </c>
      <c r="F17" s="7">
        <v>3539.30688476563</v>
      </c>
      <c r="G17" s="4">
        <f t="shared" si="1"/>
        <v>6.2672130359091707</v>
      </c>
      <c r="H17" s="7">
        <f>G17*$M$26/$K$2</f>
        <v>122.8078050263165</v>
      </c>
      <c r="I17">
        <f t="shared" si="2"/>
        <v>127.81888529847903</v>
      </c>
      <c r="J17" s="4">
        <v>613.89715060134188</v>
      </c>
      <c r="K17">
        <v>117.5826304272756</v>
      </c>
      <c r="L17" t="s">
        <v>14</v>
      </c>
      <c r="M17">
        <v>129.8561697216972</v>
      </c>
    </row>
    <row r="18" spans="1:13" x14ac:dyDescent="0.3">
      <c r="L18" t="s">
        <v>2</v>
      </c>
      <c r="M18">
        <v>12.61943253771048</v>
      </c>
    </row>
    <row r="19" spans="1:13" x14ac:dyDescent="0.3">
      <c r="L19" t="s">
        <v>24</v>
      </c>
      <c r="M19">
        <v>100.19600107958649</v>
      </c>
    </row>
    <row r="24" spans="1:13" x14ac:dyDescent="0.3">
      <c r="L24" t="s">
        <v>11</v>
      </c>
      <c r="M24">
        <v>252.20651894227561</v>
      </c>
    </row>
    <row r="25" spans="1:13" x14ac:dyDescent="0.3">
      <c r="L25" t="s">
        <v>14</v>
      </c>
      <c r="M25">
        <v>127.818885298479</v>
      </c>
    </row>
    <row r="26" spans="1:13" x14ac:dyDescent="0.3">
      <c r="L26" t="s">
        <v>2</v>
      </c>
      <c r="M26">
        <v>12.42144908113672</v>
      </c>
    </row>
    <row r="27" spans="1:13" x14ac:dyDescent="0.3">
      <c r="L27" t="s">
        <v>24</v>
      </c>
      <c r="M27">
        <v>98.624048412988699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8"/>
  <sheetViews>
    <sheetView workbookViewId="0">
      <selection activeCell="J2" sqref="J2:J5"/>
    </sheetView>
  </sheetViews>
  <sheetFormatPr defaultRowHeight="14.4" x14ac:dyDescent="0.3"/>
  <sheetData>
    <row r="1" spans="1:10" x14ac:dyDescent="0.3">
      <c r="A1" s="1" t="s">
        <v>29</v>
      </c>
      <c r="B1" s="2">
        <v>0.61344907407407412</v>
      </c>
      <c r="C1" s="3">
        <f t="shared" ref="C1:C18" si="0">B1*86400/60</f>
        <v>883.36666666666679</v>
      </c>
      <c r="D1" s="3">
        <f t="shared" ref="D1:D18" si="1">C1-$C$2</f>
        <v>32.766666666666765</v>
      </c>
    </row>
    <row r="2" spans="1:10" x14ac:dyDescent="0.3">
      <c r="A2" s="1" t="s">
        <v>30</v>
      </c>
      <c r="B2" s="2">
        <v>0.59069444444444441</v>
      </c>
      <c r="C2" s="3">
        <f t="shared" si="0"/>
        <v>850.6</v>
      </c>
      <c r="D2" s="3">
        <f t="shared" si="1"/>
        <v>0</v>
      </c>
      <c r="F2" t="s">
        <v>31</v>
      </c>
      <c r="G2" s="3">
        <f>D3</f>
        <v>36.233333333333462</v>
      </c>
      <c r="H2" s="3">
        <f t="shared" ref="H2:H14" si="2">G2-$D$1</f>
        <v>3.466666666666697</v>
      </c>
      <c r="I2" t="s">
        <v>32</v>
      </c>
      <c r="J2" s="3">
        <f>D1</f>
        <v>32.766666666666765</v>
      </c>
    </row>
    <row r="3" spans="1:10" x14ac:dyDescent="0.3">
      <c r="A3" s="1" t="s">
        <v>33</v>
      </c>
      <c r="B3" s="2">
        <v>0.61585648148148153</v>
      </c>
      <c r="C3" s="3">
        <f t="shared" si="0"/>
        <v>886.83333333333348</v>
      </c>
      <c r="D3" s="3">
        <f t="shared" si="1"/>
        <v>36.233333333333462</v>
      </c>
      <c r="F3" t="s">
        <v>34</v>
      </c>
      <c r="G3" s="3">
        <f>D4</f>
        <v>39.516666666666652</v>
      </c>
      <c r="H3" s="3">
        <f t="shared" si="2"/>
        <v>6.7499999999998863</v>
      </c>
      <c r="I3" t="s">
        <v>35</v>
      </c>
      <c r="J3" s="3">
        <f>D7</f>
        <v>81.316666666666606</v>
      </c>
    </row>
    <row r="4" spans="1:10" x14ac:dyDescent="0.3">
      <c r="A4" s="1" t="s">
        <v>36</v>
      </c>
      <c r="B4" s="2">
        <v>0.61813657407407407</v>
      </c>
      <c r="C4" s="3">
        <f t="shared" si="0"/>
        <v>890.11666666666667</v>
      </c>
      <c r="D4" s="3">
        <f t="shared" si="1"/>
        <v>39.516666666666652</v>
      </c>
      <c r="F4" t="s">
        <v>37</v>
      </c>
      <c r="G4" s="3">
        <f>D5</f>
        <v>49.18333333333328</v>
      </c>
      <c r="H4" s="3">
        <f t="shared" si="2"/>
        <v>16.416666666666515</v>
      </c>
      <c r="I4" t="s">
        <v>38</v>
      </c>
      <c r="J4" s="3">
        <f>D11</f>
        <v>91.800000000000068</v>
      </c>
    </row>
    <row r="5" spans="1:10" x14ac:dyDescent="0.3">
      <c r="A5" s="1" t="s">
        <v>39</v>
      </c>
      <c r="B5" s="2">
        <v>0.62484953703703705</v>
      </c>
      <c r="C5" s="3">
        <f t="shared" si="0"/>
        <v>899.7833333333333</v>
      </c>
      <c r="D5" s="3">
        <f t="shared" si="1"/>
        <v>49.18333333333328</v>
      </c>
      <c r="F5" t="s">
        <v>40</v>
      </c>
      <c r="G5" s="3">
        <f>D6</f>
        <v>79.716666666666697</v>
      </c>
      <c r="H5" s="3">
        <f t="shared" si="2"/>
        <v>46.949999999999932</v>
      </c>
      <c r="I5" t="s">
        <v>41</v>
      </c>
      <c r="J5" s="3">
        <f>D15</f>
        <v>109.7166666666667</v>
      </c>
    </row>
    <row r="6" spans="1:10" x14ac:dyDescent="0.3">
      <c r="A6" s="1" t="s">
        <v>42</v>
      </c>
      <c r="B6" s="2">
        <v>0.64605324074074078</v>
      </c>
      <c r="C6" s="3">
        <f t="shared" si="0"/>
        <v>930.31666666666672</v>
      </c>
      <c r="D6" s="3">
        <f t="shared" si="1"/>
        <v>79.716666666666697</v>
      </c>
      <c r="F6" t="s">
        <v>43</v>
      </c>
      <c r="G6" s="3">
        <f>D8</f>
        <v>83.149999999999977</v>
      </c>
      <c r="H6" s="3">
        <f t="shared" si="2"/>
        <v>50.383333333333212</v>
      </c>
    </row>
    <row r="7" spans="1:10" x14ac:dyDescent="0.3">
      <c r="A7" s="1" t="s">
        <v>44</v>
      </c>
      <c r="B7" s="2">
        <v>0.64716435185185184</v>
      </c>
      <c r="C7" s="3">
        <f t="shared" si="0"/>
        <v>931.91666666666663</v>
      </c>
      <c r="D7" s="3">
        <f t="shared" si="1"/>
        <v>81.316666666666606</v>
      </c>
      <c r="F7" t="s">
        <v>45</v>
      </c>
      <c r="G7" s="3">
        <f>D9</f>
        <v>85.799999999999841</v>
      </c>
      <c r="H7" s="3">
        <f t="shared" si="2"/>
        <v>53.033333333333076</v>
      </c>
    </row>
    <row r="8" spans="1:10" x14ac:dyDescent="0.3">
      <c r="A8" s="1" t="s">
        <v>46</v>
      </c>
      <c r="B8" s="2">
        <v>0.6484375</v>
      </c>
      <c r="C8" s="3">
        <f t="shared" si="0"/>
        <v>933.75</v>
      </c>
      <c r="D8" s="3">
        <f t="shared" si="1"/>
        <v>83.149999999999977</v>
      </c>
      <c r="F8" t="s">
        <v>47</v>
      </c>
      <c r="G8" s="3">
        <f>D10</f>
        <v>90.750000000000114</v>
      </c>
      <c r="H8" s="3">
        <f t="shared" si="2"/>
        <v>57.983333333333348</v>
      </c>
    </row>
    <row r="9" spans="1:10" x14ac:dyDescent="0.3">
      <c r="A9" s="1" t="s">
        <v>48</v>
      </c>
      <c r="B9" s="2">
        <v>0.65027777777777773</v>
      </c>
      <c r="C9" s="3">
        <f t="shared" si="0"/>
        <v>936.39999999999986</v>
      </c>
      <c r="D9" s="3">
        <f t="shared" si="1"/>
        <v>85.799999999999841</v>
      </c>
      <c r="F9" t="s">
        <v>49</v>
      </c>
      <c r="G9" s="3">
        <f>D12</f>
        <v>93.18333333333328</v>
      </c>
      <c r="H9" s="3">
        <f t="shared" si="2"/>
        <v>60.416666666666515</v>
      </c>
    </row>
    <row r="10" spans="1:10" x14ac:dyDescent="0.3">
      <c r="A10" s="1" t="s">
        <v>50</v>
      </c>
      <c r="B10" s="2">
        <v>0.65371527777777783</v>
      </c>
      <c r="C10" s="3">
        <f t="shared" si="0"/>
        <v>941.35000000000014</v>
      </c>
      <c r="D10" s="3">
        <f t="shared" si="1"/>
        <v>90.750000000000114</v>
      </c>
      <c r="F10" t="s">
        <v>51</v>
      </c>
      <c r="G10" s="3">
        <f>D13</f>
        <v>100.78333333333319</v>
      </c>
      <c r="H10" s="3">
        <f t="shared" si="2"/>
        <v>68.016666666666424</v>
      </c>
    </row>
    <row r="11" spans="1:10" x14ac:dyDescent="0.3">
      <c r="A11" s="1" t="s">
        <v>52</v>
      </c>
      <c r="B11" s="2">
        <v>0.6544444444444445</v>
      </c>
      <c r="C11" s="3">
        <f t="shared" si="0"/>
        <v>942.40000000000009</v>
      </c>
      <c r="D11" s="3">
        <f t="shared" si="1"/>
        <v>91.800000000000068</v>
      </c>
      <c r="F11" t="s">
        <v>53</v>
      </c>
      <c r="G11" s="3">
        <f>D14</f>
        <v>108.66666666666652</v>
      </c>
      <c r="H11" s="3">
        <f t="shared" si="2"/>
        <v>75.89999999999975</v>
      </c>
    </row>
    <row r="12" spans="1:10" x14ac:dyDescent="0.3">
      <c r="A12" s="1" t="s">
        <v>54</v>
      </c>
      <c r="B12" s="2">
        <v>0.65540509259259261</v>
      </c>
      <c r="C12" s="3">
        <f t="shared" si="0"/>
        <v>943.7833333333333</v>
      </c>
      <c r="D12" s="3">
        <f t="shared" si="1"/>
        <v>93.18333333333328</v>
      </c>
      <c r="F12" t="s">
        <v>55</v>
      </c>
      <c r="G12" s="3">
        <f>D16</f>
        <v>111.58333333333326</v>
      </c>
      <c r="H12" s="3">
        <f t="shared" si="2"/>
        <v>78.816666666666492</v>
      </c>
    </row>
    <row r="13" spans="1:10" x14ac:dyDescent="0.3">
      <c r="A13" s="1" t="s">
        <v>56</v>
      </c>
      <c r="B13" s="2">
        <v>0.66068287037037032</v>
      </c>
      <c r="C13" s="3">
        <f t="shared" si="0"/>
        <v>951.38333333333321</v>
      </c>
      <c r="D13" s="3">
        <f t="shared" si="1"/>
        <v>100.78333333333319</v>
      </c>
      <c r="F13" t="s">
        <v>57</v>
      </c>
      <c r="G13" s="3">
        <f>D17</f>
        <v>121.69999999999993</v>
      </c>
      <c r="H13" s="3">
        <f t="shared" si="2"/>
        <v>88.933333333333167</v>
      </c>
    </row>
    <row r="14" spans="1:10" x14ac:dyDescent="0.3">
      <c r="A14" s="1" t="s">
        <v>58</v>
      </c>
      <c r="B14" s="2">
        <v>0.66615740740740736</v>
      </c>
      <c r="C14" s="3">
        <f t="shared" si="0"/>
        <v>959.26666666666654</v>
      </c>
      <c r="D14" s="3">
        <f t="shared" si="1"/>
        <v>108.66666666666652</v>
      </c>
      <c r="F14" t="s">
        <v>59</v>
      </c>
      <c r="G14" s="3">
        <f>D18</f>
        <v>133.44999999999993</v>
      </c>
      <c r="H14" s="3">
        <f t="shared" si="2"/>
        <v>100.68333333333317</v>
      </c>
    </row>
    <row r="15" spans="1:10" x14ac:dyDescent="0.3">
      <c r="A15" s="1" t="s">
        <v>60</v>
      </c>
      <c r="B15" s="2">
        <v>0.66688657407407403</v>
      </c>
      <c r="C15" s="3">
        <f t="shared" si="0"/>
        <v>960.31666666666672</v>
      </c>
      <c r="D15" s="3">
        <f t="shared" si="1"/>
        <v>109.7166666666667</v>
      </c>
    </row>
    <row r="16" spans="1:10" x14ac:dyDescent="0.3">
      <c r="A16" s="1" t="s">
        <v>61</v>
      </c>
      <c r="B16" s="2">
        <v>0.66818287037037039</v>
      </c>
      <c r="C16" s="3">
        <f t="shared" si="0"/>
        <v>962.18333333333328</v>
      </c>
      <c r="D16" s="3">
        <f t="shared" si="1"/>
        <v>111.58333333333326</v>
      </c>
    </row>
    <row r="17" spans="1:4" x14ac:dyDescent="0.3">
      <c r="A17" s="1" t="s">
        <v>62</v>
      </c>
      <c r="B17" s="2">
        <v>0.6752083333333333</v>
      </c>
      <c r="C17" s="3">
        <f t="shared" si="0"/>
        <v>972.3</v>
      </c>
      <c r="D17" s="3">
        <f t="shared" si="1"/>
        <v>121.69999999999993</v>
      </c>
    </row>
    <row r="18" spans="1:4" x14ac:dyDescent="0.3">
      <c r="A18" s="1" t="s">
        <v>63</v>
      </c>
      <c r="B18" s="2">
        <v>0.68336805555555558</v>
      </c>
      <c r="C18" s="3">
        <f t="shared" si="0"/>
        <v>984.05</v>
      </c>
      <c r="D18" s="3">
        <f t="shared" si="1"/>
        <v>133.44999999999993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selection activeCell="N6" sqref="N6"/>
    </sheetView>
  </sheetViews>
  <sheetFormatPr defaultRowHeight="14.4" x14ac:dyDescent="0.3"/>
  <cols>
    <col min="2" max="2" width="12.88671875" bestFit="1" customWidth="1"/>
  </cols>
  <sheetData>
    <row r="1" spans="1:4" x14ac:dyDescent="0.3">
      <c r="A1" t="s">
        <v>64</v>
      </c>
      <c r="B1" t="s">
        <v>65</v>
      </c>
      <c r="C1" t="s">
        <v>6</v>
      </c>
    </row>
    <row r="2" spans="1:4" x14ac:dyDescent="0.3">
      <c r="A2">
        <v>0</v>
      </c>
      <c r="B2">
        <v>132.299574951149</v>
      </c>
      <c r="C2">
        <v>0</v>
      </c>
      <c r="D2">
        <f t="shared" ref="D2:D15" si="0">SUM(B2:C2)</f>
        <v>132.299574951149</v>
      </c>
    </row>
    <row r="3" spans="1:4" x14ac:dyDescent="0.3">
      <c r="A3" s="3">
        <v>3.466666666666697</v>
      </c>
      <c r="B3">
        <v>122.1039965650609</v>
      </c>
      <c r="C3">
        <v>10.195578386088171</v>
      </c>
      <c r="D3">
        <f t="shared" si="0"/>
        <v>132.29957495114905</v>
      </c>
    </row>
    <row r="4" spans="1:4" x14ac:dyDescent="0.3">
      <c r="A4">
        <v>6.7499999999998863</v>
      </c>
      <c r="B4">
        <v>115.9447040679801</v>
      </c>
      <c r="C4">
        <v>16.35487088316896</v>
      </c>
      <c r="D4">
        <f t="shared" si="0"/>
        <v>132.29957495114905</v>
      </c>
    </row>
    <row r="5" spans="1:4" x14ac:dyDescent="0.3">
      <c r="A5">
        <v>16.416666666666519</v>
      </c>
      <c r="B5">
        <v>105.63098163424969</v>
      </c>
      <c r="C5">
        <v>26.66859331689934</v>
      </c>
      <c r="D5">
        <f t="shared" si="0"/>
        <v>132.29957495114903</v>
      </c>
    </row>
    <row r="6" spans="1:4" x14ac:dyDescent="0.3">
      <c r="A6">
        <v>46.949999999999932</v>
      </c>
      <c r="B6">
        <v>95.618111915019142</v>
      </c>
      <c r="C6">
        <v>36.681463036129877</v>
      </c>
      <c r="D6">
        <f t="shared" si="0"/>
        <v>132.29957495114903</v>
      </c>
    </row>
    <row r="7" spans="1:4" x14ac:dyDescent="0.3">
      <c r="A7">
        <v>50.383333333333212</v>
      </c>
      <c r="B7">
        <v>85.272400637703072</v>
      </c>
      <c r="C7">
        <v>45.738309619939898</v>
      </c>
      <c r="D7">
        <f t="shared" si="0"/>
        <v>131.01071025764298</v>
      </c>
    </row>
    <row r="8" spans="1:4" x14ac:dyDescent="0.3">
      <c r="A8">
        <v>53.033333333333083</v>
      </c>
      <c r="B8">
        <v>75.148638141654544</v>
      </c>
      <c r="C8">
        <v>55.862072115988497</v>
      </c>
      <c r="D8">
        <f t="shared" si="0"/>
        <v>131.01071025764304</v>
      </c>
    </row>
    <row r="9" spans="1:4" x14ac:dyDescent="0.3">
      <c r="A9">
        <v>57.983333333333348</v>
      </c>
      <c r="B9">
        <v>62.885785619506393</v>
      </c>
      <c r="C9">
        <v>68.124924638136633</v>
      </c>
      <c r="D9">
        <f t="shared" si="0"/>
        <v>131.01071025764304</v>
      </c>
    </row>
    <row r="10" spans="1:4" x14ac:dyDescent="0.3">
      <c r="A10">
        <v>60.416666666666522</v>
      </c>
      <c r="B10">
        <v>58.220506326904449</v>
      </c>
      <c r="C10">
        <v>71.635663394792729</v>
      </c>
      <c r="D10">
        <f t="shared" si="0"/>
        <v>129.85616972169717</v>
      </c>
    </row>
    <row r="11" spans="1:4" x14ac:dyDescent="0.3">
      <c r="A11">
        <v>68.016666666666424</v>
      </c>
      <c r="B11">
        <v>48.652025098913271</v>
      </c>
      <c r="C11">
        <v>81.204144622783872</v>
      </c>
      <c r="D11">
        <f t="shared" si="0"/>
        <v>129.85616972169714</v>
      </c>
    </row>
    <row r="12" spans="1:4" x14ac:dyDescent="0.3">
      <c r="A12">
        <v>75.89999999999975</v>
      </c>
      <c r="B12">
        <v>42.114325769617828</v>
      </c>
      <c r="C12">
        <v>87.74184395207935</v>
      </c>
      <c r="D12">
        <f t="shared" si="0"/>
        <v>129.85616972169717</v>
      </c>
    </row>
    <row r="13" spans="1:4" x14ac:dyDescent="0.3">
      <c r="A13">
        <v>78.816666666666492</v>
      </c>
      <c r="B13">
        <v>32.766366529830542</v>
      </c>
      <c r="C13">
        <v>95.052518768648468</v>
      </c>
      <c r="D13">
        <f t="shared" si="0"/>
        <v>127.81888529847902</v>
      </c>
    </row>
    <row r="14" spans="1:4" x14ac:dyDescent="0.3">
      <c r="A14">
        <v>88.933333333333167</v>
      </c>
      <c r="B14">
        <v>12.417341745352131</v>
      </c>
      <c r="C14">
        <v>115.4015435531269</v>
      </c>
      <c r="D14">
        <f t="shared" si="0"/>
        <v>127.81888529847903</v>
      </c>
    </row>
    <row r="15" spans="1:4" x14ac:dyDescent="0.3">
      <c r="A15">
        <v>100.6833333333332</v>
      </c>
      <c r="B15">
        <v>5.0110802721625261</v>
      </c>
      <c r="C15">
        <v>122.8078050263165</v>
      </c>
      <c r="D15">
        <f t="shared" si="0"/>
        <v>127.81888529847903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C1_E5 HPLC 254 nm</vt:lpstr>
      <vt:lpstr>C1_E5 HPLC 254 nm MB fixed</vt:lpstr>
      <vt:lpstr>Sample and addition times</vt:lpstr>
      <vt:lpstr>Concentration vs time HPLC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2024-12-06T13:00:33Z</dcterms:created>
  <dcterms:modified xsi:type="dcterms:W3CDTF">2026-01-12T11:06:50Z</dcterms:modified>
</cp:coreProperties>
</file>
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dd4518_ic_ac_uk/Documents/PhD/SAKE publication with SI material/Cleaned Python Scripts for Github/Excel files with HPLC analysis/"/>
    </mc:Choice>
  </mc:AlternateContent>
  <xr:revisionPtr revIDLastSave="2" documentId="11_EB4CDA4777C331B4AAB171AE9569FF442115516D" xr6:coauthVersionLast="47" xr6:coauthVersionMax="47" xr10:uidLastSave="{7923B8BF-ADFC-4B81-A826-EBA15161CCAD}"/>
  <bookViews>
    <workbookView xWindow="29715" yWindow="915" windowWidth="17280" windowHeight="8880" firstSheet="1" activeTab="2" xr2:uid="{00000000-000D-0000-FFFF-FFFF00000000}"/>
  </bookViews>
  <sheets>
    <sheet name="C1_E7 HPLC 254 nm" sheetId="1" r:id="rId1"/>
    <sheet name="Sample and addition times" sheetId="2" r:id="rId2"/>
    <sheet name="Concentration vs time HPLC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2" l="1"/>
  <c r="C16" i="2"/>
  <c r="C15" i="2"/>
  <c r="D15" i="2" s="1"/>
  <c r="G9" i="2" s="1"/>
  <c r="C14" i="2"/>
  <c r="E14" i="2" s="1"/>
  <c r="C13" i="2"/>
  <c r="E13" i="2" s="1"/>
  <c r="J5" i="2" s="1"/>
  <c r="C12" i="2"/>
  <c r="D12" i="2" s="1"/>
  <c r="G7" i="2" s="1"/>
  <c r="E11" i="2"/>
  <c r="D11" i="2"/>
  <c r="G6" i="2" s="1"/>
  <c r="C11" i="2"/>
  <c r="C10" i="2"/>
  <c r="D10" i="2" s="1"/>
  <c r="C9" i="2"/>
  <c r="E9" i="2" s="1"/>
  <c r="C8" i="2"/>
  <c r="E8" i="2" s="1"/>
  <c r="E7" i="2"/>
  <c r="J3" i="2" s="1"/>
  <c r="D7" i="2"/>
  <c r="C7" i="2"/>
  <c r="C6" i="2"/>
  <c r="D6" i="2" s="1"/>
  <c r="G3" i="2" s="1"/>
  <c r="C5" i="2"/>
  <c r="D5" i="2" s="1"/>
  <c r="G2" i="2" s="1"/>
  <c r="E4" i="2"/>
  <c r="D4" i="2"/>
  <c r="G1" i="2" s="1"/>
  <c r="C4" i="2"/>
  <c r="C3" i="2"/>
  <c r="D16" i="2" s="1"/>
  <c r="G10" i="2" s="1"/>
  <c r="C2" i="2"/>
  <c r="E2" i="2" s="1"/>
  <c r="J13" i="1"/>
  <c r="I13" i="1"/>
  <c r="E13" i="1"/>
  <c r="F13" i="1" s="1"/>
  <c r="K13" i="1" s="1"/>
  <c r="I12" i="1"/>
  <c r="J12" i="1" s="1"/>
  <c r="E12" i="1"/>
  <c r="F12" i="1" s="1"/>
  <c r="K12" i="1" s="1"/>
  <c r="I11" i="1"/>
  <c r="F11" i="1"/>
  <c r="E11" i="1"/>
  <c r="J10" i="1"/>
  <c r="K10" i="1" s="1"/>
  <c r="I10" i="1"/>
  <c r="F10" i="1"/>
  <c r="E10" i="1"/>
  <c r="I9" i="1"/>
  <c r="J9" i="1" s="1"/>
  <c r="E9" i="1"/>
  <c r="F9" i="1" s="1"/>
  <c r="K9" i="1" s="1"/>
  <c r="I8" i="1"/>
  <c r="J8" i="1" s="1"/>
  <c r="E8" i="1"/>
  <c r="F8" i="1" s="1"/>
  <c r="I7" i="1"/>
  <c r="J7" i="1" s="1"/>
  <c r="F7" i="1"/>
  <c r="K7" i="1" s="1"/>
  <c r="E7" i="1"/>
  <c r="I6" i="1"/>
  <c r="J6" i="1" s="1"/>
  <c r="E6" i="1"/>
  <c r="F6" i="1" s="1"/>
  <c r="K6" i="1" s="1"/>
  <c r="I5" i="1"/>
  <c r="J5" i="1" s="1"/>
  <c r="E5" i="1"/>
  <c r="F5" i="1" s="1"/>
  <c r="K5" i="1" s="1"/>
  <c r="I4" i="1"/>
  <c r="J4" i="1" s="1"/>
  <c r="E4" i="1"/>
  <c r="F4" i="1" s="1"/>
  <c r="K4" i="1" s="1"/>
  <c r="H3" i="1"/>
  <c r="I3" i="1" s="1"/>
  <c r="J3" i="1" s="1"/>
  <c r="K3" i="1" s="1"/>
  <c r="F3" i="1"/>
  <c r="E3" i="1"/>
  <c r="K11" i="1" l="1"/>
  <c r="K8" i="1"/>
  <c r="E12" i="2"/>
  <c r="E5" i="2"/>
  <c r="D9" i="2"/>
  <c r="G5" i="2" s="1"/>
  <c r="D2" i="2"/>
  <c r="D14" i="2"/>
  <c r="G8" i="2" s="1"/>
  <c r="D8" i="2"/>
  <c r="G4" i="2" s="1"/>
  <c r="D13" i="2"/>
  <c r="E6" i="2"/>
  <c r="E10" i="2"/>
  <c r="J4" i="2" s="1"/>
  <c r="E15" i="2"/>
  <c r="D3" i="2"/>
  <c r="E3" i="2"/>
  <c r="J2" i="2" s="1"/>
  <c r="K2" i="2" s="1"/>
  <c r="J11" i="1"/>
  <c r="K5" i="2" l="1"/>
  <c r="K4" i="2"/>
  <c r="K3" i="2"/>
</calcChain>
</file>

<file path=xl/sharedStrings.xml><?xml version="1.0" encoding="utf-8"?>
<sst xmlns="http://schemas.openxmlformats.org/spreadsheetml/2006/main" count="70" uniqueCount="42">
  <si>
    <t>Compound</t>
  </si>
  <si>
    <t>initial concentration / mM</t>
  </si>
  <si>
    <t>filename</t>
  </si>
  <si>
    <t>Biphenyl</t>
  </si>
  <si>
    <t>4-SO2Me-ArOPh</t>
  </si>
  <si>
    <t>Ratio of integral with IS</t>
  </si>
  <si>
    <t>concentrations</t>
  </si>
  <si>
    <t>Product</t>
  </si>
  <si>
    <t>4-Me-piperidine</t>
  </si>
  <si>
    <t>C1_E7-S02</t>
  </si>
  <si>
    <t>Ar-4SO2Me-Oph</t>
  </si>
  <si>
    <t>C1_E7-S1</t>
  </si>
  <si>
    <t>C1_E7-S2</t>
  </si>
  <si>
    <t>C1_E7-S3</t>
  </si>
  <si>
    <t>C1_E7-S4</t>
  </si>
  <si>
    <t>C1_E7-S5</t>
  </si>
  <si>
    <t>C1_E7-S6</t>
  </si>
  <si>
    <t>C1_E7-S7</t>
  </si>
  <si>
    <t>C1_E7-S8</t>
  </si>
  <si>
    <t>C1_E7-S9</t>
  </si>
  <si>
    <t>Phenol</t>
  </si>
  <si>
    <t>C1_E7-S10</t>
  </si>
  <si>
    <t>CC 4SO2ArOPh</t>
  </si>
  <si>
    <t>CC Product</t>
  </si>
  <si>
    <t>S1:</t>
  </si>
  <si>
    <t>IR</t>
  </si>
  <si>
    <t>S2:</t>
  </si>
  <si>
    <t>V1</t>
  </si>
  <si>
    <t>S3</t>
  </si>
  <si>
    <t>V2:</t>
  </si>
  <si>
    <t>S4:</t>
  </si>
  <si>
    <t>Phenol:</t>
  </si>
  <si>
    <t>S5:</t>
  </si>
  <si>
    <t>V3</t>
  </si>
  <si>
    <t>S6:</t>
  </si>
  <si>
    <t>s7:</t>
  </si>
  <si>
    <t>S8:</t>
  </si>
  <si>
    <t>S9:</t>
  </si>
  <si>
    <t>S10:</t>
  </si>
  <si>
    <t>v3:</t>
  </si>
  <si>
    <t>Time / min</t>
  </si>
  <si>
    <t>4SO2MeArOPh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</si>
</sst>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21" fontId="0" fillId="0" borderId="0" xfId="0" applyNumberFormat="1"/>
    <xf numFmtId="21" fontId="1" fillId="0" borderId="0" xfId="0" applyNumberFormat="1" applyFont="1"/>
    <xf numFmtId="2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HPLC concentration vs time data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'Concentration vs time HPLC'!$B$1</c:f>
              <c:strCache>
                <c:ptCount val="1"/>
                <c:pt idx="0">
                  <c:v>4SO2MeArOPh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'Concentration vs time HPLC'!$A$2:$A$12</c:f>
              <c:numCache>
                <c:formatCode>General</c:formatCode>
                <c:ptCount val="11"/>
                <c:pt idx="0">
                  <c:v>0</c:v>
                </c:pt>
                <c:pt idx="1">
                  <c:v>1.783333333333303</c:v>
                </c:pt>
                <c:pt idx="2">
                  <c:v>6.216666666666697</c:v>
                </c:pt>
                <c:pt idx="3">
                  <c:v>19.383333333333329</c:v>
                </c:pt>
                <c:pt idx="4">
                  <c:v>25.583333333333371</c:v>
                </c:pt>
                <c:pt idx="5">
                  <c:v>28.050000000000072</c:v>
                </c:pt>
                <c:pt idx="6">
                  <c:v>32.433333333333387</c:v>
                </c:pt>
                <c:pt idx="7">
                  <c:v>40.800000000000068</c:v>
                </c:pt>
                <c:pt idx="8">
                  <c:v>46.666666666666742</c:v>
                </c:pt>
                <c:pt idx="9">
                  <c:v>56.300000000000068</c:v>
                </c:pt>
                <c:pt idx="10">
                  <c:v>92.033333333333303</c:v>
                </c:pt>
              </c:numCache>
            </c:numRef>
          </c:xVal>
          <c:yVal>
            <c:numRef>
              <c:f>'Concentration vs time HPLC'!$B$2:$B$12</c:f>
              <c:numCache>
                <c:formatCode>General</c:formatCode>
                <c:ptCount val="11"/>
                <c:pt idx="0">
                  <c:v>126.2245834843805</c:v>
                </c:pt>
                <c:pt idx="1">
                  <c:v>116.1662865993646</c:v>
                </c:pt>
                <c:pt idx="2">
                  <c:v>104.115066373799</c:v>
                </c:pt>
                <c:pt idx="3">
                  <c:v>95.841926082110135</c:v>
                </c:pt>
                <c:pt idx="4">
                  <c:v>85.091618147994353</c:v>
                </c:pt>
                <c:pt idx="5">
                  <c:v>70.996151989787521</c:v>
                </c:pt>
                <c:pt idx="6">
                  <c:v>59.650122475767468</c:v>
                </c:pt>
                <c:pt idx="7">
                  <c:v>45.082783909233832</c:v>
                </c:pt>
                <c:pt idx="8">
                  <c:v>37.394606212953242</c:v>
                </c:pt>
                <c:pt idx="9">
                  <c:v>10.600408264235501</c:v>
                </c:pt>
                <c:pt idx="10">
                  <c:v>0.62465418927846317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66-47E0-B62B-9717CD1DA894}"/>
            </c:ext>
          </c:extLst>
        </c:ser>
        <c:ser>
          <c:idx val="1"/>
          <c:order val="1"/>
          <c:tx>
            <c:strRef>
              <c:f>'Concentration vs time HPLC'!$C$1</c:f>
              <c:strCache>
                <c:ptCount val="1"/>
                <c:pt idx="0">
                  <c:v>Product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'Concentration vs time HPLC'!$A$2:$A$12</c:f>
              <c:numCache>
                <c:formatCode>General</c:formatCode>
                <c:ptCount val="11"/>
                <c:pt idx="0">
                  <c:v>0</c:v>
                </c:pt>
                <c:pt idx="1">
                  <c:v>1.783333333333303</c:v>
                </c:pt>
                <c:pt idx="2">
                  <c:v>6.216666666666697</c:v>
                </c:pt>
                <c:pt idx="3">
                  <c:v>19.383333333333329</c:v>
                </c:pt>
                <c:pt idx="4">
                  <c:v>25.583333333333371</c:v>
                </c:pt>
                <c:pt idx="5">
                  <c:v>28.050000000000072</c:v>
                </c:pt>
                <c:pt idx="6">
                  <c:v>32.433333333333387</c:v>
                </c:pt>
                <c:pt idx="7">
                  <c:v>40.800000000000068</c:v>
                </c:pt>
                <c:pt idx="8">
                  <c:v>46.666666666666742</c:v>
                </c:pt>
                <c:pt idx="9">
                  <c:v>56.300000000000068</c:v>
                </c:pt>
                <c:pt idx="10">
                  <c:v>92.033333333333303</c:v>
                </c:pt>
              </c:numCache>
            </c:numRef>
          </c:xVal>
          <c:yVal>
            <c:numRef>
              <c:f>'Concentration vs time HPLC'!$C$2:$C$12</c:f>
              <c:numCache>
                <c:formatCode>General</c:formatCode>
                <c:ptCount val="11"/>
                <c:pt idx="0">
                  <c:v>0</c:v>
                </c:pt>
                <c:pt idx="1">
                  <c:v>9.8407822805839817</c:v>
                </c:pt>
                <c:pt idx="2">
                  <c:v>21.452260406443191</c:v>
                </c:pt>
                <c:pt idx="3">
                  <c:v>29.40445579186661</c:v>
                </c:pt>
                <c:pt idx="4">
                  <c:v>40.504611624575141</c:v>
                </c:pt>
                <c:pt idx="5">
                  <c:v>53.485486626443603</c:v>
                </c:pt>
                <c:pt idx="6">
                  <c:v>64.336946062934658</c:v>
                </c:pt>
                <c:pt idx="7">
                  <c:v>79.018624597364578</c:v>
                </c:pt>
                <c:pt idx="8">
                  <c:v>85.12413827601361</c:v>
                </c:pt>
                <c:pt idx="9">
                  <c:v>111.4959690964384</c:v>
                </c:pt>
                <c:pt idx="10">
                  <c:v>118.156028467743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66-47E0-B62B-9717CD1DA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8043856"/>
        <c:axId val="1668050096"/>
      </c:scatterChart>
      <c:valAx>
        <c:axId val="1668043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Time / minutes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8050096"/>
        <c:crosses val="autoZero"/>
        <c:crossBetween val="midCat"/>
      </c:valAx>
      <c:valAx>
        <c:axId val="166805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Concentration / mM </a:t>
                </a:r>
                <a:r>
                  <a:rPr lang="en-US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8043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255270</xdr:colOff>
      <xdr:row>0</xdr:row>
      <xdr:rowOff>38106</xdr:rowOff>
    </xdr:from>
    <xdr:to>
      <xdr:col>10</xdr:col>
      <xdr:colOff>560070</xdr:colOff>
      <xdr:row>15</xdr:row>
      <xdr:rowOff>64776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84A4B0-8D93-4C97-EF7B-2D1F3A7DD9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nc%20vs%20time%20T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c vs time T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workbookViewId="0">
      <selection activeCell="L1" sqref="L1:M1"/>
    </sheetView>
  </sheetViews>
  <sheetFormatPr defaultRowHeight="14.4" x14ac:dyDescent="0.3"/>
  <cols>
    <col min="1" max="1" width="13.44140625" bestFit="1" customWidth="1"/>
    <col min="3" max="3" width="14.33203125" bestFit="1" customWidth="1"/>
    <col min="4" max="4" width="19.109375" bestFit="1" customWidth="1"/>
    <col min="5" max="5" width="13.33203125" bestFit="1" customWidth="1"/>
    <col min="6" max="6" width="11.6640625" bestFit="1" customWidth="1"/>
    <col min="7" max="7" width="19.109375" bestFit="1" customWidth="1"/>
    <col min="8" max="8" width="13.33203125" bestFit="1" customWidth="1"/>
    <col min="12" max="12" width="14.6640625" bestFit="1" customWidth="1"/>
    <col min="13" max="13" width="23.44140625" bestFit="1" customWidth="1"/>
  </cols>
  <sheetData>
    <row r="1" spans="1:13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L1" t="s">
        <v>0</v>
      </c>
      <c r="M1" t="s">
        <v>1</v>
      </c>
    </row>
    <row r="2" spans="1:13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G2" t="s">
        <v>7</v>
      </c>
      <c r="H2" t="s">
        <v>5</v>
      </c>
      <c r="I2" t="s">
        <v>6</v>
      </c>
      <c r="L2" t="s">
        <v>8</v>
      </c>
      <c r="M2">
        <v>36.342804602064462</v>
      </c>
    </row>
    <row r="3" spans="1:13" x14ac:dyDescent="0.3">
      <c r="A3" t="s">
        <v>9</v>
      </c>
      <c r="B3">
        <v>108.31844329834</v>
      </c>
      <c r="C3">
        <v>894.74676513671898</v>
      </c>
      <c r="D3">
        <v>8.2603362630713804</v>
      </c>
      <c r="E3">
        <f t="shared" ref="E3:E13" si="0">D3/$B$15</f>
        <v>14.18814198397695</v>
      </c>
      <c r="F3">
        <f>M3</f>
        <v>126.2245834843805</v>
      </c>
      <c r="G3">
        <v>0</v>
      </c>
      <c r="H3">
        <f>G3/$B$16</f>
        <v>0</v>
      </c>
      <c r="I3">
        <f>H3/$B$16</f>
        <v>0</v>
      </c>
      <c r="J3">
        <f>I3*$M$4</f>
        <v>0</v>
      </c>
      <c r="K3">
        <f t="shared" ref="K3:K13" si="1">SUM(F3,J3)</f>
        <v>126.2245834843805</v>
      </c>
      <c r="L3" t="s">
        <v>10</v>
      </c>
      <c r="M3">
        <v>126.2245834843805</v>
      </c>
    </row>
    <row r="4" spans="1:13" x14ac:dyDescent="0.3">
      <c r="A4" t="s">
        <v>11</v>
      </c>
      <c r="B4">
        <v>136.00439453125</v>
      </c>
      <c r="C4">
        <v>1119.5791015625</v>
      </c>
      <c r="D4">
        <v>8.2319332799592093</v>
      </c>
      <c r="E4">
        <f t="shared" si="0"/>
        <v>14.13935637231056</v>
      </c>
      <c r="F4">
        <f>E4*$M$4</f>
        <v>116.16628659936509</v>
      </c>
      <c r="G4">
        <v>102.531860351563</v>
      </c>
      <c r="H4">
        <v>0.75388637775233103</v>
      </c>
      <c r="I4">
        <f t="shared" ref="I4:I13" si="2">H4/$B$16</f>
        <v>1.1977857924250572</v>
      </c>
      <c r="J4">
        <f>I4*$M$4</f>
        <v>9.8407822805840421</v>
      </c>
      <c r="K4">
        <f t="shared" si="1"/>
        <v>126.00706887994913</v>
      </c>
      <c r="L4" t="s">
        <v>3</v>
      </c>
      <c r="M4">
        <v>8.2158114938567017</v>
      </c>
    </row>
    <row r="5" spans="1:13" x14ac:dyDescent="0.3">
      <c r="A5" t="s">
        <v>12</v>
      </c>
      <c r="B5">
        <v>349.67721557617199</v>
      </c>
      <c r="C5">
        <v>2579.89868164063</v>
      </c>
      <c r="D5">
        <v>7.3779433337961802</v>
      </c>
      <c r="E5">
        <f t="shared" si="0"/>
        <v>12.672523761243868</v>
      </c>
      <c r="F5">
        <f>E5*$M$4</f>
        <v>104.11506637379954</v>
      </c>
      <c r="G5">
        <v>574.66754150390602</v>
      </c>
      <c r="H5">
        <v>1.64342289375935</v>
      </c>
      <c r="I5">
        <f t="shared" si="2"/>
        <v>2.6110945245620436</v>
      </c>
      <c r="J5">
        <f>I5*$M$4</f>
        <v>21.452260406443138</v>
      </c>
      <c r="K5">
        <f t="shared" si="1"/>
        <v>125.56732678024267</v>
      </c>
    </row>
    <row r="6" spans="1:13" x14ac:dyDescent="0.3">
      <c r="A6" t="s">
        <v>13</v>
      </c>
      <c r="B6">
        <v>160.78778076171901</v>
      </c>
      <c r="C6">
        <v>1092.01928710938</v>
      </c>
      <c r="D6">
        <v>6.7916808226099397</v>
      </c>
      <c r="E6">
        <f t="shared" si="0"/>
        <v>11.665545899364375</v>
      </c>
      <c r="F6">
        <f>E6*$M$4</f>
        <v>95.841926082110746</v>
      </c>
      <c r="G6">
        <v>362.19500732421898</v>
      </c>
      <c r="H6">
        <v>2.2526276910369001</v>
      </c>
      <c r="I6">
        <f t="shared" si="2"/>
        <v>3.5790080887144904</v>
      </c>
      <c r="J6">
        <f>I6*$M$4</f>
        <v>29.404455791866617</v>
      </c>
      <c r="K6">
        <f t="shared" si="1"/>
        <v>125.24638187397736</v>
      </c>
    </row>
    <row r="7" spans="1:13" x14ac:dyDescent="0.3">
      <c r="A7" s="5" t="s">
        <v>14</v>
      </c>
      <c r="B7" s="5">
        <v>226.51203918457099</v>
      </c>
      <c r="C7" s="5">
        <v>1375.65588378906</v>
      </c>
      <c r="D7" s="5">
        <v>6.0732131004662397</v>
      </c>
      <c r="E7">
        <f t="shared" si="0"/>
        <v>10.431489351539401</v>
      </c>
      <c r="F7" s="5">
        <f>E7*$M$11</f>
        <v>85.091618147994367</v>
      </c>
      <c r="G7" s="5">
        <v>707.91650390625</v>
      </c>
      <c r="H7" s="5">
        <v>3.12529305927713</v>
      </c>
      <c r="I7">
        <f t="shared" si="2"/>
        <v>4.9655116925280112</v>
      </c>
      <c r="J7" s="5">
        <f>I7*$M$11</f>
        <v>40.504611624575148</v>
      </c>
      <c r="K7" s="5">
        <f t="shared" si="1"/>
        <v>125.59622977256952</v>
      </c>
    </row>
    <row r="8" spans="1:13" x14ac:dyDescent="0.3">
      <c r="A8" s="5" t="s">
        <v>15</v>
      </c>
      <c r="B8" s="5">
        <v>490.2470703125</v>
      </c>
      <c r="C8" s="5">
        <v>2484.17138671875</v>
      </c>
      <c r="D8" s="5">
        <v>5.0671825231617502</v>
      </c>
      <c r="E8">
        <f t="shared" si="0"/>
        <v>8.7035082843726386</v>
      </c>
      <c r="F8" s="5">
        <f>E8*$M$11</f>
        <v>70.996151989787592</v>
      </c>
      <c r="G8" s="5">
        <v>2023.19262695313</v>
      </c>
      <c r="H8" s="5">
        <v>4.1268836663592401</v>
      </c>
      <c r="I8">
        <f t="shared" si="2"/>
        <v>6.5568536167131244</v>
      </c>
      <c r="J8" s="5">
        <f>I8*$M$11</f>
        <v>53.485486626443553</v>
      </c>
      <c r="K8" s="5">
        <f t="shared" si="1"/>
        <v>124.48163861623115</v>
      </c>
    </row>
    <row r="9" spans="1:13" x14ac:dyDescent="0.3">
      <c r="A9" t="s">
        <v>16</v>
      </c>
      <c r="B9">
        <v>362.26528930664102</v>
      </c>
      <c r="C9">
        <v>1557.49633789063</v>
      </c>
      <c r="D9">
        <v>4.2993253393710598</v>
      </c>
      <c r="E9">
        <f t="shared" si="0"/>
        <v>7.3846192706476455</v>
      </c>
      <c r="F9">
        <f>E9*$M$19</f>
        <v>59.650122475767517</v>
      </c>
      <c r="G9">
        <v>1816.06201171875</v>
      </c>
      <c r="H9">
        <v>5.0130720919870804</v>
      </c>
      <c r="I9">
        <f t="shared" si="2"/>
        <v>7.9648428534907545</v>
      </c>
      <c r="J9">
        <f>I9*$M$19</f>
        <v>64.336946062934615</v>
      </c>
      <c r="K9">
        <f t="shared" si="1"/>
        <v>123.98706853870213</v>
      </c>
      <c r="L9" t="s">
        <v>8</v>
      </c>
      <c r="M9">
        <v>96.379145783664939</v>
      </c>
    </row>
    <row r="10" spans="1:13" x14ac:dyDescent="0.3">
      <c r="A10" t="s">
        <v>17</v>
      </c>
      <c r="B10">
        <v>258.33856201171898</v>
      </c>
      <c r="C10">
        <v>839.43859863281295</v>
      </c>
      <c r="D10">
        <v>3.2493739691666002</v>
      </c>
      <c r="E10">
        <f t="shared" si="0"/>
        <v>5.5811988477612502</v>
      </c>
      <c r="F10">
        <f>E10*$M$19</f>
        <v>45.082783909233747</v>
      </c>
      <c r="G10" s="6">
        <v>1746.20642089844</v>
      </c>
      <c r="H10">
        <v>6.7593719160642598</v>
      </c>
      <c r="I10">
        <f t="shared" si="2"/>
        <v>10.739389761779886</v>
      </c>
      <c r="J10">
        <f>M18-F10</f>
        <v>79.018624597364663</v>
      </c>
      <c r="K10">
        <f t="shared" si="1"/>
        <v>124.1014085065984</v>
      </c>
      <c r="L10" t="s">
        <v>10</v>
      </c>
      <c r="M10">
        <v>125.32391218588209</v>
      </c>
    </row>
    <row r="11" spans="1:13" x14ac:dyDescent="0.3">
      <c r="A11" s="5" t="s">
        <v>18</v>
      </c>
      <c r="B11" s="5">
        <v>120.18804931640599</v>
      </c>
      <c r="C11" s="5">
        <v>323.93600463867199</v>
      </c>
      <c r="D11" s="5">
        <v>2.6952430502127598</v>
      </c>
      <c r="E11">
        <f t="shared" si="0"/>
        <v>4.6294109416227407</v>
      </c>
      <c r="F11" s="5">
        <f>E11*$M$19</f>
        <v>37.394606212953242</v>
      </c>
      <c r="G11" s="5">
        <v>823.34857177734398</v>
      </c>
      <c r="H11" s="5">
        <v>6.8505028283619396</v>
      </c>
      <c r="I11">
        <f t="shared" si="2"/>
        <v>10.884179898890912</v>
      </c>
      <c r="J11" s="5">
        <f>M26-F11</f>
        <v>85.124138276013554</v>
      </c>
      <c r="K11" s="5">
        <f t="shared" si="1"/>
        <v>122.5187444889668</v>
      </c>
      <c r="L11" t="s">
        <v>3</v>
      </c>
      <c r="M11">
        <v>8.1571878454189459</v>
      </c>
    </row>
    <row r="12" spans="1:13" x14ac:dyDescent="0.3">
      <c r="A12" s="5" t="s">
        <v>19</v>
      </c>
      <c r="B12" s="5">
        <v>180.72395324707099</v>
      </c>
      <c r="C12" s="5">
        <v>138.07888793945301</v>
      </c>
      <c r="D12" s="5">
        <v>0.76403202485662103</v>
      </c>
      <c r="E12">
        <f t="shared" si="0"/>
        <v>1.3123188334878408</v>
      </c>
      <c r="F12" s="5">
        <f>E12*$M$19</f>
        <v>10.600408264235504</v>
      </c>
      <c r="G12" s="5">
        <v>1570.06774902344</v>
      </c>
      <c r="H12" s="5">
        <v>8.6876571744586109</v>
      </c>
      <c r="I12">
        <f t="shared" si="2"/>
        <v>13.803077811341931</v>
      </c>
      <c r="J12" s="5">
        <f>I12*$M$19</f>
        <v>111.49596909643864</v>
      </c>
      <c r="K12" s="5">
        <f t="shared" si="1"/>
        <v>122.09637736067415</v>
      </c>
      <c r="L12" t="s">
        <v>20</v>
      </c>
      <c r="M12">
        <v>0</v>
      </c>
    </row>
    <row r="13" spans="1:13" x14ac:dyDescent="0.3">
      <c r="A13" s="5" t="s">
        <v>21</v>
      </c>
      <c r="B13" s="5">
        <v>1062.61450195313</v>
      </c>
      <c r="C13" s="5">
        <v>47.841453552246101</v>
      </c>
      <c r="D13" s="5">
        <v>4.5022398493820198E-2</v>
      </c>
      <c r="E13">
        <f t="shared" si="0"/>
        <v>7.7331498615287181E-2</v>
      </c>
      <c r="F13" s="5">
        <f>E13*$M$19</f>
        <v>0.62465418927846394</v>
      </c>
      <c r="G13" s="5">
        <v>9783.0693359375</v>
      </c>
      <c r="H13" s="5">
        <v>9.2066025053825307</v>
      </c>
      <c r="I13">
        <f t="shared" si="2"/>
        <v>14.627585804548032</v>
      </c>
      <c r="J13" s="5">
        <f>I13*$M$19</f>
        <v>118.15602846774323</v>
      </c>
      <c r="K13" s="5">
        <f t="shared" si="1"/>
        <v>118.78068265702169</v>
      </c>
    </row>
    <row r="15" spans="1:13" x14ac:dyDescent="0.3">
      <c r="A15" t="s">
        <v>22</v>
      </c>
      <c r="B15">
        <v>0.58220000000000005</v>
      </c>
    </row>
    <row r="16" spans="1:13" x14ac:dyDescent="0.3">
      <c r="A16" t="s">
        <v>23</v>
      </c>
      <c r="B16">
        <v>0.62939999999999996</v>
      </c>
    </row>
    <row r="17" spans="12:13" x14ac:dyDescent="0.3">
      <c r="L17" t="s">
        <v>8</v>
      </c>
      <c r="M17">
        <v>95.438991121464539</v>
      </c>
    </row>
    <row r="18" spans="12:13" x14ac:dyDescent="0.3">
      <c r="L18" t="s">
        <v>10</v>
      </c>
      <c r="M18">
        <v>124.1014085065984</v>
      </c>
    </row>
    <row r="19" spans="12:13" x14ac:dyDescent="0.3">
      <c r="L19" t="s">
        <v>3</v>
      </c>
      <c r="M19">
        <v>8.0776165012141625</v>
      </c>
    </row>
    <row r="20" spans="12:13" x14ac:dyDescent="0.3">
      <c r="L20" t="s">
        <v>20</v>
      </c>
      <c r="M20">
        <v>110.9083477622268</v>
      </c>
    </row>
    <row r="25" spans="12:13" x14ac:dyDescent="0.3">
      <c r="L25" t="s">
        <v>8</v>
      </c>
      <c r="M25">
        <v>201.98635991314191</v>
      </c>
    </row>
    <row r="26" spans="12:13" x14ac:dyDescent="0.3">
      <c r="L26" t="s">
        <v>10</v>
      </c>
      <c r="M26">
        <v>122.5187444889668</v>
      </c>
    </row>
    <row r="27" spans="12:13" x14ac:dyDescent="0.3">
      <c r="L27" t="s">
        <v>3</v>
      </c>
      <c r="M27">
        <v>7.9746027390132381</v>
      </c>
    </row>
    <row r="28" spans="12:13" x14ac:dyDescent="0.3">
      <c r="L28" t="s">
        <v>20</v>
      </c>
      <c r="M28">
        <v>109.4939347159082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"/>
  <sheetViews>
    <sheetView workbookViewId="0">
      <selection activeCell="G8" sqref="G8"/>
    </sheetView>
  </sheetViews>
  <sheetFormatPr defaultRowHeight="14.4" x14ac:dyDescent="0.3"/>
  <cols>
    <col min="2" max="2" width="12.109375" customWidth="1"/>
  </cols>
  <sheetData>
    <row r="1" spans="1:11" x14ac:dyDescent="0.3">
      <c r="F1" s="1" t="s">
        <v>24</v>
      </c>
      <c r="G1" s="4">
        <f>D4</f>
        <v>1.7833333333334167</v>
      </c>
    </row>
    <row r="2" spans="1:11" x14ac:dyDescent="0.3">
      <c r="A2" t="s">
        <v>25</v>
      </c>
      <c r="B2" s="3">
        <v>0.41821759259259261</v>
      </c>
      <c r="C2">
        <f t="shared" ref="C2:C16" si="0">B2*86400/60</f>
        <v>602.23333333333335</v>
      </c>
      <c r="D2">
        <f t="shared" ref="D2:D16" si="1">C2-$C$3</f>
        <v>-41.416666666666515</v>
      </c>
      <c r="E2">
        <f t="shared" ref="E2:E16" si="2">C2-$C$2</f>
        <v>0</v>
      </c>
      <c r="F2" s="1" t="s">
        <v>26</v>
      </c>
      <c r="G2" s="4">
        <f>D5</f>
        <v>6.2166666666668107</v>
      </c>
      <c r="I2" t="s">
        <v>27</v>
      </c>
      <c r="J2" s="4">
        <f>E3</f>
        <v>41.416666666666515</v>
      </c>
      <c r="K2" s="4">
        <f>J2-$J$2</f>
        <v>0</v>
      </c>
    </row>
    <row r="3" spans="1:11" x14ac:dyDescent="0.3">
      <c r="A3" t="s">
        <v>27</v>
      </c>
      <c r="B3" s="3">
        <v>0.44697916666666659</v>
      </c>
      <c r="C3">
        <f t="shared" si="0"/>
        <v>643.64999999999986</v>
      </c>
      <c r="D3">
        <f t="shared" si="1"/>
        <v>0</v>
      </c>
      <c r="E3">
        <f t="shared" si="2"/>
        <v>41.416666666666515</v>
      </c>
      <c r="F3" s="1" t="s">
        <v>28</v>
      </c>
      <c r="G3" s="4">
        <f>D6</f>
        <v>19.383333333333439</v>
      </c>
      <c r="I3" s="1" t="s">
        <v>29</v>
      </c>
      <c r="J3" s="4">
        <f>E7</f>
        <v>65.766666666666652</v>
      </c>
      <c r="K3" s="4">
        <f>J3-$J$2</f>
        <v>24.350000000000136</v>
      </c>
    </row>
    <row r="4" spans="1:11" x14ac:dyDescent="0.3">
      <c r="A4" s="1" t="s">
        <v>24</v>
      </c>
      <c r="B4" s="2">
        <v>0.44821759259259258</v>
      </c>
      <c r="C4">
        <f t="shared" si="0"/>
        <v>645.43333333333328</v>
      </c>
      <c r="D4">
        <f t="shared" si="1"/>
        <v>1.7833333333334167</v>
      </c>
      <c r="E4">
        <f t="shared" si="2"/>
        <v>43.199999999999932</v>
      </c>
      <c r="F4" s="1" t="s">
        <v>30</v>
      </c>
      <c r="G4" s="4">
        <f>D8</f>
        <v>25.583333333333485</v>
      </c>
      <c r="I4" s="1" t="s">
        <v>31</v>
      </c>
      <c r="J4" s="4">
        <f>E10</f>
        <v>71.166666666666629</v>
      </c>
      <c r="K4" s="4">
        <f>J4-$J$2</f>
        <v>29.750000000000114</v>
      </c>
    </row>
    <row r="5" spans="1:11" x14ac:dyDescent="0.3">
      <c r="A5" s="1" t="s">
        <v>26</v>
      </c>
      <c r="B5" s="2">
        <v>0.45129629629629631</v>
      </c>
      <c r="C5">
        <f t="shared" si="0"/>
        <v>649.86666666666667</v>
      </c>
      <c r="D5">
        <f t="shared" si="1"/>
        <v>6.2166666666668107</v>
      </c>
      <c r="E5">
        <f t="shared" si="2"/>
        <v>47.633333333333326</v>
      </c>
      <c r="F5" s="1" t="s">
        <v>32</v>
      </c>
      <c r="G5" s="4">
        <f>D9</f>
        <v>28.050000000000182</v>
      </c>
      <c r="I5" t="s">
        <v>33</v>
      </c>
      <c r="J5" s="4">
        <f>E13</f>
        <v>86.766666666666652</v>
      </c>
      <c r="K5" s="4">
        <f>J5-$J$2</f>
        <v>45.350000000000136</v>
      </c>
    </row>
    <row r="6" spans="1:11" x14ac:dyDescent="0.3">
      <c r="A6" s="1" t="s">
        <v>28</v>
      </c>
      <c r="B6" s="2">
        <v>0.46043981481481477</v>
      </c>
      <c r="C6">
        <f t="shared" si="0"/>
        <v>663.0333333333333</v>
      </c>
      <c r="D6">
        <f t="shared" si="1"/>
        <v>19.383333333333439</v>
      </c>
      <c r="E6">
        <f t="shared" si="2"/>
        <v>60.799999999999955</v>
      </c>
      <c r="F6" s="1" t="s">
        <v>34</v>
      </c>
      <c r="G6" s="4">
        <f>D11</f>
        <v>32.433333333333508</v>
      </c>
      <c r="J6" s="4"/>
    </row>
    <row r="7" spans="1:11" x14ac:dyDescent="0.3">
      <c r="A7" s="1" t="s">
        <v>29</v>
      </c>
      <c r="B7" s="2">
        <v>0.46388888888888891</v>
      </c>
      <c r="C7">
        <f t="shared" si="0"/>
        <v>668</v>
      </c>
      <c r="D7">
        <f t="shared" si="1"/>
        <v>24.350000000000136</v>
      </c>
      <c r="E7">
        <f t="shared" si="2"/>
        <v>65.766666666666652</v>
      </c>
      <c r="F7" s="1" t="s">
        <v>35</v>
      </c>
      <c r="G7" s="4">
        <f>D12</f>
        <v>40.800000000000182</v>
      </c>
    </row>
    <row r="8" spans="1:11" x14ac:dyDescent="0.3">
      <c r="A8" s="1" t="s">
        <v>30</v>
      </c>
      <c r="B8" s="2">
        <v>0.46474537037037039</v>
      </c>
      <c r="C8">
        <f t="shared" si="0"/>
        <v>669.23333333333335</v>
      </c>
      <c r="D8">
        <f t="shared" si="1"/>
        <v>25.583333333333485</v>
      </c>
      <c r="E8">
        <f t="shared" si="2"/>
        <v>67</v>
      </c>
      <c r="F8" s="1" t="s">
        <v>36</v>
      </c>
      <c r="G8" s="4">
        <f>D14</f>
        <v>46.666666666666856</v>
      </c>
    </row>
    <row r="9" spans="1:11" x14ac:dyDescent="0.3">
      <c r="A9" s="1" t="s">
        <v>32</v>
      </c>
      <c r="B9" s="2">
        <v>0.46645833333333331</v>
      </c>
      <c r="C9">
        <f t="shared" si="0"/>
        <v>671.7</v>
      </c>
      <c r="D9">
        <f t="shared" si="1"/>
        <v>28.050000000000182</v>
      </c>
      <c r="E9">
        <f t="shared" si="2"/>
        <v>69.466666666666697</v>
      </c>
      <c r="F9" s="1" t="s">
        <v>37</v>
      </c>
      <c r="G9" s="4">
        <f>D15</f>
        <v>56.300000000000182</v>
      </c>
    </row>
    <row r="10" spans="1:11" x14ac:dyDescent="0.3">
      <c r="A10" s="1" t="s">
        <v>31</v>
      </c>
      <c r="B10" s="2">
        <v>0.46763888888888888</v>
      </c>
      <c r="C10">
        <f t="shared" si="0"/>
        <v>673.4</v>
      </c>
      <c r="D10">
        <f t="shared" si="1"/>
        <v>29.750000000000114</v>
      </c>
      <c r="E10">
        <f t="shared" si="2"/>
        <v>71.166666666666629</v>
      </c>
      <c r="F10" s="1" t="s">
        <v>38</v>
      </c>
      <c r="G10" s="4">
        <f>D16</f>
        <v>92.033333333333417</v>
      </c>
    </row>
    <row r="11" spans="1:11" x14ac:dyDescent="0.3">
      <c r="A11" s="1" t="s">
        <v>34</v>
      </c>
      <c r="B11" s="2">
        <v>0.4695023148148148</v>
      </c>
      <c r="C11">
        <f t="shared" si="0"/>
        <v>676.08333333333337</v>
      </c>
      <c r="D11">
        <f t="shared" si="1"/>
        <v>32.433333333333508</v>
      </c>
      <c r="E11">
        <f t="shared" si="2"/>
        <v>73.850000000000023</v>
      </c>
      <c r="G11" s="4"/>
    </row>
    <row r="12" spans="1:11" x14ac:dyDescent="0.3">
      <c r="A12" s="1" t="s">
        <v>35</v>
      </c>
      <c r="B12" s="2">
        <v>0.47531250000000003</v>
      </c>
      <c r="C12">
        <f t="shared" si="0"/>
        <v>684.45</v>
      </c>
      <c r="D12">
        <f t="shared" si="1"/>
        <v>40.800000000000182</v>
      </c>
      <c r="E12">
        <f t="shared" si="2"/>
        <v>82.216666666666697</v>
      </c>
      <c r="G12" s="4"/>
    </row>
    <row r="13" spans="1:11" x14ac:dyDescent="0.3">
      <c r="A13" s="1" t="s">
        <v>39</v>
      </c>
      <c r="B13" s="2">
        <v>0.47847222222222219</v>
      </c>
      <c r="C13">
        <f t="shared" si="0"/>
        <v>689</v>
      </c>
      <c r="D13">
        <f t="shared" si="1"/>
        <v>45.350000000000136</v>
      </c>
      <c r="E13">
        <f t="shared" si="2"/>
        <v>86.766666666666652</v>
      </c>
    </row>
    <row r="14" spans="1:11" x14ac:dyDescent="0.3">
      <c r="A14" s="1" t="s">
        <v>36</v>
      </c>
      <c r="B14" s="2">
        <v>0.47938657407407409</v>
      </c>
      <c r="C14">
        <f t="shared" si="0"/>
        <v>690.31666666666672</v>
      </c>
      <c r="D14">
        <f t="shared" si="1"/>
        <v>46.666666666666856</v>
      </c>
      <c r="E14">
        <f t="shared" si="2"/>
        <v>88.083333333333371</v>
      </c>
    </row>
    <row r="15" spans="1:11" x14ac:dyDescent="0.3">
      <c r="A15" s="1" t="s">
        <v>37</v>
      </c>
      <c r="B15" s="2">
        <v>0.48607638888888888</v>
      </c>
      <c r="C15">
        <f t="shared" si="0"/>
        <v>699.95</v>
      </c>
      <c r="D15">
        <f t="shared" si="1"/>
        <v>56.300000000000182</v>
      </c>
      <c r="E15">
        <f t="shared" si="2"/>
        <v>97.716666666666697</v>
      </c>
    </row>
    <row r="16" spans="1:11" x14ac:dyDescent="0.3">
      <c r="A16" s="1" t="s">
        <v>38</v>
      </c>
      <c r="B16" s="2">
        <v>0.51089120370370367</v>
      </c>
      <c r="C16">
        <f t="shared" si="0"/>
        <v>735.68333333333328</v>
      </c>
      <c r="D16">
        <f t="shared" si="1"/>
        <v>92.033333333333417</v>
      </c>
      <c r="E16">
        <f t="shared" si="2"/>
        <v>133.44999999999993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tabSelected="1" workbookViewId="0">
      <selection activeCell="M8" sqref="M8"/>
    </sheetView>
  </sheetViews>
  <sheetFormatPr defaultRowHeight="14.4" x14ac:dyDescent="0.3"/>
  <cols>
    <col min="2" max="2" width="12.88671875" bestFit="1" customWidth="1"/>
  </cols>
  <sheetData>
    <row r="1" spans="1:3" x14ac:dyDescent="0.3">
      <c r="A1" t="s">
        <v>40</v>
      </c>
      <c r="B1" t="s">
        <v>41</v>
      </c>
      <c r="C1" t="s">
        <v>7</v>
      </c>
    </row>
    <row r="2" spans="1:3" x14ac:dyDescent="0.3">
      <c r="A2">
        <v>0</v>
      </c>
      <c r="B2">
        <v>126.2245834843805</v>
      </c>
      <c r="C2">
        <v>0</v>
      </c>
    </row>
    <row r="3" spans="1:3" x14ac:dyDescent="0.3">
      <c r="A3">
        <v>1.783333333333303</v>
      </c>
      <c r="B3">
        <v>116.1662865993646</v>
      </c>
      <c r="C3">
        <v>9.8407822805839817</v>
      </c>
    </row>
    <row r="4" spans="1:3" x14ac:dyDescent="0.3">
      <c r="A4">
        <v>6.216666666666697</v>
      </c>
      <c r="B4">
        <v>104.115066373799</v>
      </c>
      <c r="C4">
        <v>21.452260406443191</v>
      </c>
    </row>
    <row r="5" spans="1:3" x14ac:dyDescent="0.3">
      <c r="A5">
        <v>19.383333333333329</v>
      </c>
      <c r="B5">
        <v>95.841926082110135</v>
      </c>
      <c r="C5">
        <v>29.40445579186661</v>
      </c>
    </row>
    <row r="6" spans="1:3" x14ac:dyDescent="0.3">
      <c r="A6">
        <v>25.583333333333371</v>
      </c>
      <c r="B6">
        <v>85.091618147994353</v>
      </c>
      <c r="C6">
        <v>40.504611624575141</v>
      </c>
    </row>
    <row r="7" spans="1:3" x14ac:dyDescent="0.3">
      <c r="A7">
        <v>28.050000000000072</v>
      </c>
      <c r="B7">
        <v>70.996151989787521</v>
      </c>
      <c r="C7">
        <v>53.485486626443603</v>
      </c>
    </row>
    <row r="8" spans="1:3" x14ac:dyDescent="0.3">
      <c r="A8">
        <v>32.433333333333387</v>
      </c>
      <c r="B8">
        <v>59.650122475767468</v>
      </c>
      <c r="C8">
        <v>64.336946062934658</v>
      </c>
    </row>
    <row r="9" spans="1:3" x14ac:dyDescent="0.3">
      <c r="A9">
        <v>40.800000000000068</v>
      </c>
      <c r="B9">
        <v>45.082783909233832</v>
      </c>
      <c r="C9">
        <v>79.018624597364578</v>
      </c>
    </row>
    <row r="10" spans="1:3" x14ac:dyDescent="0.3">
      <c r="A10">
        <v>46.666666666666742</v>
      </c>
      <c r="B10">
        <v>37.394606212953242</v>
      </c>
      <c r="C10">
        <v>85.12413827601361</v>
      </c>
    </row>
    <row r="11" spans="1:3" x14ac:dyDescent="0.3">
      <c r="A11">
        <v>56.300000000000068</v>
      </c>
      <c r="B11">
        <v>10.600408264235501</v>
      </c>
      <c r="C11">
        <v>111.4959690964384</v>
      </c>
    </row>
    <row r="12" spans="1:3" x14ac:dyDescent="0.3">
      <c r="A12">
        <v>92.033333333333303</v>
      </c>
      <c r="B12">
        <v>0.62465418927846317</v>
      </c>
      <c r="C12">
        <v>118.156028467743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C1_E7 HPLC 254 nm</vt:lpstr>
      <vt:lpstr>Sample and addition times</vt:lpstr>
      <vt:lpstr>Concentration vs time HPLC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Dalland</dc:creator>
  <cp:lastModifiedBy>Dalland, Daniel</cp:lastModifiedBy>
  <dcterms:created xsi:type="dcterms:W3CDTF">2024-12-16T19:00:24Z</dcterms:created>
  <dcterms:modified xsi:type="dcterms:W3CDTF">2026-01-12T11:02:44Z</dcterms:modified>
</cp:coreProperties>
</file>
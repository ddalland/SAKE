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6" documentId="11_7AFB90D5DB6F3DC7A4D508B878028D5E49D2969C" xr6:coauthVersionLast="47" xr6:coauthVersionMax="47" xr10:uidLastSave="{BBB741B4-19CC-4499-8BCB-D6E0E17B82E8}"/>
  <bookViews>
    <workbookView xWindow="2172" yWindow="2472" windowWidth="17280" windowHeight="8880" xr2:uid="{00000000-000D-0000-FFFF-FFFF00000000}"/>
  </bookViews>
  <sheets>
    <sheet name="C4_E7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C25" i="2"/>
  <c r="H18" i="2" s="1"/>
  <c r="C24" i="2"/>
  <c r="C23" i="2"/>
  <c r="C22" i="2"/>
  <c r="C21" i="2"/>
  <c r="H14" i="2" s="1"/>
  <c r="C20" i="2"/>
  <c r="C19" i="2"/>
  <c r="C18" i="2"/>
  <c r="H12" i="2" s="1"/>
  <c r="H17" i="2"/>
  <c r="C17" i="2"/>
  <c r="H11" i="2" s="1"/>
  <c r="H16" i="2"/>
  <c r="C16" i="2"/>
  <c r="H15" i="2"/>
  <c r="C15" i="2"/>
  <c r="H10" i="2" s="1"/>
  <c r="C14" i="2"/>
  <c r="H9" i="2" s="1"/>
  <c r="H13" i="2"/>
  <c r="C13" i="2"/>
  <c r="C12" i="2"/>
  <c r="C11" i="2"/>
  <c r="C10" i="2"/>
  <c r="H6" i="2" s="1"/>
  <c r="C9" i="2"/>
  <c r="H5" i="2" s="1"/>
  <c r="H8" i="2"/>
  <c r="C8" i="2"/>
  <c r="H4" i="2" s="1"/>
  <c r="H7" i="2"/>
  <c r="C7" i="2"/>
  <c r="H3" i="2" s="1"/>
  <c r="C6" i="2"/>
  <c r="H2" i="2" s="1"/>
  <c r="C5" i="2"/>
  <c r="F4" i="2"/>
  <c r="C4" i="2"/>
  <c r="C3" i="2"/>
  <c r="F3" i="2" s="1"/>
  <c r="C2" i="2"/>
  <c r="F2" i="2" s="1"/>
  <c r="C1" i="2"/>
  <c r="H1" i="2" s="1"/>
  <c r="H24" i="1"/>
  <c r="I24" i="1" s="1"/>
  <c r="J24" i="1" s="1"/>
  <c r="E24" i="1"/>
  <c r="F24" i="1" s="1"/>
  <c r="D24" i="1"/>
  <c r="H23" i="1"/>
  <c r="I23" i="1" s="1"/>
  <c r="J23" i="1" s="1"/>
  <c r="D23" i="1"/>
  <c r="E23" i="1" s="1"/>
  <c r="F23" i="1" s="1"/>
  <c r="H22" i="1"/>
  <c r="I22" i="1" s="1"/>
  <c r="J22" i="1" s="1"/>
  <c r="D22" i="1"/>
  <c r="E22" i="1" s="1"/>
  <c r="F22" i="1" s="1"/>
  <c r="K22" i="1" s="1"/>
  <c r="H21" i="1"/>
  <c r="I21" i="1" s="1"/>
  <c r="J21" i="1" s="1"/>
  <c r="L21" i="1" s="1"/>
  <c r="D21" i="1"/>
  <c r="E21" i="1" s="1"/>
  <c r="F21" i="1" s="1"/>
  <c r="K21" i="1" s="1"/>
  <c r="H20" i="1"/>
  <c r="I20" i="1" s="1"/>
  <c r="J20" i="1" s="1"/>
  <c r="L20" i="1" s="1"/>
  <c r="D20" i="1"/>
  <c r="E20" i="1" s="1"/>
  <c r="F20" i="1" s="1"/>
  <c r="K20" i="1" s="1"/>
  <c r="H19" i="1"/>
  <c r="I19" i="1" s="1"/>
  <c r="J19" i="1" s="1"/>
  <c r="L19" i="1" s="1"/>
  <c r="D19" i="1"/>
  <c r="E19" i="1" s="1"/>
  <c r="F19" i="1" s="1"/>
  <c r="K19" i="1" s="1"/>
  <c r="H18" i="1"/>
  <c r="I18" i="1" s="1"/>
  <c r="J18" i="1" s="1"/>
  <c r="L18" i="1" s="1"/>
  <c r="D18" i="1"/>
  <c r="E18" i="1" s="1"/>
  <c r="F18" i="1" s="1"/>
  <c r="H17" i="1"/>
  <c r="I17" i="1" s="1"/>
  <c r="J17" i="1" s="1"/>
  <c r="L17" i="1" s="1"/>
  <c r="D17" i="1"/>
  <c r="E17" i="1" s="1"/>
  <c r="F17" i="1" s="1"/>
  <c r="K17" i="1" s="1"/>
  <c r="H16" i="1"/>
  <c r="I16" i="1" s="1"/>
  <c r="J16" i="1" s="1"/>
  <c r="L16" i="1" s="1"/>
  <c r="D16" i="1"/>
  <c r="E16" i="1" s="1"/>
  <c r="F16" i="1" s="1"/>
  <c r="K16" i="1" s="1"/>
  <c r="H15" i="1"/>
  <c r="I15" i="1" s="1"/>
  <c r="J15" i="1" s="1"/>
  <c r="L15" i="1" s="1"/>
  <c r="D15" i="1"/>
  <c r="E15" i="1" s="1"/>
  <c r="F15" i="1" s="1"/>
  <c r="K15" i="1" s="1"/>
  <c r="H14" i="1"/>
  <c r="I14" i="1" s="1"/>
  <c r="J14" i="1" s="1"/>
  <c r="L14" i="1" s="1"/>
  <c r="D14" i="1"/>
  <c r="E14" i="1" s="1"/>
  <c r="F14" i="1" s="1"/>
  <c r="K14" i="1" s="1"/>
  <c r="H13" i="1"/>
  <c r="I13" i="1" s="1"/>
  <c r="J13" i="1" s="1"/>
  <c r="L13" i="1" s="1"/>
  <c r="D13" i="1"/>
  <c r="E13" i="1" s="1"/>
  <c r="F13" i="1" s="1"/>
  <c r="K13" i="1" s="1"/>
  <c r="H12" i="1"/>
  <c r="I12" i="1" s="1"/>
  <c r="J12" i="1" s="1"/>
  <c r="L12" i="1" s="1"/>
  <c r="D12" i="1"/>
  <c r="E12" i="1" s="1"/>
  <c r="F12" i="1" s="1"/>
  <c r="K12" i="1" s="1"/>
  <c r="H11" i="1"/>
  <c r="I11" i="1" s="1"/>
  <c r="J11" i="1" s="1"/>
  <c r="L11" i="1" s="1"/>
  <c r="D11" i="1"/>
  <c r="E11" i="1" s="1"/>
  <c r="F11" i="1" s="1"/>
  <c r="K11" i="1" s="1"/>
  <c r="H10" i="1"/>
  <c r="I10" i="1" s="1"/>
  <c r="J10" i="1" s="1"/>
  <c r="L10" i="1" s="1"/>
  <c r="D10" i="1"/>
  <c r="E10" i="1" s="1"/>
  <c r="F10" i="1" s="1"/>
  <c r="H9" i="1"/>
  <c r="I9" i="1" s="1"/>
  <c r="J9" i="1" s="1"/>
  <c r="L9" i="1" s="1"/>
  <c r="D9" i="1"/>
  <c r="E9" i="1" s="1"/>
  <c r="F9" i="1" s="1"/>
  <c r="K9" i="1" s="1"/>
  <c r="H8" i="1"/>
  <c r="I8" i="1" s="1"/>
  <c r="J8" i="1" s="1"/>
  <c r="L8" i="1" s="1"/>
  <c r="D8" i="1"/>
  <c r="E8" i="1" s="1"/>
  <c r="F8" i="1" s="1"/>
  <c r="K8" i="1" s="1"/>
  <c r="H7" i="1"/>
  <c r="I7" i="1" s="1"/>
  <c r="J7" i="1" s="1"/>
  <c r="L7" i="1" s="1"/>
  <c r="D7" i="1"/>
  <c r="E7" i="1" s="1"/>
  <c r="F7" i="1" s="1"/>
  <c r="K7" i="1" s="1"/>
  <c r="H6" i="1"/>
  <c r="I6" i="1" s="1"/>
  <c r="J6" i="1" s="1"/>
  <c r="L6" i="1" s="1"/>
  <c r="D6" i="1"/>
  <c r="E6" i="1" s="1"/>
  <c r="F6" i="1" s="1"/>
  <c r="K6" i="1" s="1"/>
  <c r="H5" i="1"/>
  <c r="I5" i="1" s="1"/>
  <c r="J5" i="1" s="1"/>
  <c r="L5" i="1" s="1"/>
  <c r="D5" i="1"/>
  <c r="E5" i="1" s="1"/>
  <c r="F5" i="1" s="1"/>
  <c r="K5" i="1" s="1"/>
  <c r="H4" i="1"/>
  <c r="I4" i="1" s="1"/>
  <c r="J4" i="1" s="1"/>
  <c r="L4" i="1" s="1"/>
  <c r="D4" i="1"/>
  <c r="E4" i="1" s="1"/>
  <c r="F4" i="1" s="1"/>
  <c r="K4" i="1" s="1"/>
  <c r="K23" i="1" l="1"/>
  <c r="K24" i="1"/>
  <c r="K10" i="1"/>
  <c r="K18" i="1"/>
  <c r="F1" i="2"/>
</calcChain>
</file>

<file path=xl/sharedStrings.xml><?xml version="1.0" encoding="utf-8"?>
<sst xmlns="http://schemas.openxmlformats.org/spreadsheetml/2006/main" count="95" uniqueCount="80">
  <si>
    <t>filename</t>
  </si>
  <si>
    <t>Biphenyl</t>
  </si>
  <si>
    <t>4-SO2Me-ArOPh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</si>
  <si>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</si>
  <si>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</si>
  <si>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</si>
  <si>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</si>
  <si>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</si>
  <si>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</si>
  <si>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C4_E7-S0</t>
  </si>
  <si>
    <t>Ar-4SO2Me-Oph</t>
  </si>
  <si>
    <t>C4_E7-S1</t>
  </si>
  <si>
    <t>C4_E7-S2</t>
  </si>
  <si>
    <t>C4_E7-S3</t>
  </si>
  <si>
    <t>C4_E7-S4</t>
  </si>
  <si>
    <t>C4_E7-S5</t>
  </si>
  <si>
    <t>C4_E7-S6</t>
  </si>
  <si>
    <t>C4_E7-S7</t>
  </si>
  <si>
    <t>C4_E7-S8</t>
  </si>
  <si>
    <t>C4_E7-S9</t>
  </si>
  <si>
    <t>Phenol</t>
  </si>
  <si>
    <t>C4_E7-S10</t>
  </si>
  <si>
    <t>C4_E7-S11</t>
  </si>
  <si>
    <t>C4_E7-S12</t>
  </si>
  <si>
    <t>C4_E7-S13</t>
  </si>
  <si>
    <t>C4_E7-S14</t>
  </si>
  <si>
    <t>C4_E7-S15</t>
  </si>
  <si>
    <t>C4_E7-S16</t>
  </si>
  <si>
    <t>C4_E7-S17</t>
  </si>
  <si>
    <t>C4_E7-S70</t>
  </si>
  <si>
    <t>C4_E7-S80</t>
  </si>
  <si>
    <t>C4_E7-S95</t>
  </si>
  <si>
    <t>CC 4SO2ArOPh</t>
  </si>
  <si>
    <t>CC Product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</si>
  <si>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</si>
  <si>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</si>
  <si>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</si>
  <si>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</si>
  <si>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</si>
  <si>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</si>
  <si>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</si>
  <si>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</si>
  <si>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</si>
  <si>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</si>
  <si>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</si>
  <si>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</si>
  <si>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Start:</t>
  </si>
  <si>
    <t>S4</t>
  </si>
  <si>
    <t>S1:</t>
  </si>
  <si>
    <t>S5</t>
  </si>
  <si>
    <t>S6</t>
  </si>
  <si>
    <t>S3:</t>
  </si>
  <si>
    <t>S7</t>
  </si>
  <si>
    <t>S4:</t>
  </si>
  <si>
    <t>S8</t>
  </si>
  <si>
    <t>S5:</t>
  </si>
  <si>
    <t>S9</t>
  </si>
  <si>
    <t>S6:</t>
  </si>
  <si>
    <t>S10</t>
  </si>
  <si>
    <t>S11</t>
  </si>
  <si>
    <t>S7:</t>
  </si>
  <si>
    <t>S12</t>
  </si>
  <si>
    <t>S8:</t>
  </si>
  <si>
    <t>S13</t>
  </si>
  <si>
    <t>S9:</t>
  </si>
  <si>
    <t>S14</t>
  </si>
  <si>
    <t>S15</t>
  </si>
  <si>
    <t>S10:</t>
  </si>
  <si>
    <t>S16</t>
  </si>
  <si>
    <t>S11:</t>
  </si>
  <si>
    <t>S17</t>
  </si>
  <si>
    <t>S12:</t>
  </si>
  <si>
    <t>S13:</t>
  </si>
  <si>
    <t>S14:</t>
  </si>
  <si>
    <t>S15:</t>
  </si>
  <si>
    <t>S16:</t>
  </si>
  <si>
    <t>S17: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</si>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</sst>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164" fontId="0" fillId="0" borderId="0" xfId="0" applyNumberFormat="1"/>
    <xf numFmtId="164" fontId="1" fillId="0" borderId="0" xfId="0" applyNumberFormat="1" applyFont="1" applyAlignment="1">
      <alignment vertical="center" wrapText="1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HPLC'!$A$2:$A$19</c:f>
              <c:numCache>
                <c:formatCode>General</c:formatCode>
                <c:ptCount val="18"/>
                <c:pt idx="0">
                  <c:v>0</c:v>
                </c:pt>
                <c:pt idx="1">
                  <c:v>33.549999995157123</c:v>
                </c:pt>
                <c:pt idx="2">
                  <c:v>61.783333327621222</c:v>
                </c:pt>
                <c:pt idx="3">
                  <c:v>63.650000001071021</c:v>
                </c:pt>
                <c:pt idx="4">
                  <c:v>272.96666666865349</c:v>
                </c:pt>
                <c:pt idx="5">
                  <c:v>280.96666666329838</c:v>
                </c:pt>
                <c:pt idx="6">
                  <c:v>908.08333332650363</c:v>
                </c:pt>
                <c:pt idx="7">
                  <c:v>944.39999999594875</c:v>
                </c:pt>
                <c:pt idx="8">
                  <c:v>1016.066666662227</c:v>
                </c:pt>
                <c:pt idx="9">
                  <c:v>1087.566666664788</c:v>
                </c:pt>
                <c:pt idx="10">
                  <c:v>1103.466666662134</c:v>
                </c:pt>
                <c:pt idx="11">
                  <c:v>1267.2499999974391</c:v>
                </c:pt>
                <c:pt idx="12">
                  <c:v>1442.433333325898</c:v>
                </c:pt>
                <c:pt idx="13">
                  <c:v>1445.5166666675359</c:v>
                </c:pt>
                <c:pt idx="14">
                  <c:v>1550.350000000326</c:v>
                </c:pt>
                <c:pt idx="15">
                  <c:v>1616.91666666884</c:v>
                </c:pt>
                <c:pt idx="16">
                  <c:v>2427.0166666607838</c:v>
                </c:pt>
                <c:pt idx="17">
                  <c:v>2442.4833333282731</c:v>
                </c:pt>
              </c:numCache>
            </c:numRef>
          </c:xVal>
          <c:yVal>
            <c:numRef>
              <c:f>'Concentration vs time HPLC'!$B$2:$B$19</c:f>
              <c:numCache>
                <c:formatCode>General</c:formatCode>
                <c:ptCount val="18"/>
                <c:pt idx="0">
                  <c:v>122.5128139838359</c:v>
                </c:pt>
                <c:pt idx="1">
                  <c:v>120.84816078533576</c:v>
                </c:pt>
                <c:pt idx="2">
                  <c:v>119.0414357348711</c:v>
                </c:pt>
                <c:pt idx="3">
                  <c:v>118.89754183498033</c:v>
                </c:pt>
                <c:pt idx="4">
                  <c:v>112.29871721751233</c:v>
                </c:pt>
                <c:pt idx="5">
                  <c:v>109.31188103364151</c:v>
                </c:pt>
                <c:pt idx="6">
                  <c:v>96.399287914752449</c:v>
                </c:pt>
                <c:pt idx="7">
                  <c:v>92.869504333173523</c:v>
                </c:pt>
                <c:pt idx="8">
                  <c:v>86.613808547854177</c:v>
                </c:pt>
                <c:pt idx="9">
                  <c:v>80.219450202924946</c:v>
                </c:pt>
                <c:pt idx="10">
                  <c:v>76.930652383440673</c:v>
                </c:pt>
                <c:pt idx="11">
                  <c:v>67.699849316009463</c:v>
                </c:pt>
                <c:pt idx="12">
                  <c:v>59.465575545300787</c:v>
                </c:pt>
                <c:pt idx="13">
                  <c:v>56.701401308562758</c:v>
                </c:pt>
                <c:pt idx="14">
                  <c:v>34.076570168138176</c:v>
                </c:pt>
                <c:pt idx="15">
                  <c:v>23.603237839635582</c:v>
                </c:pt>
                <c:pt idx="16">
                  <c:v>0.89339940579239396</c:v>
                </c:pt>
                <c:pt idx="17">
                  <c:v>1.9992134415224996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8-42C3-910D-9E889511840A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HPLC'!$A$2:$A$19</c:f>
              <c:numCache>
                <c:formatCode>General</c:formatCode>
                <c:ptCount val="18"/>
                <c:pt idx="0">
                  <c:v>0</c:v>
                </c:pt>
                <c:pt idx="1">
                  <c:v>33.549999995157123</c:v>
                </c:pt>
                <c:pt idx="2">
                  <c:v>61.783333327621222</c:v>
                </c:pt>
                <c:pt idx="3">
                  <c:v>63.650000001071021</c:v>
                </c:pt>
                <c:pt idx="4">
                  <c:v>272.96666666865349</c:v>
                </c:pt>
                <c:pt idx="5">
                  <c:v>280.96666666329838</c:v>
                </c:pt>
                <c:pt idx="6">
                  <c:v>908.08333332650363</c:v>
                </c:pt>
                <c:pt idx="7">
                  <c:v>944.39999999594875</c:v>
                </c:pt>
                <c:pt idx="8">
                  <c:v>1016.066666662227</c:v>
                </c:pt>
                <c:pt idx="9">
                  <c:v>1087.566666664788</c:v>
                </c:pt>
                <c:pt idx="10">
                  <c:v>1103.466666662134</c:v>
                </c:pt>
                <c:pt idx="11">
                  <c:v>1267.2499999974391</c:v>
                </c:pt>
                <c:pt idx="12">
                  <c:v>1442.433333325898</c:v>
                </c:pt>
                <c:pt idx="13">
                  <c:v>1445.5166666675359</c:v>
                </c:pt>
                <c:pt idx="14">
                  <c:v>1550.350000000326</c:v>
                </c:pt>
                <c:pt idx="15">
                  <c:v>1616.91666666884</c:v>
                </c:pt>
                <c:pt idx="16">
                  <c:v>2427.0166666607838</c:v>
                </c:pt>
                <c:pt idx="17">
                  <c:v>2442.4833333282731</c:v>
                </c:pt>
              </c:numCache>
            </c:numRef>
          </c:xVal>
          <c:yVal>
            <c:numRef>
              <c:f>'Concentration vs time HPLC'!$C$2:$C$19</c:f>
              <c:numCache>
                <c:formatCode>General</c:formatCode>
                <c:ptCount val="18"/>
                <c:pt idx="0">
                  <c:v>0</c:v>
                </c:pt>
                <c:pt idx="1">
                  <c:v>1.6646531985001269</c:v>
                </c:pt>
                <c:pt idx="2">
                  <c:v>3.4713782489648022</c:v>
                </c:pt>
                <c:pt idx="3">
                  <c:v>3.615272148855563</c:v>
                </c:pt>
                <c:pt idx="4">
                  <c:v>10.214096766323561</c:v>
                </c:pt>
                <c:pt idx="5">
                  <c:v>13.200932950194391</c:v>
                </c:pt>
                <c:pt idx="6">
                  <c:v>26.113526069083449</c:v>
                </c:pt>
                <c:pt idx="7">
                  <c:v>28.57591001295237</c:v>
                </c:pt>
                <c:pt idx="8">
                  <c:v>34.831605798271717</c:v>
                </c:pt>
                <c:pt idx="9">
                  <c:v>41.225964143200947</c:v>
                </c:pt>
                <c:pt idx="10">
                  <c:v>42.924651478813331</c:v>
                </c:pt>
                <c:pt idx="11">
                  <c:v>52.155454546244542</c:v>
                </c:pt>
                <c:pt idx="12">
                  <c:v>60.389728316953217</c:v>
                </c:pt>
                <c:pt idx="13">
                  <c:v>61.107189727872843</c:v>
                </c:pt>
                <c:pt idx="14">
                  <c:v>83.732020868297425</c:v>
                </c:pt>
                <c:pt idx="15">
                  <c:v>94.205353196800019</c:v>
                </c:pt>
                <c:pt idx="16">
                  <c:v>116.91519163064321</c:v>
                </c:pt>
                <c:pt idx="17">
                  <c:v>115.8093775949131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08-42C3-910D-9E8895118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010495"/>
        <c:axId val="1058010015"/>
      </c:scatterChart>
      <c:valAx>
        <c:axId val="10580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10015"/>
        <c:crosses val="autoZero"/>
        <c:crossBetween val="midCat"/>
      </c:valAx>
      <c:valAx>
        <c:axId val="105801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1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15246</xdr:rowOff>
    </xdr:from>
    <xdr:to>
      <xdr:col>12</xdr:col>
      <xdr:colOff>563880</xdr:colOff>
      <xdr:row>15</xdr:row>
      <xdr:rowOff>15246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57E163-86F5-7C6A-FAA8-0F2DC206A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7" workbookViewId="0">
      <selection activeCell="N2" sqref="N2"/>
    </sheetView>
  </sheetViews>
  <sheetFormatPr defaultRowHeight="14.4" x14ac:dyDescent="0.3"/>
  <cols>
    <col min="1" max="1" width="10.44140625" bestFit="1" customWidth="1"/>
    <col min="12" max="12" width="12" bestFit="1" customWidth="1"/>
    <col min="14" max="14" width="21.554687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4.2506089891706198</v>
      </c>
      <c r="C3">
        <v>1.5527418965385</v>
      </c>
      <c r="G3">
        <v>2.5139880075908798</v>
      </c>
      <c r="M3" t="s">
        <v>8</v>
      </c>
      <c r="N3">
        <v>37.391856812226592</v>
      </c>
    </row>
    <row r="4" spans="1:14" x14ac:dyDescent="0.3">
      <c r="A4" s="6" t="s">
        <v>9</v>
      </c>
      <c r="B4" s="6">
        <v>123.838668823242</v>
      </c>
      <c r="C4" s="6">
        <v>563.044921875</v>
      </c>
      <c r="D4" s="6">
        <f t="shared" ref="D4:D24" si="0">C4/B4</f>
        <v>4.5466002438918975</v>
      </c>
      <c r="E4" s="6">
        <f t="shared" ref="E4:E24" si="1">D4/$B$26</f>
        <v>7.8093442870008376</v>
      </c>
      <c r="F4" s="6">
        <f t="shared" ref="F4:F10" si="2">E4*$N$5</f>
        <v>82.777871117666308</v>
      </c>
      <c r="G4" s="6">
        <v>0</v>
      </c>
      <c r="H4" s="6">
        <f t="shared" ref="H4:H24" si="3">G4/B4</f>
        <v>0</v>
      </c>
      <c r="I4" s="6">
        <f t="shared" ref="I4:I21" si="4">H4/$B$27</f>
        <v>0</v>
      </c>
      <c r="J4" s="6">
        <f>I4*$N$5</f>
        <v>0</v>
      </c>
      <c r="K4" s="6">
        <f t="shared" ref="K4:K24" si="5">SUM(F4,J4)</f>
        <v>82.777871117666308</v>
      </c>
      <c r="L4">
        <f t="shared" ref="L4:L10" si="6">$N$4-J4</f>
        <v>127.6284385226883</v>
      </c>
      <c r="M4" t="s">
        <v>10</v>
      </c>
      <c r="N4">
        <v>127.6284385226883</v>
      </c>
    </row>
    <row r="5" spans="1:14" x14ac:dyDescent="0.3">
      <c r="A5" s="6" t="s">
        <v>11</v>
      </c>
      <c r="B5" s="6">
        <v>67.786689758300795</v>
      </c>
      <c r="C5" s="6">
        <v>467.44195556640602</v>
      </c>
      <c r="D5" s="6">
        <f t="shared" si="0"/>
        <v>6.8957778766467293</v>
      </c>
      <c r="E5" s="6">
        <f t="shared" si="1"/>
        <v>11.84434537383496</v>
      </c>
      <c r="F5" s="6">
        <f t="shared" si="2"/>
        <v>125.54827381096001</v>
      </c>
      <c r="G5" s="6">
        <v>6.7003154754638699</v>
      </c>
      <c r="H5" s="6">
        <f t="shared" si="3"/>
        <v>9.8844116733748377E-2</v>
      </c>
      <c r="I5" s="6">
        <f t="shared" si="4"/>
        <v>0.15704499004408717</v>
      </c>
      <c r="J5" s="6">
        <f>I5*$N$5</f>
        <v>1.6646531985001267</v>
      </c>
      <c r="K5" s="6">
        <f t="shared" si="5"/>
        <v>127.21292700946015</v>
      </c>
      <c r="L5">
        <f t="shared" si="6"/>
        <v>125.96378532418817</v>
      </c>
      <c r="M5" t="s">
        <v>1</v>
      </c>
      <c r="N5">
        <v>10.59984911351078</v>
      </c>
    </row>
    <row r="6" spans="1:14" x14ac:dyDescent="0.3">
      <c r="A6" s="6" t="s">
        <v>12</v>
      </c>
      <c r="B6" s="6">
        <v>75.205947875976605</v>
      </c>
      <c r="C6" s="6">
        <v>532.830078125</v>
      </c>
      <c r="D6" s="6">
        <f t="shared" si="0"/>
        <v>7.0849459806516775</v>
      </c>
      <c r="E6" s="6">
        <f t="shared" si="1"/>
        <v>12.169264824204159</v>
      </c>
      <c r="F6" s="6">
        <f t="shared" si="2"/>
        <v>128.99237095891837</v>
      </c>
      <c r="G6" s="6">
        <v>15.501766204834</v>
      </c>
      <c r="H6" s="6">
        <f t="shared" si="3"/>
        <v>0.20612420483547689</v>
      </c>
      <c r="I6" s="6">
        <f t="shared" si="4"/>
        <v>0.32749317577927722</v>
      </c>
      <c r="J6" s="6">
        <f>I6*$N$5</f>
        <v>3.4713782489648017</v>
      </c>
      <c r="K6" s="6">
        <f t="shared" si="5"/>
        <v>132.46374920788318</v>
      </c>
      <c r="L6">
        <f t="shared" si="6"/>
        <v>124.1570602737235</v>
      </c>
      <c r="N6">
        <v>0</v>
      </c>
    </row>
    <row r="7" spans="1:14" x14ac:dyDescent="0.3">
      <c r="A7" s="6" t="s">
        <v>13</v>
      </c>
      <c r="B7" s="6">
        <v>98.877876281738295</v>
      </c>
      <c r="C7" s="6">
        <v>667.885986328125</v>
      </c>
      <c r="D7" s="6">
        <f t="shared" si="0"/>
        <v>6.7546554542199093</v>
      </c>
      <c r="E7" s="6">
        <f t="shared" si="1"/>
        <v>11.601950282067836</v>
      </c>
      <c r="F7" s="6">
        <f t="shared" si="2"/>
        <v>122.9789224123729</v>
      </c>
      <c r="G7" s="6">
        <v>21.2259521484375</v>
      </c>
      <c r="H7" s="6">
        <f t="shared" si="3"/>
        <v>0.21466836613639639</v>
      </c>
      <c r="I7" s="6">
        <f t="shared" si="4"/>
        <v>0.34106826523100825</v>
      </c>
      <c r="J7" s="6">
        <f>I7*$N$5</f>
        <v>3.6152721488555626</v>
      </c>
      <c r="K7" s="6">
        <f t="shared" si="5"/>
        <v>126.59419456122846</v>
      </c>
      <c r="L7">
        <f t="shared" si="6"/>
        <v>124.01316637383273</v>
      </c>
    </row>
    <row r="8" spans="1:14" x14ac:dyDescent="0.3">
      <c r="A8" s="6" t="s">
        <v>14</v>
      </c>
      <c r="B8" s="6">
        <v>139.05364990234401</v>
      </c>
      <c r="C8" s="6">
        <v>1057.08203125</v>
      </c>
      <c r="D8" s="6">
        <f t="shared" si="0"/>
        <v>7.6019725623338772</v>
      </c>
      <c r="E8" s="6">
        <f t="shared" si="1"/>
        <v>13.057321474293818</v>
      </c>
      <c r="F8" s="6">
        <f t="shared" si="2"/>
        <v>138.40563745411859</v>
      </c>
      <c r="G8" s="6">
        <v>84.335304260253906</v>
      </c>
      <c r="H8" s="6">
        <f t="shared" si="3"/>
        <v>0.60649471854555237</v>
      </c>
      <c r="I8" s="6">
        <f t="shared" si="4"/>
        <v>0.96360775110510477</v>
      </c>
      <c r="J8" s="6">
        <f>I8*$N$5</f>
        <v>10.214096766323561</v>
      </c>
      <c r="K8" s="6">
        <f t="shared" si="5"/>
        <v>148.61973422044215</v>
      </c>
      <c r="L8">
        <f t="shared" si="6"/>
        <v>117.41434175636473</v>
      </c>
    </row>
    <row r="9" spans="1:14" x14ac:dyDescent="0.3">
      <c r="A9" s="6" t="s">
        <v>15</v>
      </c>
      <c r="B9" s="6">
        <v>161.84580993652401</v>
      </c>
      <c r="C9" s="6">
        <v>1137.00830078125</v>
      </c>
      <c r="D9" s="6">
        <f t="shared" si="0"/>
        <v>7.0252563302515219</v>
      </c>
      <c r="E9" s="6">
        <f t="shared" si="1"/>
        <v>12.066740519154083</v>
      </c>
      <c r="F9" s="6">
        <f t="shared" si="2"/>
        <v>127.90562879492002</v>
      </c>
      <c r="G9" s="6">
        <v>128.02403259277401</v>
      </c>
      <c r="H9" s="6">
        <f t="shared" si="3"/>
        <v>0.79102469593117719</v>
      </c>
      <c r="I9" s="6">
        <f t="shared" si="4"/>
        <v>1.2567916999224309</v>
      </c>
      <c r="J9" s="6">
        <f>I9*$N$12</f>
        <v>13.200932950194391</v>
      </c>
      <c r="K9" s="6">
        <f t="shared" si="5"/>
        <v>141.10656174511442</v>
      </c>
      <c r="L9">
        <f t="shared" si="6"/>
        <v>114.42750557249391</v>
      </c>
    </row>
    <row r="10" spans="1:14" x14ac:dyDescent="0.3">
      <c r="A10" s="6" t="s">
        <v>16</v>
      </c>
      <c r="B10" s="6">
        <v>174.16824340820301</v>
      </c>
      <c r="C10" s="6">
        <v>980.27886962890705</v>
      </c>
      <c r="D10" s="6">
        <f t="shared" si="0"/>
        <v>5.6283444699582796</v>
      </c>
      <c r="E10" s="6">
        <f t="shared" si="1"/>
        <v>9.6673728443116929</v>
      </c>
      <c r="F10" s="6">
        <f t="shared" si="2"/>
        <v>102.47269347375548</v>
      </c>
      <c r="G10" s="6">
        <v>272.53350830078199</v>
      </c>
      <c r="H10" s="6">
        <f t="shared" si="3"/>
        <v>1.5647715276202077</v>
      </c>
      <c r="I10" s="6">
        <f t="shared" si="4"/>
        <v>2.4861320743886388</v>
      </c>
      <c r="J10" s="6">
        <f>I10*$N$12</f>
        <v>26.113526069083459</v>
      </c>
      <c r="K10" s="6">
        <f t="shared" si="5"/>
        <v>128.58621954283893</v>
      </c>
      <c r="L10">
        <f t="shared" si="6"/>
        <v>101.51491245360484</v>
      </c>
      <c r="M10" t="s">
        <v>8</v>
      </c>
      <c r="N10">
        <v>113.7211422062643</v>
      </c>
    </row>
    <row r="11" spans="1:14" x14ac:dyDescent="0.3">
      <c r="A11" s="1" t="s">
        <v>17</v>
      </c>
      <c r="B11" s="1">
        <v>126.02594757080099</v>
      </c>
      <c r="C11" s="1">
        <v>767.18566894531295</v>
      </c>
      <c r="D11" s="1">
        <f t="shared" si="0"/>
        <v>6.0875215281703028</v>
      </c>
      <c r="E11" s="1">
        <f t="shared" si="1"/>
        <v>10.456065833339556</v>
      </c>
      <c r="F11" s="1">
        <f>E11*$N$12</f>
        <v>109.82712886889141</v>
      </c>
      <c r="G11" s="1">
        <v>215.79702758789099</v>
      </c>
      <c r="H11" s="1">
        <f t="shared" si="3"/>
        <v>1.7123221983048917</v>
      </c>
      <c r="I11" s="6">
        <f t="shared" si="4"/>
        <v>2.7205627554891856</v>
      </c>
      <c r="J11" s="1">
        <f>I11*$N$12</f>
        <v>28.575910012952377</v>
      </c>
      <c r="K11" s="1">
        <f t="shared" si="5"/>
        <v>138.40303888184377</v>
      </c>
      <c r="L11">
        <f>$N$11-J11</f>
        <v>97.894548759943419</v>
      </c>
      <c r="M11" t="s">
        <v>10</v>
      </c>
      <c r="N11">
        <v>126.4704587728958</v>
      </c>
    </row>
    <row r="12" spans="1:14" x14ac:dyDescent="0.3">
      <c r="A12" s="1" t="s">
        <v>18</v>
      </c>
      <c r="B12" s="1">
        <v>125.801651000977</v>
      </c>
      <c r="C12" s="1">
        <v>642.97515869140705</v>
      </c>
      <c r="D12" s="1">
        <f t="shared" si="0"/>
        <v>5.1110232145237395</v>
      </c>
      <c r="E12" s="1">
        <f t="shared" si="1"/>
        <v>8.7788100558634969</v>
      </c>
      <c r="F12" s="1">
        <f>E12*$N$12</f>
        <v>92.209777433363797</v>
      </c>
      <c r="G12" s="1">
        <v>266.19772338867199</v>
      </c>
      <c r="H12" s="1">
        <f t="shared" si="3"/>
        <v>2.116011366071854</v>
      </c>
      <c r="I12" s="6">
        <f t="shared" si="4"/>
        <v>3.3619500573114967</v>
      </c>
      <c r="J12" s="1">
        <f>I12*$N$12</f>
        <v>35.312834490560718</v>
      </c>
      <c r="K12" s="1">
        <f t="shared" si="5"/>
        <v>127.52261192392452</v>
      </c>
      <c r="L12">
        <f>$N$11-J12</f>
        <v>91.157624282335078</v>
      </c>
      <c r="M12" t="s">
        <v>1</v>
      </c>
      <c r="N12">
        <v>10.50367610719354</v>
      </c>
    </row>
    <row r="13" spans="1:14" x14ac:dyDescent="0.3">
      <c r="A13" s="1" t="s">
        <v>19</v>
      </c>
      <c r="B13" s="1">
        <v>227.68247985839901</v>
      </c>
      <c r="C13" s="1">
        <v>1124.96838378906</v>
      </c>
      <c r="D13" s="1">
        <f t="shared" si="0"/>
        <v>4.9409527886761593</v>
      </c>
      <c r="E13" s="1">
        <f t="shared" si="1"/>
        <v>8.4866932131160233</v>
      </c>
      <c r="F13" s="1">
        <f>E13*$N$12</f>
        <v>89.141476731688343</v>
      </c>
      <c r="G13" s="1">
        <v>570.22326660156295</v>
      </c>
      <c r="H13" s="1">
        <f t="shared" si="3"/>
        <v>2.504467040925582</v>
      </c>
      <c r="I13" s="6">
        <f t="shared" si="4"/>
        <v>3.9791341609875825</v>
      </c>
      <c r="J13" s="1">
        <f>I13*$N$12</f>
        <v>41.795536414082882</v>
      </c>
      <c r="K13" s="1">
        <f t="shared" si="5"/>
        <v>130.93701314577123</v>
      </c>
      <c r="L13">
        <f>$N$11-J13</f>
        <v>84.674922358812921</v>
      </c>
      <c r="M13" t="s">
        <v>20</v>
      </c>
      <c r="N13">
        <v>0</v>
      </c>
    </row>
    <row r="14" spans="1:14" x14ac:dyDescent="0.3">
      <c r="A14" s="2" t="s">
        <v>21</v>
      </c>
      <c r="B14" s="2">
        <v>134.73881530761699</v>
      </c>
      <c r="C14" s="2">
        <v>619.95770263671898</v>
      </c>
      <c r="D14" s="2">
        <f t="shared" si="0"/>
        <v>4.6011811905969147</v>
      </c>
      <c r="E14" s="2">
        <f t="shared" si="1"/>
        <v>7.9030937660544565</v>
      </c>
      <c r="F14" s="2">
        <f>E14*$N$20</f>
        <v>81.880290293819186</v>
      </c>
      <c r="G14" s="2">
        <v>351.353271484375</v>
      </c>
      <c r="H14" s="2">
        <f t="shared" si="3"/>
        <v>2.6076618729518581</v>
      </c>
      <c r="I14" s="6">
        <f t="shared" si="4"/>
        <v>4.143091631636258</v>
      </c>
      <c r="J14" s="2">
        <f>I14*$N$20</f>
        <v>42.924651478813324</v>
      </c>
      <c r="K14" s="2">
        <f t="shared" si="5"/>
        <v>124.8049417726325</v>
      </c>
      <c r="L14">
        <f>$N$19-J14</f>
        <v>81.822320228643378</v>
      </c>
    </row>
    <row r="15" spans="1:14" x14ac:dyDescent="0.3">
      <c r="A15" s="2" t="s">
        <v>22</v>
      </c>
      <c r="B15" s="2">
        <v>70.001358032226605</v>
      </c>
      <c r="C15" s="2">
        <v>280.54812622070301</v>
      </c>
      <c r="D15" s="2">
        <f t="shared" si="0"/>
        <v>4.0077526223355084</v>
      </c>
      <c r="E15" s="2">
        <f t="shared" si="1"/>
        <v>6.883807321084678</v>
      </c>
      <c r="F15" s="2">
        <f>E15*$N$20</f>
        <v>71.319936022792135</v>
      </c>
      <c r="G15" s="2">
        <v>225.80500793457099</v>
      </c>
      <c r="H15" s="2">
        <f t="shared" si="3"/>
        <v>3.2257232471206758</v>
      </c>
      <c r="I15" s="6">
        <f t="shared" si="4"/>
        <v>5.1250766557366996</v>
      </c>
      <c r="J15" s="2">
        <f>I15*$N$20</f>
        <v>53.09854302276608</v>
      </c>
      <c r="K15" s="2">
        <f t="shared" si="5"/>
        <v>124.41847904555821</v>
      </c>
      <c r="L15">
        <f>$N$19-J15</f>
        <v>71.648428684690614</v>
      </c>
    </row>
    <row r="16" spans="1:14" x14ac:dyDescent="0.3">
      <c r="A16" s="2" t="s">
        <v>23</v>
      </c>
      <c r="B16" s="2">
        <v>148.231048583985</v>
      </c>
      <c r="C16" s="2">
        <v>543.01690673828205</v>
      </c>
      <c r="D16" s="2">
        <f t="shared" si="0"/>
        <v>3.6633142106568761</v>
      </c>
      <c r="E16" s="2">
        <f t="shared" si="1"/>
        <v>6.2921920485346412</v>
      </c>
      <c r="F16" s="2">
        <f>E16*$N$20</f>
        <v>65.190484482343322</v>
      </c>
      <c r="G16" s="2">
        <v>553.64276123046898</v>
      </c>
      <c r="H16" s="2">
        <f t="shared" si="3"/>
        <v>3.7349986154674277</v>
      </c>
      <c r="I16" s="6">
        <f t="shared" si="4"/>
        <v>5.9342208698243271</v>
      </c>
      <c r="J16" s="2">
        <f>I16*$N$20</f>
        <v>61.481711070655166</v>
      </c>
      <c r="K16" s="2">
        <f t="shared" si="5"/>
        <v>126.67219555299849</v>
      </c>
      <c r="L16">
        <f>$N$19-J16</f>
        <v>63.265260636801528</v>
      </c>
    </row>
    <row r="17" spans="1:14" x14ac:dyDescent="0.3">
      <c r="A17" s="7" t="s">
        <v>24</v>
      </c>
      <c r="B17" s="7">
        <v>292.567962646485</v>
      </c>
      <c r="C17" s="7">
        <v>1021.97021484375</v>
      </c>
      <c r="D17" s="7">
        <f t="shared" si="0"/>
        <v>3.4931036385505223</v>
      </c>
      <c r="E17" s="7">
        <f t="shared" si="1"/>
        <v>5.9998344873763561</v>
      </c>
      <c r="F17" s="7">
        <f t="shared" ref="F17:F24" si="7">E17*$N$28</f>
        <v>61.057446729324468</v>
      </c>
      <c r="G17" s="7">
        <v>1105.72326660156</v>
      </c>
      <c r="H17" s="7">
        <f t="shared" si="3"/>
        <v>3.7793723434360609</v>
      </c>
      <c r="I17" s="6">
        <f t="shared" si="4"/>
        <v>6.0047225030760476</v>
      </c>
      <c r="J17" s="7">
        <f>I17*$N$28</f>
        <v>61.107189727872836</v>
      </c>
      <c r="K17" s="7">
        <f t="shared" si="5"/>
        <v>122.1646364571973</v>
      </c>
      <c r="L17">
        <f>$N$27-J17</f>
        <v>61.424138671860362</v>
      </c>
    </row>
    <row r="18" spans="1:14" x14ac:dyDescent="0.3">
      <c r="A18" s="7" t="s">
        <v>25</v>
      </c>
      <c r="B18" s="7">
        <v>155.73904418945301</v>
      </c>
      <c r="C18" s="7">
        <v>426.90866088867199</v>
      </c>
      <c r="D18" s="7">
        <f t="shared" si="0"/>
        <v>2.7411794075822584</v>
      </c>
      <c r="E18" s="7">
        <f t="shared" si="1"/>
        <v>4.7083122768503136</v>
      </c>
      <c r="F18" s="7">
        <f t="shared" si="7"/>
        <v>47.914242740139706</v>
      </c>
      <c r="G18" s="7">
        <v>774.312255859375</v>
      </c>
      <c r="H18" s="7">
        <f t="shared" si="3"/>
        <v>4.9718569925049865</v>
      </c>
      <c r="I18" s="6">
        <f t="shared" si="4"/>
        <v>7.8993596957499062</v>
      </c>
      <c r="J18" s="7">
        <f>I18*$N$28</f>
        <v>80.388006508148209</v>
      </c>
      <c r="K18" s="7">
        <f t="shared" si="5"/>
        <v>128.30224924828792</v>
      </c>
      <c r="L18">
        <f>$N$27-J18</f>
        <v>42.143321891584989</v>
      </c>
      <c r="M18" t="s">
        <v>8</v>
      </c>
      <c r="N18">
        <v>112.1713975499932</v>
      </c>
    </row>
    <row r="19" spans="1:14" x14ac:dyDescent="0.3">
      <c r="A19" s="7" t="s">
        <v>26</v>
      </c>
      <c r="B19" s="7">
        <v>185.49365234375</v>
      </c>
      <c r="C19" s="7">
        <v>433.79116821289102</v>
      </c>
      <c r="D19" s="7">
        <f t="shared" si="0"/>
        <v>2.3385768878441469</v>
      </c>
      <c r="E19" s="7">
        <f t="shared" si="1"/>
        <v>4.0167930055722119</v>
      </c>
      <c r="F19" s="7">
        <f t="shared" si="7"/>
        <v>40.876981769491294</v>
      </c>
      <c r="G19" s="7">
        <v>1037.60412597656</v>
      </c>
      <c r="H19" s="7">
        <f t="shared" si="3"/>
        <v>5.5937446530715258</v>
      </c>
      <c r="I19" s="6">
        <f t="shared" si="4"/>
        <v>8.8874239800945833</v>
      </c>
      <c r="J19" s="7">
        <f>I19*$N$28</f>
        <v>90.44306428240094</v>
      </c>
      <c r="K19" s="7">
        <f t="shared" si="5"/>
        <v>131.32004605189223</v>
      </c>
      <c r="L19">
        <f>$N$27-J19</f>
        <v>32.088264117332258</v>
      </c>
      <c r="M19" t="s">
        <v>10</v>
      </c>
      <c r="N19">
        <v>124.74697170745669</v>
      </c>
    </row>
    <row r="20" spans="1:14" x14ac:dyDescent="0.3">
      <c r="A20" s="7" t="s">
        <v>27</v>
      </c>
      <c r="B20" s="7">
        <v>87.644660949707102</v>
      </c>
      <c r="C20" s="7">
        <v>34.264408111572301</v>
      </c>
      <c r="D20" s="7">
        <f t="shared" si="0"/>
        <v>0.39094689556998974</v>
      </c>
      <c r="E20" s="7">
        <f t="shared" si="1"/>
        <v>0.67149930534178781</v>
      </c>
      <c r="F20" s="7">
        <f t="shared" si="7"/>
        <v>6.8335273499541707</v>
      </c>
      <c r="G20" s="7">
        <v>608.447998046875</v>
      </c>
      <c r="H20" s="7">
        <f t="shared" si="3"/>
        <v>6.9422140659089209</v>
      </c>
      <c r="I20" s="6">
        <f t="shared" si="4"/>
        <v>11.029892065314471</v>
      </c>
      <c r="J20" s="7">
        <f>I20*$N$28</f>
        <v>112.24593755462583</v>
      </c>
      <c r="K20" s="7">
        <f t="shared" si="5"/>
        <v>119.07946490457999</v>
      </c>
      <c r="L20">
        <f>$N$27-J20</f>
        <v>10.285390845107372</v>
      </c>
      <c r="M20" t="s">
        <v>1</v>
      </c>
      <c r="N20">
        <v>10.360536356725669</v>
      </c>
    </row>
    <row r="21" spans="1:14" x14ac:dyDescent="0.3">
      <c r="A21" s="7" t="s">
        <v>28</v>
      </c>
      <c r="B21" s="7">
        <v>385.43109130859398</v>
      </c>
      <c r="C21" s="7">
        <v>100.32447052002</v>
      </c>
      <c r="D21" s="7">
        <f t="shared" si="0"/>
        <v>0.26029158721836371</v>
      </c>
      <c r="E21" s="7">
        <f t="shared" si="1"/>
        <v>0.44708276746541248</v>
      </c>
      <c r="F21" s="7">
        <f t="shared" si="7"/>
        <v>4.5497475497953772</v>
      </c>
      <c r="G21" s="7">
        <v>2650.43725585938</v>
      </c>
      <c r="H21" s="7">
        <f t="shared" si="3"/>
        <v>6.8765528148255095</v>
      </c>
      <c r="I21" s="6">
        <f t="shared" si="4"/>
        <v>10.925568501470474</v>
      </c>
      <c r="J21" s="7">
        <f>I21*$N$28</f>
        <v>111.18428652818167</v>
      </c>
      <c r="K21" s="7">
        <f t="shared" si="5"/>
        <v>115.73403407797704</v>
      </c>
      <c r="L21">
        <f>$N$27-J21</f>
        <v>11.347041871551525</v>
      </c>
      <c r="M21" t="s">
        <v>20</v>
      </c>
      <c r="N21">
        <v>154.9412083940594</v>
      </c>
    </row>
    <row r="22" spans="1:14" x14ac:dyDescent="0.3">
      <c r="A22" t="s">
        <v>29</v>
      </c>
      <c r="B22">
        <v>378.18194580078102</v>
      </c>
      <c r="C22">
        <v>2353.90771484375</v>
      </c>
      <c r="D22">
        <f t="shared" si="0"/>
        <v>6.2242731071137474</v>
      </c>
      <c r="E22">
        <f t="shared" si="1"/>
        <v>10.690953464640559</v>
      </c>
      <c r="F22">
        <f t="shared" si="7"/>
        <v>108.79672148063231</v>
      </c>
      <c r="G22">
        <v>0</v>
      </c>
      <c r="H22">
        <f t="shared" si="3"/>
        <v>0</v>
      </c>
      <c r="I22">
        <f>H22*$N$28</f>
        <v>0</v>
      </c>
      <c r="J22">
        <f>I22*$N$5</f>
        <v>0</v>
      </c>
      <c r="K22">
        <f t="shared" si="5"/>
        <v>108.79672148063231</v>
      </c>
    </row>
    <row r="23" spans="1:14" x14ac:dyDescent="0.3">
      <c r="A23" t="s">
        <v>30</v>
      </c>
      <c r="B23">
        <v>129.26908874511699</v>
      </c>
      <c r="C23">
        <v>587.50189208984398</v>
      </c>
      <c r="D23">
        <f t="shared" si="0"/>
        <v>4.5447979698242928</v>
      </c>
      <c r="E23">
        <f t="shared" si="1"/>
        <v>7.8062486599523924</v>
      </c>
      <c r="F23">
        <f t="shared" si="7"/>
        <v>79.440460018310802</v>
      </c>
      <c r="G23">
        <v>0</v>
      </c>
      <c r="H23">
        <f t="shared" si="3"/>
        <v>0</v>
      </c>
      <c r="I23">
        <f>H23*$N$28</f>
        <v>0</v>
      </c>
      <c r="J23">
        <f>I23*$N$5</f>
        <v>0</v>
      </c>
      <c r="K23">
        <f t="shared" si="5"/>
        <v>79.440460018310802</v>
      </c>
    </row>
    <row r="24" spans="1:14" x14ac:dyDescent="0.3">
      <c r="A24" t="s">
        <v>31</v>
      </c>
      <c r="B24">
        <v>184.15913391113301</v>
      </c>
      <c r="C24">
        <v>431.91635131836</v>
      </c>
      <c r="D24">
        <f t="shared" si="0"/>
        <v>2.345343085327408</v>
      </c>
      <c r="E24">
        <f t="shared" si="1"/>
        <v>4.0284147807066351</v>
      </c>
      <c r="F24">
        <f t="shared" si="7"/>
        <v>40.995251018028597</v>
      </c>
      <c r="G24">
        <v>1032.69177246094</v>
      </c>
      <c r="H24">
        <f t="shared" si="3"/>
        <v>5.607605501442416</v>
      </c>
      <c r="I24">
        <f>H24*$N$28</f>
        <v>57.06591988558467</v>
      </c>
      <c r="J24">
        <f>I24*$N$5</f>
        <v>604.89014031089187</v>
      </c>
      <c r="K24">
        <f t="shared" si="5"/>
        <v>645.88539132892049</v>
      </c>
    </row>
    <row r="26" spans="1:14" x14ac:dyDescent="0.3">
      <c r="A26" t="s">
        <v>32</v>
      </c>
      <c r="B26">
        <v>0.58220000000000127</v>
      </c>
      <c r="M26" t="s">
        <v>8</v>
      </c>
      <c r="N26">
        <v>260.26281417003611</v>
      </c>
    </row>
    <row r="27" spans="1:14" x14ac:dyDescent="0.3">
      <c r="A27" t="s">
        <v>33</v>
      </c>
      <c r="B27">
        <v>0.6293999999999994</v>
      </c>
      <c r="M27" t="s">
        <v>10</v>
      </c>
      <c r="N27">
        <v>122.5313283997332</v>
      </c>
    </row>
    <row r="28" spans="1:14" x14ac:dyDescent="0.3">
      <c r="M28" t="s">
        <v>1</v>
      </c>
      <c r="N28">
        <v>10.17652184535911</v>
      </c>
    </row>
    <row r="29" spans="1:14" x14ac:dyDescent="0.3">
      <c r="M29" t="s">
        <v>20</v>
      </c>
      <c r="N29">
        <v>152.18928226094289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zoomScale="128" workbookViewId="0">
      <selection activeCell="F1" sqref="F1:F4"/>
    </sheetView>
  </sheetViews>
  <sheetFormatPr defaultColWidth="9.109375" defaultRowHeight="14.4" x14ac:dyDescent="0.3"/>
  <cols>
    <col min="1" max="1" width="9.109375" style="4" customWidth="1"/>
    <col min="2" max="2" width="14.109375" style="4" bestFit="1" customWidth="1"/>
    <col min="3" max="3" width="12.6640625" style="4" bestFit="1" customWidth="1"/>
    <col min="4" max="5" width="9.109375" style="4" customWidth="1"/>
    <col min="6" max="6" width="10.88671875" style="4" bestFit="1" customWidth="1"/>
    <col min="7" max="7" width="9.109375" style="4" customWidth="1"/>
    <col min="8" max="8" width="10.88671875" style="4" bestFit="1" customWidth="1"/>
    <col min="9" max="9" width="9.109375" style="4" customWidth="1"/>
    <col min="10" max="16384" width="9.109375" style="4"/>
  </cols>
  <sheetData>
    <row r="1" spans="1:8" ht="15" customHeight="1" x14ac:dyDescent="0.3">
      <c r="A1" s="5" t="s">
        <v>34</v>
      </c>
      <c r="B1" s="4">
        <v>45658.701203703713</v>
      </c>
      <c r="C1" s="3">
        <f t="shared" ref="C1:C25" si="0">(B1-$B$1)*86400/60</f>
        <v>0</v>
      </c>
      <c r="E1" s="4" t="s">
        <v>35</v>
      </c>
      <c r="F1" s="3">
        <f>C1</f>
        <v>0</v>
      </c>
      <c r="G1" s="4" t="s">
        <v>36</v>
      </c>
      <c r="H1" s="3">
        <f>C1</f>
        <v>0</v>
      </c>
    </row>
    <row r="2" spans="1:8" ht="15" customHeight="1" x14ac:dyDescent="0.3">
      <c r="A2" s="5" t="s">
        <v>37</v>
      </c>
      <c r="B2" s="4">
        <v>45659.353668981479</v>
      </c>
      <c r="C2" s="3">
        <f t="shared" si="0"/>
        <v>939.54999998328276</v>
      </c>
      <c r="E2" s="4" t="s">
        <v>38</v>
      </c>
      <c r="F2" s="3">
        <f>C2</f>
        <v>939.54999998328276</v>
      </c>
      <c r="G2" s="4" t="s">
        <v>39</v>
      </c>
      <c r="H2" s="3">
        <f t="shared" ref="H2:H7" si="1">C6</f>
        <v>33.549999984679744</v>
      </c>
    </row>
    <row r="3" spans="1:8" ht="15" customHeight="1" x14ac:dyDescent="0.3">
      <c r="A3" s="5" t="s">
        <v>40</v>
      </c>
      <c r="B3" s="4">
        <v>45659.465243055558</v>
      </c>
      <c r="C3" s="3">
        <f t="shared" si="0"/>
        <v>1100.2166666567791</v>
      </c>
      <c r="E3" s="4" t="s">
        <v>41</v>
      </c>
      <c r="F3" s="3">
        <f>C3</f>
        <v>1100.2166666567791</v>
      </c>
      <c r="G3" s="4" t="s">
        <v>42</v>
      </c>
      <c r="H3" s="3">
        <f t="shared" si="1"/>
        <v>61.783333306666464</v>
      </c>
    </row>
    <row r="4" spans="1:8" ht="15" customHeight="1" x14ac:dyDescent="0.3">
      <c r="A4" s="5" t="s">
        <v>43</v>
      </c>
      <c r="B4" s="4">
        <v>45659.703935185193</v>
      </c>
      <c r="C4" s="3">
        <f t="shared" si="0"/>
        <v>1443.9333333307877</v>
      </c>
      <c r="E4" s="4" t="s">
        <v>44</v>
      </c>
      <c r="F4" s="3">
        <f>C4</f>
        <v>1443.9333333307877</v>
      </c>
      <c r="G4" s="4" t="s">
        <v>45</v>
      </c>
      <c r="H4" s="3">
        <f t="shared" si="1"/>
        <v>63.650000001071021</v>
      </c>
    </row>
    <row r="5" spans="1:8" ht="15" customHeight="1" x14ac:dyDescent="0.3">
      <c r="A5" s="5" t="s">
        <v>46</v>
      </c>
      <c r="B5" s="4">
        <v>45658.682500000003</v>
      </c>
      <c r="C5" s="3">
        <f t="shared" si="0"/>
        <v>-26.933333342894912</v>
      </c>
      <c r="F5" s="3"/>
      <c r="G5" s="4" t="s">
        <v>47</v>
      </c>
      <c r="H5" s="3">
        <f t="shared" si="1"/>
        <v>272.96666665817611</v>
      </c>
    </row>
    <row r="6" spans="1:8" ht="15" customHeight="1" x14ac:dyDescent="0.3">
      <c r="A6" s="5" t="s">
        <v>48</v>
      </c>
      <c r="B6" s="4">
        <v>45658.724502314813</v>
      </c>
      <c r="C6" s="3">
        <f t="shared" si="0"/>
        <v>33.549999984679744</v>
      </c>
      <c r="F6" s="3"/>
      <c r="G6" s="4" t="s">
        <v>49</v>
      </c>
      <c r="H6" s="3">
        <f t="shared" si="1"/>
        <v>280.96666664234363</v>
      </c>
    </row>
    <row r="7" spans="1:8" ht="15" customHeight="1" x14ac:dyDescent="0.3">
      <c r="A7" s="5" t="s">
        <v>42</v>
      </c>
      <c r="B7" s="4">
        <v>45658.744108796287</v>
      </c>
      <c r="C7" s="3">
        <f t="shared" si="0"/>
        <v>61.783333306666464</v>
      </c>
      <c r="G7" s="4" t="s">
        <v>50</v>
      </c>
      <c r="H7" s="3">
        <f t="shared" si="1"/>
        <v>908.08333331602626</v>
      </c>
    </row>
    <row r="8" spans="1:8" ht="15" customHeight="1" x14ac:dyDescent="0.3">
      <c r="A8" s="5" t="s">
        <v>51</v>
      </c>
      <c r="B8" s="4">
        <v>45658.745405092603</v>
      </c>
      <c r="C8" s="3">
        <f t="shared" si="0"/>
        <v>63.650000001071021</v>
      </c>
      <c r="G8" s="4" t="s">
        <v>52</v>
      </c>
      <c r="H8" s="3">
        <f>C13</f>
        <v>944.39999999594875</v>
      </c>
    </row>
    <row r="9" spans="1:8" ht="15" customHeight="1" x14ac:dyDescent="0.3">
      <c r="A9" s="5" t="s">
        <v>53</v>
      </c>
      <c r="B9" s="4">
        <v>45658.890763888892</v>
      </c>
      <c r="C9" s="3">
        <f t="shared" si="0"/>
        <v>272.96666665817611</v>
      </c>
      <c r="G9" s="4" t="s">
        <v>54</v>
      </c>
      <c r="H9" s="3">
        <f>C14</f>
        <v>1016.0666666412726</v>
      </c>
    </row>
    <row r="10" spans="1:8" ht="15" customHeight="1" x14ac:dyDescent="0.3">
      <c r="A10" s="5" t="s">
        <v>55</v>
      </c>
      <c r="B10" s="4">
        <v>45658.896319444437</v>
      </c>
      <c r="C10" s="3">
        <f t="shared" si="0"/>
        <v>280.96666664234363</v>
      </c>
      <c r="G10" s="4" t="s">
        <v>56</v>
      </c>
      <c r="H10" s="3">
        <f>C15</f>
        <v>1087.5666666438337</v>
      </c>
    </row>
    <row r="11" spans="1:8" ht="15" customHeight="1" x14ac:dyDescent="0.3">
      <c r="A11" s="5" t="s">
        <v>57</v>
      </c>
      <c r="B11" s="4">
        <v>45659.331817129627</v>
      </c>
      <c r="C11" s="3">
        <f t="shared" si="0"/>
        <v>908.08333331602626</v>
      </c>
      <c r="G11" s="4" t="s">
        <v>58</v>
      </c>
      <c r="H11" s="3">
        <f>C17</f>
        <v>1103.4666666516569</v>
      </c>
    </row>
    <row r="12" spans="1:8" x14ac:dyDescent="0.3">
      <c r="C12" s="3">
        <f t="shared" si="0"/>
        <v>-65748529.733333349</v>
      </c>
      <c r="G12" s="4" t="s">
        <v>59</v>
      </c>
      <c r="H12" s="3">
        <f>C18</f>
        <v>1267.2499999974389</v>
      </c>
    </row>
    <row r="13" spans="1:8" ht="15" customHeight="1" x14ac:dyDescent="0.3">
      <c r="A13" s="5" t="s">
        <v>60</v>
      </c>
      <c r="B13" s="4">
        <v>45659.357037037043</v>
      </c>
      <c r="C13" s="3">
        <f t="shared" si="0"/>
        <v>944.39999999594875</v>
      </c>
      <c r="G13" s="4" t="s">
        <v>61</v>
      </c>
      <c r="H13" s="3">
        <f>C19</f>
        <v>1442.4333333258983</v>
      </c>
    </row>
    <row r="14" spans="1:8" ht="15" customHeight="1" x14ac:dyDescent="0.3">
      <c r="A14" s="5" t="s">
        <v>62</v>
      </c>
      <c r="B14" s="4">
        <v>45659.406805555547</v>
      </c>
      <c r="C14" s="3">
        <f t="shared" si="0"/>
        <v>1016.0666666412726</v>
      </c>
      <c r="G14" s="4" t="s">
        <v>63</v>
      </c>
      <c r="H14" s="3">
        <f>C21</f>
        <v>1445.5166666465811</v>
      </c>
    </row>
    <row r="15" spans="1:8" ht="15" customHeight="1" x14ac:dyDescent="0.3">
      <c r="A15" s="5" t="s">
        <v>64</v>
      </c>
      <c r="B15" s="4">
        <v>45659.456458333327</v>
      </c>
      <c r="C15" s="3">
        <f t="shared" si="0"/>
        <v>1087.5666666438337</v>
      </c>
      <c r="G15" s="4" t="s">
        <v>65</v>
      </c>
      <c r="H15" s="3">
        <f>C22</f>
        <v>1550.3499999898486</v>
      </c>
    </row>
    <row r="16" spans="1:8" x14ac:dyDescent="0.3">
      <c r="C16" s="3">
        <f t="shared" si="0"/>
        <v>-65748529.733333349</v>
      </c>
      <c r="G16" s="4" t="s">
        <v>66</v>
      </c>
      <c r="H16" s="3">
        <f>C23</f>
        <v>1616.9166666583624</v>
      </c>
    </row>
    <row r="17" spans="1:8" ht="15" customHeight="1" x14ac:dyDescent="0.3">
      <c r="A17" s="5" t="s">
        <v>67</v>
      </c>
      <c r="B17" s="4">
        <v>45659.467499999999</v>
      </c>
      <c r="C17" s="3">
        <f t="shared" si="0"/>
        <v>1103.4666666516569</v>
      </c>
      <c r="G17" s="4" t="s">
        <v>68</v>
      </c>
      <c r="H17" s="3">
        <f>C24</f>
        <v>2427.0166666503064</v>
      </c>
    </row>
    <row r="18" spans="1:8" ht="15" customHeight="1" x14ac:dyDescent="0.3">
      <c r="A18" s="5" t="s">
        <v>69</v>
      </c>
      <c r="B18" s="4">
        <v>45659.581238425933</v>
      </c>
      <c r="C18" s="3">
        <f t="shared" si="0"/>
        <v>1267.2499999974389</v>
      </c>
      <c r="G18" s="4" t="s">
        <v>70</v>
      </c>
      <c r="H18" s="3">
        <f>C25</f>
        <v>2442.4833333073184</v>
      </c>
    </row>
    <row r="19" spans="1:8" ht="15" customHeight="1" x14ac:dyDescent="0.3">
      <c r="A19" s="5" t="s">
        <v>71</v>
      </c>
      <c r="B19" s="4">
        <v>45659.702893518523</v>
      </c>
      <c r="C19" s="3">
        <f t="shared" si="0"/>
        <v>1442.4333333258983</v>
      </c>
    </row>
    <row r="20" spans="1:8" x14ac:dyDescent="0.3">
      <c r="C20" s="3">
        <f t="shared" si="0"/>
        <v>-65748529.733333349</v>
      </c>
    </row>
    <row r="21" spans="1:8" ht="15" customHeight="1" x14ac:dyDescent="0.3">
      <c r="A21" s="5" t="s">
        <v>72</v>
      </c>
      <c r="B21" s="4">
        <v>45659.705034722218</v>
      </c>
      <c r="C21" s="3">
        <f t="shared" si="0"/>
        <v>1445.5166666465811</v>
      </c>
    </row>
    <row r="22" spans="1:8" ht="15" customHeight="1" x14ac:dyDescent="0.3">
      <c r="A22" s="5" t="s">
        <v>73</v>
      </c>
      <c r="B22" s="4">
        <v>45659.77783564815</v>
      </c>
      <c r="C22" s="3">
        <f t="shared" si="0"/>
        <v>1550.3499999898486</v>
      </c>
    </row>
    <row r="23" spans="1:8" ht="15" customHeight="1" x14ac:dyDescent="0.3">
      <c r="A23" s="5" t="s">
        <v>74</v>
      </c>
      <c r="B23" s="4">
        <v>45659.824062500003</v>
      </c>
      <c r="C23" s="3">
        <f t="shared" si="0"/>
        <v>1616.9166666583624</v>
      </c>
    </row>
    <row r="24" spans="1:8" ht="15" customHeight="1" x14ac:dyDescent="0.3">
      <c r="A24" s="5" t="s">
        <v>75</v>
      </c>
      <c r="B24" s="4">
        <v>45660.386631944442</v>
      </c>
      <c r="C24" s="3">
        <f t="shared" si="0"/>
        <v>2427.0166666503064</v>
      </c>
    </row>
    <row r="25" spans="1:8" ht="15" customHeight="1" x14ac:dyDescent="0.3">
      <c r="A25" s="5" t="s">
        <v>76</v>
      </c>
      <c r="B25" s="4">
        <v>45660.397372685176</v>
      </c>
      <c r="C25" s="3">
        <f t="shared" si="0"/>
        <v>2442.4833333073184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selection activeCell="N8" sqref="N8"/>
    </sheetView>
  </sheetViews>
  <sheetFormatPr defaultRowHeight="14.4" x14ac:dyDescent="0.3"/>
  <cols>
    <col min="4" max="4" width="11" bestFit="1" customWidth="1"/>
  </cols>
  <sheetData>
    <row r="1" spans="1:5" x14ac:dyDescent="0.3">
      <c r="A1" t="s">
        <v>77</v>
      </c>
      <c r="B1" t="s">
        <v>78</v>
      </c>
      <c r="C1" t="s">
        <v>79</v>
      </c>
    </row>
    <row r="2" spans="1:5" x14ac:dyDescent="0.3">
      <c r="A2">
        <v>0</v>
      </c>
      <c r="B2">
        <f>$E$3-C2</f>
        <v>122.5128139838359</v>
      </c>
      <c r="C2">
        <v>0</v>
      </c>
      <c r="E2">
        <v>35.893110118495947</v>
      </c>
    </row>
    <row r="3" spans="1:5" x14ac:dyDescent="0.3">
      <c r="A3">
        <v>33.549999995157123</v>
      </c>
      <c r="B3">
        <f>$E$3-C3</f>
        <v>120.84816078533576</v>
      </c>
      <c r="C3">
        <v>1.6646531985001269</v>
      </c>
      <c r="E3">
        <v>122.5128139838359</v>
      </c>
    </row>
    <row r="4" spans="1:5" x14ac:dyDescent="0.3">
      <c r="A4">
        <v>61.783333327621222</v>
      </c>
      <c r="B4">
        <f>$E$3-C4</f>
        <v>119.0414357348711</v>
      </c>
      <c r="C4">
        <v>3.4713782489648022</v>
      </c>
      <c r="E4">
        <v>10.174984178541211</v>
      </c>
    </row>
    <row r="5" spans="1:5" x14ac:dyDescent="0.3">
      <c r="A5">
        <v>63.650000001071021</v>
      </c>
      <c r="B5">
        <f>$E$3-C5</f>
        <v>118.89754183498033</v>
      </c>
      <c r="C5">
        <v>3.615272148855563</v>
      </c>
      <c r="E5">
        <v>0</v>
      </c>
    </row>
    <row r="6" spans="1:5" x14ac:dyDescent="0.3">
      <c r="A6">
        <v>272.96666666865349</v>
      </c>
      <c r="B6">
        <f>$E$3-C6</f>
        <v>112.29871721751233</v>
      </c>
      <c r="C6">
        <v>10.214096766323561</v>
      </c>
    </row>
    <row r="7" spans="1:5" x14ac:dyDescent="0.3">
      <c r="A7">
        <v>280.96666666329838</v>
      </c>
      <c r="B7">
        <f>$E$3-C7</f>
        <v>109.31188103364151</v>
      </c>
      <c r="C7">
        <v>13.200932950194391</v>
      </c>
    </row>
    <row r="8" spans="1:5" x14ac:dyDescent="0.3">
      <c r="A8">
        <v>908.08333332650363</v>
      </c>
      <c r="B8">
        <f>$E$3-C8</f>
        <v>96.399287914752449</v>
      </c>
      <c r="C8">
        <v>26.113526069083449</v>
      </c>
    </row>
    <row r="9" spans="1:5" x14ac:dyDescent="0.3">
      <c r="A9">
        <v>944.39999999594875</v>
      </c>
      <c r="B9">
        <f>$E$10-C9</f>
        <v>92.869504333173523</v>
      </c>
      <c r="C9">
        <v>28.57591001295237</v>
      </c>
      <c r="E9">
        <v>109.2026657383671</v>
      </c>
    </row>
    <row r="10" spans="1:5" x14ac:dyDescent="0.3">
      <c r="A10">
        <v>1016.066666662227</v>
      </c>
      <c r="B10">
        <f>$E$10-C10</f>
        <v>86.613808547854177</v>
      </c>
      <c r="C10">
        <v>34.831605798271717</v>
      </c>
      <c r="E10">
        <v>121.4454143461259</v>
      </c>
    </row>
    <row r="11" spans="1:5" x14ac:dyDescent="0.3">
      <c r="A11">
        <v>1087.566666664788</v>
      </c>
      <c r="B11">
        <f>$E$10-C11</f>
        <v>80.219450202924946</v>
      </c>
      <c r="C11">
        <v>41.225964143200947</v>
      </c>
      <c r="E11">
        <v>10.086334068624449</v>
      </c>
    </row>
    <row r="12" spans="1:5" x14ac:dyDescent="0.3">
      <c r="A12">
        <v>1103.466666662134</v>
      </c>
      <c r="B12">
        <f>$E$18-C12</f>
        <v>76.930652383440673</v>
      </c>
      <c r="C12">
        <v>42.924651478813331</v>
      </c>
      <c r="E12">
        <v>0</v>
      </c>
    </row>
    <row r="13" spans="1:5" x14ac:dyDescent="0.3">
      <c r="A13">
        <v>1267.2499999974391</v>
      </c>
      <c r="B13">
        <f>$E$18-C13</f>
        <v>67.699849316009463</v>
      </c>
      <c r="C13">
        <v>52.155454546244542</v>
      </c>
    </row>
    <row r="14" spans="1:5" x14ac:dyDescent="0.3">
      <c r="A14">
        <v>1442.433333325898</v>
      </c>
      <c r="B14">
        <f>$E$18-C14</f>
        <v>59.465575545300787</v>
      </c>
      <c r="C14">
        <v>60.389728316953217</v>
      </c>
    </row>
    <row r="15" spans="1:5" x14ac:dyDescent="0.3">
      <c r="A15">
        <v>1445.5166666675359</v>
      </c>
      <c r="B15">
        <f>$E$26-C15</f>
        <v>56.701401308562758</v>
      </c>
      <c r="C15">
        <v>61.107189727872843</v>
      </c>
    </row>
    <row r="16" spans="1:5" x14ac:dyDescent="0.3">
      <c r="A16">
        <v>1550.350000000326</v>
      </c>
      <c r="B16">
        <f>$E$26-C16</f>
        <v>34.076570168138176</v>
      </c>
      <c r="C16">
        <v>83.732020868297425</v>
      </c>
    </row>
    <row r="17" spans="1:5" x14ac:dyDescent="0.3">
      <c r="A17">
        <v>1616.91666666884</v>
      </c>
      <c r="B17">
        <f>$E$26-C17</f>
        <v>23.603237839635582</v>
      </c>
      <c r="C17">
        <v>94.205353196800019</v>
      </c>
      <c r="E17">
        <v>107.7728521501617</v>
      </c>
    </row>
    <row r="18" spans="1:5" x14ac:dyDescent="0.3">
      <c r="A18">
        <v>2427.0166666607838</v>
      </c>
      <c r="B18">
        <f>$E$26-C18</f>
        <v>0.89339940579239396</v>
      </c>
      <c r="C18">
        <v>116.91519163064321</v>
      </c>
      <c r="E18">
        <v>119.855303862254</v>
      </c>
    </row>
    <row r="19" spans="1:5" x14ac:dyDescent="0.3">
      <c r="A19">
        <v>2442.4833333282731</v>
      </c>
      <c r="B19">
        <f>$E$26-C19</f>
        <v>1.9992134415224996</v>
      </c>
      <c r="C19">
        <v>115.8093775949131</v>
      </c>
      <c r="E19">
        <v>9.9542715643898827</v>
      </c>
    </row>
    <row r="20" spans="1:5" x14ac:dyDescent="0.3">
      <c r="E20">
        <v>148.8655424550459</v>
      </c>
    </row>
    <row r="25" spans="1:5" x14ac:dyDescent="0.3">
      <c r="E25">
        <v>250.23147824304809</v>
      </c>
    </row>
    <row r="26" spans="1:5" x14ac:dyDescent="0.3">
      <c r="E26">
        <v>117.8085910364356</v>
      </c>
    </row>
    <row r="27" spans="1:5" x14ac:dyDescent="0.3">
      <c r="E27">
        <v>9.7842871362837123</v>
      </c>
    </row>
    <row r="28" spans="1:5" x14ac:dyDescent="0.3">
      <c r="E28">
        <v>146.32343538721591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C4_E7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2025-02-19T12:22:13Z</dcterms:created>
  <dcterms:modified xsi:type="dcterms:W3CDTF">2026-01-12T11:20:59Z</dcterms:modified>
</cp:coreProperties>
</file>
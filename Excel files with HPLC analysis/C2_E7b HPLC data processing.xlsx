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5" documentId="11_D48C8546981B5065FD9C25914BE9FF08A2976AB9" xr6:coauthVersionLast="47" xr6:coauthVersionMax="47" xr10:uidLastSave="{426F5D59-A907-4070-BF06-6FA2D09E9438}"/>
  <bookViews>
    <workbookView xWindow="39825" yWindow="4470" windowWidth="17280" windowHeight="8880" firstSheet="1" activeTab="2" xr2:uid="{00000000-000D-0000-FFFF-FFFF00000000}"/>
  </bookViews>
  <sheets>
    <sheet name="C2_E7b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G8" i="2" s="1"/>
  <c r="G13" i="2"/>
  <c r="C13" i="2"/>
  <c r="G12" i="2"/>
  <c r="C12" i="2"/>
  <c r="G7" i="2" s="1"/>
  <c r="G11" i="2"/>
  <c r="C11" i="2"/>
  <c r="G6" i="2" s="1"/>
  <c r="G10" i="2"/>
  <c r="C10" i="2"/>
  <c r="G5" i="2" s="1"/>
  <c r="G9" i="2"/>
  <c r="C9" i="2"/>
  <c r="C8" i="2"/>
  <c r="C7" i="2"/>
  <c r="C6" i="2"/>
  <c r="G2" i="2" s="1"/>
  <c r="C5" i="2"/>
  <c r="J4" i="2"/>
  <c r="G4" i="2"/>
  <c r="C4" i="2"/>
  <c r="G3" i="2"/>
  <c r="C3" i="2"/>
  <c r="J3" i="2" s="1"/>
  <c r="J2" i="2"/>
  <c r="C2" i="2"/>
  <c r="G1" i="2"/>
  <c r="C1" i="2"/>
  <c r="J1" i="2" s="1"/>
  <c r="H16" i="1"/>
  <c r="I16" i="1" s="1"/>
  <c r="J16" i="1" s="1"/>
  <c r="K16" i="1" s="1"/>
  <c r="F16" i="1"/>
  <c r="L16" i="1" s="1"/>
  <c r="E16" i="1"/>
  <c r="D16" i="1"/>
  <c r="H15" i="1"/>
  <c r="I15" i="1" s="1"/>
  <c r="J15" i="1" s="1"/>
  <c r="K15" i="1" s="1"/>
  <c r="E15" i="1"/>
  <c r="F15" i="1" s="1"/>
  <c r="L15" i="1" s="1"/>
  <c r="D15" i="1"/>
  <c r="H14" i="1"/>
  <c r="I14" i="1" s="1"/>
  <c r="J14" i="1" s="1"/>
  <c r="K14" i="1" s="1"/>
  <c r="D14" i="1"/>
  <c r="E14" i="1" s="1"/>
  <c r="F14" i="1" s="1"/>
  <c r="L14" i="1" s="1"/>
  <c r="H13" i="1"/>
  <c r="I13" i="1" s="1"/>
  <c r="J13" i="1" s="1"/>
  <c r="K13" i="1" s="1"/>
  <c r="E13" i="1"/>
  <c r="F13" i="1" s="1"/>
  <c r="L13" i="1" s="1"/>
  <c r="D13" i="1"/>
  <c r="H12" i="1"/>
  <c r="I12" i="1" s="1"/>
  <c r="J12" i="1" s="1"/>
  <c r="K12" i="1" s="1"/>
  <c r="D12" i="1"/>
  <c r="E12" i="1" s="1"/>
  <c r="F12" i="1" s="1"/>
  <c r="L12" i="1" s="1"/>
  <c r="H11" i="1"/>
  <c r="I11" i="1" s="1"/>
  <c r="J11" i="1" s="1"/>
  <c r="K11" i="1" s="1"/>
  <c r="E11" i="1"/>
  <c r="F11" i="1" s="1"/>
  <c r="L11" i="1" s="1"/>
  <c r="D11" i="1"/>
  <c r="H10" i="1"/>
  <c r="I10" i="1" s="1"/>
  <c r="J10" i="1" s="1"/>
  <c r="K10" i="1" s="1"/>
  <c r="D10" i="1"/>
  <c r="E10" i="1" s="1"/>
  <c r="F10" i="1" s="1"/>
  <c r="H9" i="1"/>
  <c r="I9" i="1" s="1"/>
  <c r="J9" i="1" s="1"/>
  <c r="K9" i="1" s="1"/>
  <c r="E9" i="1"/>
  <c r="F9" i="1" s="1"/>
  <c r="D9" i="1"/>
  <c r="H8" i="1"/>
  <c r="I8" i="1" s="1"/>
  <c r="J8" i="1" s="1"/>
  <c r="K8" i="1" s="1"/>
  <c r="D8" i="1"/>
  <c r="E8" i="1" s="1"/>
  <c r="F8" i="1" s="1"/>
  <c r="L8" i="1" s="1"/>
  <c r="H7" i="1"/>
  <c r="I7" i="1" s="1"/>
  <c r="J7" i="1" s="1"/>
  <c r="K7" i="1" s="1"/>
  <c r="E7" i="1"/>
  <c r="F7" i="1" s="1"/>
  <c r="L7" i="1" s="1"/>
  <c r="D7" i="1"/>
  <c r="H6" i="1"/>
  <c r="I6" i="1" s="1"/>
  <c r="J6" i="1" s="1"/>
  <c r="K6" i="1" s="1"/>
  <c r="D6" i="1"/>
  <c r="E6" i="1" s="1"/>
  <c r="F6" i="1" s="1"/>
  <c r="L6" i="1" s="1"/>
  <c r="H5" i="1"/>
  <c r="I5" i="1" s="1"/>
  <c r="J5" i="1" s="1"/>
  <c r="K5" i="1" s="1"/>
  <c r="E5" i="1"/>
  <c r="F5" i="1" s="1"/>
  <c r="L5" i="1" s="1"/>
  <c r="D5" i="1"/>
  <c r="H4" i="1"/>
  <c r="I4" i="1" s="1"/>
  <c r="J4" i="1" s="1"/>
  <c r="K4" i="1" s="1"/>
  <c r="D4" i="1"/>
  <c r="E4" i="1" s="1"/>
  <c r="F4" i="1" s="1"/>
  <c r="L4" i="1" l="1"/>
  <c r="L9" i="1"/>
  <c r="L10" i="1"/>
</calcChain>
</file>

<file path=xl/sharedStrings.xml><?xml version="1.0" encoding="utf-8"?>
<sst xmlns="http://schemas.openxmlformats.org/spreadsheetml/2006/main" count="79" uniqueCount="63">
  <si>
    <t>filename</t>
  </si>
  <si>
    <t>Biphenyl</t>
  </si>
  <si>
    <t>4-NO2-ArOPh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</si>
  <si>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</si>
  <si>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</si>
  <si>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</si>
  <si>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</si>
  <si>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</si>
  <si>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</si>
  <si>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C2_E7b-S02</t>
  </si>
  <si>
    <t>Ar-NO2-Oph</t>
  </si>
  <si>
    <t>C2_E7b-S1</t>
  </si>
  <si>
    <t>C2_E7b-S2</t>
  </si>
  <si>
    <t>C2_E7b-S3</t>
  </si>
  <si>
    <t>C2_E7b-S4</t>
  </si>
  <si>
    <t>C2_E7b-S5</t>
  </si>
  <si>
    <t>C2_E7b-S6</t>
  </si>
  <si>
    <t>C2_E7b-S7</t>
  </si>
  <si>
    <t>C2_E7b-S8</t>
  </si>
  <si>
    <t>C2_E7b-S9</t>
  </si>
  <si>
    <t>Phenol</t>
  </si>
  <si>
    <t>C2_E7b-S10</t>
  </si>
  <si>
    <t>C2_E7b-S11</t>
  </si>
  <si>
    <t>C2_E7b-S12</t>
  </si>
  <si>
    <t>CC 4NO2-ArOPh 254 nm</t>
  </si>
  <si>
    <t>CC Product 254 nm</t>
  </si>
  <si>
    <t>SUM</t>
  </si>
  <si>
    <t>V1:</t>
  </si>
  <si>
    <t>S0</t>
  </si>
  <si>
    <t>V1</t>
  </si>
  <si>
    <t>V2:</t>
  </si>
  <si>
    <t>S1</t>
  </si>
  <si>
    <t>V2</t>
  </si>
  <si>
    <t>Phenol:</t>
  </si>
  <si>
    <t>S2</t>
  </si>
  <si>
    <t>V3</t>
  </si>
  <si>
    <t>V3:</t>
  </si>
  <si>
    <t>S3</t>
  </si>
  <si>
    <t>V4</t>
  </si>
  <si>
    <t>Start:</t>
  </si>
  <si>
    <t>S4</t>
  </si>
  <si>
    <t>S1:</t>
  </si>
  <si>
    <t>S5</t>
  </si>
  <si>
    <t>S6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</si>
  <si>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</si>
  <si>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</si>
  <si>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</si>
  <si>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</si>
  <si>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</si>
  <si>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</si>
  <si>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</si>
  <si>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</si>
  <si>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</si>
  <si>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S12</t>
  </si>
  <si>
    <t>S7:</t>
  </si>
  <si>
    <t>S8:</t>
  </si>
  <si>
    <t>S9:</t>
  </si>
  <si>
    <t>S10:</t>
  </si>
  <si>
    <t>S11:</t>
  </si>
  <si>
    <t>S12:</t>
  </si>
  <si>
    <t>Time / min</t>
  </si>
  <si>
    <t>4NO2ArOPh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</si>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</sst>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ourier New"/>
      <family val="3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4NO2ArOPh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1.866666666666585</c:v>
                </c:pt>
                <c:pt idx="2">
                  <c:v>4.4166666666666652</c:v>
                </c:pt>
                <c:pt idx="3">
                  <c:v>7.3999999999998778</c:v>
                </c:pt>
                <c:pt idx="4">
                  <c:v>9.06666666666659</c:v>
                </c:pt>
                <c:pt idx="5">
                  <c:v>10.01666666666658</c:v>
                </c:pt>
                <c:pt idx="6">
                  <c:v>10.94999999999995</c:v>
                </c:pt>
                <c:pt idx="7">
                  <c:v>12.99999999999995</c:v>
                </c:pt>
                <c:pt idx="8">
                  <c:v>16.249999999999979</c:v>
                </c:pt>
                <c:pt idx="9">
                  <c:v>18.266666666666591</c:v>
                </c:pt>
                <c:pt idx="10">
                  <c:v>20.550000000000011</c:v>
                </c:pt>
                <c:pt idx="11">
                  <c:v>21.600000000000019</c:v>
                </c:pt>
                <c:pt idx="12">
                  <c:v>26.849999999999881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140.90347421048301</c:v>
                </c:pt>
                <c:pt idx="1">
                  <c:v>123.3493582925602</c:v>
                </c:pt>
                <c:pt idx="2">
                  <c:v>116.1820087783742</c:v>
                </c:pt>
                <c:pt idx="3">
                  <c:v>111.4432736685893</c:v>
                </c:pt>
                <c:pt idx="4">
                  <c:v>85.187456417547665</c:v>
                </c:pt>
                <c:pt idx="5">
                  <c:v>71.454078166909198</c:v>
                </c:pt>
                <c:pt idx="6">
                  <c:v>66.254586556427711</c:v>
                </c:pt>
                <c:pt idx="7">
                  <c:v>60.481022481567578</c:v>
                </c:pt>
                <c:pt idx="8">
                  <c:v>53.019923253384128</c:v>
                </c:pt>
                <c:pt idx="9">
                  <c:v>51.816803888298807</c:v>
                </c:pt>
                <c:pt idx="10">
                  <c:v>18.83505893293416</c:v>
                </c:pt>
                <c:pt idx="11">
                  <c:v>8.4066000081593639</c:v>
                </c:pt>
                <c:pt idx="12">
                  <c:v>0.47382722137396321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7-40C3-A96B-3A1F6312F8B0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1.866666666666585</c:v>
                </c:pt>
                <c:pt idx="2">
                  <c:v>4.4166666666666652</c:v>
                </c:pt>
                <c:pt idx="3">
                  <c:v>7.3999999999998778</c:v>
                </c:pt>
                <c:pt idx="4">
                  <c:v>9.06666666666659</c:v>
                </c:pt>
                <c:pt idx="5">
                  <c:v>10.01666666666658</c:v>
                </c:pt>
                <c:pt idx="6">
                  <c:v>10.94999999999995</c:v>
                </c:pt>
                <c:pt idx="7">
                  <c:v>12.99999999999995</c:v>
                </c:pt>
                <c:pt idx="8">
                  <c:v>16.249999999999979</c:v>
                </c:pt>
                <c:pt idx="9">
                  <c:v>18.266666666666591</c:v>
                </c:pt>
                <c:pt idx="10">
                  <c:v>20.550000000000011</c:v>
                </c:pt>
                <c:pt idx="11">
                  <c:v>21.600000000000019</c:v>
                </c:pt>
                <c:pt idx="12">
                  <c:v>26.849999999999881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17.554115917922829</c:v>
                </c:pt>
                <c:pt idx="2">
                  <c:v>24.721465432108861</c:v>
                </c:pt>
                <c:pt idx="3">
                  <c:v>29.460200541893659</c:v>
                </c:pt>
                <c:pt idx="4">
                  <c:v>54.581355462967423</c:v>
                </c:pt>
                <c:pt idx="5">
                  <c:v>68.314733713605847</c:v>
                </c:pt>
                <c:pt idx="6">
                  <c:v>73.514225324087363</c:v>
                </c:pt>
                <c:pt idx="7">
                  <c:v>77.494174495339578</c:v>
                </c:pt>
                <c:pt idx="8">
                  <c:v>84.955273723523007</c:v>
                </c:pt>
                <c:pt idx="9">
                  <c:v>86.158393088608349</c:v>
                </c:pt>
                <c:pt idx="10">
                  <c:v>116.907414888251</c:v>
                </c:pt>
                <c:pt idx="11">
                  <c:v>127.3358738130258</c:v>
                </c:pt>
                <c:pt idx="12">
                  <c:v>135.26864659981121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7-40C3-A96B-3A1F6312F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479199"/>
        <c:axId val="1606488319"/>
      </c:scatterChart>
      <c:valAx>
        <c:axId val="160647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488319"/>
        <c:crosses val="autoZero"/>
        <c:crossBetween val="midCat"/>
      </c:valAx>
      <c:valAx>
        <c:axId val="16064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479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104781</xdr:rowOff>
    </xdr:from>
    <xdr:to>
      <xdr:col>11</xdr:col>
      <xdr:colOff>9525</xdr:colOff>
      <xdr:row>15</xdr:row>
      <xdr:rowOff>131451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BB46F7-3B06-4118-E3F7-B6EDC3A7A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N1" sqref="N1"/>
    </sheetView>
  </sheetViews>
  <sheetFormatPr defaultRowHeight="14.4" x14ac:dyDescent="0.3"/>
  <cols>
    <col min="1" max="1" width="10.5546875" bestFit="1" customWidth="1"/>
    <col min="2" max="2" width="12.6640625" bestFit="1" customWidth="1"/>
    <col min="4" max="5" width="12" bestFit="1" customWidth="1"/>
    <col min="9" max="9" width="14.44140625" bestFit="1" customWidth="1"/>
    <col min="13" max="13" width="14.6640625" bestFit="1" customWidth="1"/>
    <col min="14" max="14" width="23.441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5.9850193772997198</v>
      </c>
      <c r="C3">
        <v>3.6860792977469301</v>
      </c>
      <c r="G3">
        <v>6.5644921234675797</v>
      </c>
      <c r="M3" t="s">
        <v>8</v>
      </c>
      <c r="N3">
        <v>33.910187914663567</v>
      </c>
    </row>
    <row r="4" spans="1:14" x14ac:dyDescent="0.3">
      <c r="A4" t="s">
        <v>9</v>
      </c>
      <c r="B4" s="1">
        <v>236.91578999999999</v>
      </c>
      <c r="C4">
        <v>1589.5</v>
      </c>
      <c r="D4">
        <f t="shared" ref="D4:D16" si="0">C4/B4</f>
        <v>6.7091349208932005</v>
      </c>
      <c r="E4">
        <f t="shared" ref="E4:E16" si="1">D4/$B$19</f>
        <v>10.487939535552915</v>
      </c>
      <c r="F4">
        <f>E4*$N$5</f>
        <v>141.1181622264331</v>
      </c>
      <c r="G4">
        <v>0</v>
      </c>
      <c r="H4">
        <f t="shared" ref="H4:H16" si="2">G4/B4</f>
        <v>0</v>
      </c>
      <c r="I4">
        <f t="shared" ref="I4:I16" si="3">H4/$B$20</f>
        <v>0</v>
      </c>
      <c r="J4">
        <f t="shared" ref="J4:J16" si="4">I4</f>
        <v>0</v>
      </c>
      <c r="K4" s="5">
        <f>J4*$N$5</f>
        <v>0</v>
      </c>
      <c r="L4">
        <f t="shared" ref="L4:L16" si="5">SUM(F4,K4)</f>
        <v>141.1181622264331</v>
      </c>
      <c r="M4" t="s">
        <v>10</v>
      </c>
      <c r="N4">
        <v>140.90347421048301</v>
      </c>
    </row>
    <row r="5" spans="1:14" x14ac:dyDescent="0.3">
      <c r="A5" t="s">
        <v>11</v>
      </c>
      <c r="B5">
        <v>913.72484999999995</v>
      </c>
      <c r="C5">
        <v>5391.8125</v>
      </c>
      <c r="D5">
        <f t="shared" si="0"/>
        <v>5.9009148104049052</v>
      </c>
      <c r="E5">
        <f t="shared" si="1"/>
        <v>9.2245033772157328</v>
      </c>
      <c r="F5">
        <f>E5*$N$5</f>
        <v>124.11827505597675</v>
      </c>
      <c r="G5">
        <v>548.17181000000005</v>
      </c>
      <c r="H5">
        <f t="shared" si="2"/>
        <v>0.59993094201170083</v>
      </c>
      <c r="I5">
        <f t="shared" si="3"/>
        <v>1.3127591728921244</v>
      </c>
      <c r="J5">
        <f t="shared" si="4"/>
        <v>1.3127591728921244</v>
      </c>
      <c r="K5" s="5">
        <f>J5*$N$5</f>
        <v>17.663542137751513</v>
      </c>
      <c r="L5">
        <f t="shared" si="5"/>
        <v>141.78181719372827</v>
      </c>
      <c r="M5" t="s">
        <v>1</v>
      </c>
      <c r="N5">
        <v>13.455279919192771</v>
      </c>
    </row>
    <row r="6" spans="1:14" x14ac:dyDescent="0.3">
      <c r="A6" t="s">
        <v>12</v>
      </c>
      <c r="B6" s="1">
        <v>231.10823099999999</v>
      </c>
      <c r="C6">
        <v>1284.72790527344</v>
      </c>
      <c r="D6">
        <f t="shared" si="0"/>
        <v>5.5589880971112624</v>
      </c>
      <c r="E6">
        <f t="shared" si="1"/>
        <v>8.6899923356436801</v>
      </c>
      <c r="F6">
        <f>E6*$N$12</f>
        <v>115.98469971707324</v>
      </c>
      <c r="G6" s="1">
        <v>193.72020000000001</v>
      </c>
      <c r="H6">
        <f t="shared" si="2"/>
        <v>0.83822284979542772</v>
      </c>
      <c r="I6">
        <f t="shared" si="3"/>
        <v>1.8341856669484193</v>
      </c>
      <c r="J6">
        <f t="shared" si="4"/>
        <v>1.8341856669484193</v>
      </c>
      <c r="K6" s="5">
        <f>J6*$N$5</f>
        <v>24.679481572562267</v>
      </c>
      <c r="L6">
        <f t="shared" si="5"/>
        <v>140.66418128963551</v>
      </c>
    </row>
    <row r="7" spans="1:14" x14ac:dyDescent="0.3">
      <c r="A7" t="s">
        <v>13</v>
      </c>
      <c r="B7">
        <v>732.36877441406295</v>
      </c>
      <c r="C7">
        <v>3920.09619140625</v>
      </c>
      <c r="D7">
        <f t="shared" si="0"/>
        <v>5.3526260653897371</v>
      </c>
      <c r="E7">
        <f t="shared" si="1"/>
        <v>8.3674004461305866</v>
      </c>
      <c r="F7">
        <f>E7*$N$12</f>
        <v>111.6790890800107</v>
      </c>
      <c r="G7" s="1">
        <v>734.35656700000004</v>
      </c>
      <c r="H7">
        <f t="shared" si="2"/>
        <v>1.0027141962565613</v>
      </c>
      <c r="I7">
        <f t="shared" si="3"/>
        <v>2.1941229677386462</v>
      </c>
      <c r="J7">
        <f t="shared" si="4"/>
        <v>2.1941229677386462</v>
      </c>
      <c r="K7" s="5">
        <f>J7*$N$5</f>
        <v>29.522538708053453</v>
      </c>
      <c r="L7">
        <f t="shared" si="5"/>
        <v>141.20162778806414</v>
      </c>
    </row>
    <row r="8" spans="1:14" x14ac:dyDescent="0.3">
      <c r="A8" t="s">
        <v>14</v>
      </c>
      <c r="B8">
        <v>197.76268005371099</v>
      </c>
      <c r="C8">
        <v>803.15167236328102</v>
      </c>
      <c r="D8">
        <f t="shared" si="0"/>
        <v>4.0611892605073443</v>
      </c>
      <c r="E8">
        <f t="shared" si="1"/>
        <v>6.3485841183482004</v>
      </c>
      <c r="F8">
        <f>E8*$N$12</f>
        <v>84.734093443898828</v>
      </c>
      <c r="G8">
        <v>367.62588500976602</v>
      </c>
      <c r="H8">
        <f t="shared" si="2"/>
        <v>1.8589244690146864</v>
      </c>
      <c r="I8">
        <f t="shared" si="3"/>
        <v>4.0676684223516117</v>
      </c>
      <c r="J8">
        <f t="shared" si="4"/>
        <v>4.0676684223516117</v>
      </c>
      <c r="K8" s="6">
        <f>J8*$N$12</f>
        <v>54.290876480977559</v>
      </c>
      <c r="L8">
        <f t="shared" si="5"/>
        <v>139.02496992487639</v>
      </c>
    </row>
    <row r="9" spans="1:14" x14ac:dyDescent="0.3">
      <c r="A9" t="s">
        <v>15</v>
      </c>
      <c r="B9">
        <v>797.21148681640705</v>
      </c>
      <c r="C9">
        <v>2749.97045898438</v>
      </c>
      <c r="D9">
        <f t="shared" si="0"/>
        <v>3.4494867478216373</v>
      </c>
      <c r="E9">
        <f t="shared" si="1"/>
        <v>5.3923507078656199</v>
      </c>
      <c r="F9">
        <f>E9*$N$20</f>
        <v>71.047727029590504</v>
      </c>
      <c r="G9">
        <v>1854.15478515625</v>
      </c>
      <c r="H9">
        <f t="shared" si="2"/>
        <v>2.3258003877498701</v>
      </c>
      <c r="I9">
        <f t="shared" si="3"/>
        <v>5.089278747811532</v>
      </c>
      <c r="J9">
        <f t="shared" si="4"/>
        <v>5.089278747811532</v>
      </c>
      <c r="K9" s="6">
        <f>J9*$N$12</f>
        <v>67.926235667695821</v>
      </c>
      <c r="L9">
        <f t="shared" si="5"/>
        <v>138.97396269728631</v>
      </c>
    </row>
    <row r="10" spans="1:14" x14ac:dyDescent="0.3">
      <c r="A10" t="s">
        <v>16</v>
      </c>
      <c r="B10">
        <v>545.69201660156295</v>
      </c>
      <c r="C10">
        <v>1740.537109375</v>
      </c>
      <c r="D10">
        <f t="shared" si="0"/>
        <v>3.1895960659542748</v>
      </c>
      <c r="E10">
        <f t="shared" si="1"/>
        <v>4.9860810785591285</v>
      </c>
      <c r="F10">
        <f>E10*$N$20</f>
        <v>65.694860480818576</v>
      </c>
      <c r="G10">
        <v>1361.9755859375</v>
      </c>
      <c r="H10">
        <f t="shared" si="2"/>
        <v>2.4958686301103548</v>
      </c>
      <c r="I10">
        <f t="shared" si="3"/>
        <v>5.4614193219044962</v>
      </c>
      <c r="J10">
        <f t="shared" si="4"/>
        <v>5.4614193219044962</v>
      </c>
      <c r="K10" s="6">
        <f>J10*$N$12</f>
        <v>72.893169017184732</v>
      </c>
      <c r="L10">
        <f t="shared" si="5"/>
        <v>138.58802949800332</v>
      </c>
      <c r="M10" t="s">
        <v>8</v>
      </c>
      <c r="N10">
        <v>101.68406354373219</v>
      </c>
    </row>
    <row r="11" spans="1:14" x14ac:dyDescent="0.3">
      <c r="A11" t="s">
        <v>17</v>
      </c>
      <c r="B11">
        <v>419.31701660156301</v>
      </c>
      <c r="C11">
        <v>1241.56774902344</v>
      </c>
      <c r="D11">
        <f t="shared" si="0"/>
        <v>2.9609286050109991</v>
      </c>
      <c r="E11">
        <f t="shared" si="1"/>
        <v>4.6286206112412049</v>
      </c>
      <c r="F11">
        <f>E11*$N$20</f>
        <v>60.98508638010432</v>
      </c>
      <c r="G11">
        <v>1136.47583007813</v>
      </c>
      <c r="H11">
        <f t="shared" si="2"/>
        <v>2.7103021940032894</v>
      </c>
      <c r="I11">
        <f t="shared" si="3"/>
        <v>5.9306393741866286</v>
      </c>
      <c r="J11">
        <f t="shared" si="4"/>
        <v>5.9306393741866286</v>
      </c>
      <c r="K11" s="7">
        <f>J11*$N$20</f>
        <v>78.140030238302799</v>
      </c>
      <c r="L11">
        <f t="shared" si="5"/>
        <v>139.12511661840711</v>
      </c>
      <c r="M11" t="s">
        <v>10</v>
      </c>
      <c r="N11">
        <v>139.7688118805151</v>
      </c>
    </row>
    <row r="12" spans="1:14" x14ac:dyDescent="0.3">
      <c r="A12" t="s">
        <v>18</v>
      </c>
      <c r="B12">
        <v>581.37890625</v>
      </c>
      <c r="C12">
        <v>1536.34985351563</v>
      </c>
      <c r="D12">
        <f t="shared" si="0"/>
        <v>2.642596483978696</v>
      </c>
      <c r="E12">
        <f t="shared" si="1"/>
        <v>4.1309934093773579</v>
      </c>
      <c r="F12">
        <f>E12*$N$28</f>
        <v>53.547758664092925</v>
      </c>
      <c r="G12">
        <v>1730.19860839844</v>
      </c>
      <c r="H12">
        <f t="shared" si="2"/>
        <v>2.9760257721741863</v>
      </c>
      <c r="I12">
        <f t="shared" si="3"/>
        <v>6.5120914051951555</v>
      </c>
      <c r="J12">
        <f t="shared" si="4"/>
        <v>6.5120914051951555</v>
      </c>
      <c r="K12" s="7">
        <f>J12*$N$20</f>
        <v>85.801038844370694</v>
      </c>
      <c r="L12">
        <f t="shared" si="5"/>
        <v>139.34879750846363</v>
      </c>
      <c r="M12" t="s">
        <v>1</v>
      </c>
      <c r="N12">
        <v>13.34692773448598</v>
      </c>
    </row>
    <row r="13" spans="1:14" x14ac:dyDescent="0.3">
      <c r="A13" t="s">
        <v>19</v>
      </c>
      <c r="B13">
        <v>762.954345703125</v>
      </c>
      <c r="C13">
        <v>1952.7060546875</v>
      </c>
      <c r="D13">
        <f t="shared" si="0"/>
        <v>2.5594009204940318</v>
      </c>
      <c r="E13">
        <f t="shared" si="1"/>
        <v>4.0009393786056462</v>
      </c>
      <c r="F13">
        <f>E13*$N$28</f>
        <v>51.861940953213107</v>
      </c>
      <c r="G13">
        <v>2282.0146484375</v>
      </c>
      <c r="H13">
        <f t="shared" si="2"/>
        <v>2.9910238552143462</v>
      </c>
      <c r="I13">
        <f t="shared" si="3"/>
        <v>6.5449099676462712</v>
      </c>
      <c r="J13">
        <f t="shared" si="4"/>
        <v>6.5449099676462712</v>
      </c>
      <c r="K13" s="7">
        <f>J13*$N$20</f>
        <v>86.233444745405535</v>
      </c>
      <c r="L13">
        <f t="shared" si="5"/>
        <v>138.09538569861866</v>
      </c>
      <c r="M13" t="s">
        <v>20</v>
      </c>
      <c r="N13">
        <v>0</v>
      </c>
    </row>
    <row r="14" spans="1:14" x14ac:dyDescent="0.3">
      <c r="A14" t="s">
        <v>21</v>
      </c>
      <c r="B14">
        <v>349.68899536132801</v>
      </c>
      <c r="C14">
        <v>326.64117431640699</v>
      </c>
      <c r="D14">
        <f t="shared" si="0"/>
        <v>0.93409051657142916</v>
      </c>
      <c r="E14">
        <f t="shared" si="1"/>
        <v>1.4602009013153496</v>
      </c>
      <c r="F14">
        <f>E14*$N$28</f>
        <v>18.927768145849097</v>
      </c>
      <c r="G14">
        <v>1448.39111328125</v>
      </c>
      <c r="H14">
        <f t="shared" si="2"/>
        <v>4.1419407887990607</v>
      </c>
      <c r="I14">
        <f t="shared" si="3"/>
        <v>9.0633277654246402</v>
      </c>
      <c r="J14">
        <f t="shared" si="4"/>
        <v>9.0633277654246402</v>
      </c>
      <c r="K14" s="8">
        <f>J14*$N$28</f>
        <v>117.48285213306139</v>
      </c>
      <c r="L14">
        <f t="shared" si="5"/>
        <v>136.41062027891047</v>
      </c>
    </row>
    <row r="15" spans="1:14" x14ac:dyDescent="0.3">
      <c r="A15" t="s">
        <v>22</v>
      </c>
      <c r="B15">
        <v>1083.91418457031</v>
      </c>
      <c r="C15">
        <v>451.89685058593801</v>
      </c>
      <c r="D15">
        <f t="shared" si="0"/>
        <v>0.41691201851471382</v>
      </c>
      <c r="E15">
        <f t="shared" si="1"/>
        <v>0.65173052761405936</v>
      </c>
      <c r="F15">
        <f>E15*$N$28</f>
        <v>8.4480185631571096</v>
      </c>
      <c r="G15">
        <v>4890.0078125</v>
      </c>
      <c r="H15">
        <f t="shared" si="2"/>
        <v>4.5114344678850369</v>
      </c>
      <c r="I15">
        <f t="shared" si="3"/>
        <v>9.8718478509519407</v>
      </c>
      <c r="J15">
        <f t="shared" si="4"/>
        <v>9.8718478509519407</v>
      </c>
      <c r="K15" s="8">
        <f>J15*$N$28</f>
        <v>127.96324610236893</v>
      </c>
      <c r="L15">
        <f t="shared" si="5"/>
        <v>136.41126466552603</v>
      </c>
    </row>
    <row r="16" spans="1:14" x14ac:dyDescent="0.3">
      <c r="A16" t="s">
        <v>23</v>
      </c>
      <c r="B16">
        <v>1056.07421875</v>
      </c>
      <c r="C16">
        <v>23.767328262329102</v>
      </c>
      <c r="D16">
        <f t="shared" si="0"/>
        <v>2.2505357900376357E-2</v>
      </c>
      <c r="E16">
        <f t="shared" si="1"/>
        <v>3.5181112865993992E-2</v>
      </c>
      <c r="F16">
        <f>E16*$N$5</f>
        <v>0.47337172148066337</v>
      </c>
      <c r="G16">
        <v>5031.5673828125</v>
      </c>
      <c r="H16">
        <f t="shared" si="2"/>
        <v>4.7644069834107006</v>
      </c>
      <c r="I16">
        <f t="shared" si="3"/>
        <v>10.425398213152517</v>
      </c>
      <c r="J16">
        <f t="shared" si="4"/>
        <v>10.425398213152517</v>
      </c>
      <c r="K16" s="8">
        <f>J16*$N$28</f>
        <v>135.13861005629141</v>
      </c>
      <c r="L16">
        <f t="shared" si="5"/>
        <v>135.61198177777209</v>
      </c>
    </row>
    <row r="18" spans="1:14" x14ac:dyDescent="0.3">
      <c r="M18" t="s">
        <v>8</v>
      </c>
      <c r="N18">
        <v>100.3791797904999</v>
      </c>
    </row>
    <row r="19" spans="1:14" x14ac:dyDescent="0.3">
      <c r="A19" t="s">
        <v>24</v>
      </c>
      <c r="B19">
        <v>0.63970000000000005</v>
      </c>
      <c r="M19" t="s">
        <v>10</v>
      </c>
      <c r="N19">
        <v>137.97519697690711</v>
      </c>
    </row>
    <row r="20" spans="1:14" x14ac:dyDescent="0.3">
      <c r="A20" t="s">
        <v>25</v>
      </c>
      <c r="B20">
        <v>0.45700000000000002</v>
      </c>
      <c r="M20" t="s">
        <v>1</v>
      </c>
      <c r="N20">
        <v>13.17565026435611</v>
      </c>
    </row>
    <row r="21" spans="1:14" x14ac:dyDescent="0.3">
      <c r="M21" t="s">
        <v>20</v>
      </c>
      <c r="N21">
        <v>145.9039114473882</v>
      </c>
    </row>
    <row r="22" spans="1:14" x14ac:dyDescent="0.3">
      <c r="M22" t="s">
        <v>26</v>
      </c>
    </row>
    <row r="26" spans="1:14" x14ac:dyDescent="0.3">
      <c r="M26" t="s">
        <v>8</v>
      </c>
      <c r="N26">
        <v>235.49546224980861</v>
      </c>
    </row>
    <row r="27" spans="1:14" x14ac:dyDescent="0.3">
      <c r="M27" t="s">
        <v>10</v>
      </c>
      <c r="N27">
        <v>135.7424738211852</v>
      </c>
    </row>
    <row r="28" spans="1:14" x14ac:dyDescent="0.3">
      <c r="M28" t="s">
        <v>1</v>
      </c>
      <c r="N28">
        <v>12.96244107834679</v>
      </c>
    </row>
    <row r="29" spans="1:14" x14ac:dyDescent="0.3">
      <c r="M29" t="s">
        <v>20</v>
      </c>
      <c r="N29">
        <v>143.54288534460599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zoomScale="69" workbookViewId="0">
      <selection activeCell="G1" sqref="G1:G13"/>
    </sheetView>
  </sheetViews>
  <sheetFormatPr defaultRowHeight="14.4" x14ac:dyDescent="0.3"/>
  <sheetData>
    <row r="1" spans="1:10" ht="15" customHeight="1" x14ac:dyDescent="0.3">
      <c r="A1" s="2" t="s">
        <v>27</v>
      </c>
      <c r="B1" s="3">
        <v>0.68277777777777782</v>
      </c>
      <c r="C1" s="4">
        <f t="shared" ref="C1:C20" si="0">(B1-$B$1)*86400/60</f>
        <v>0</v>
      </c>
      <c r="F1" t="s">
        <v>28</v>
      </c>
      <c r="G1" s="4">
        <f>C1</f>
        <v>0</v>
      </c>
      <c r="I1" t="s">
        <v>29</v>
      </c>
      <c r="J1" s="4">
        <f>C1</f>
        <v>0</v>
      </c>
    </row>
    <row r="2" spans="1:10" ht="15" customHeight="1" x14ac:dyDescent="0.3">
      <c r="A2" s="2" t="s">
        <v>30</v>
      </c>
      <c r="B2" s="3">
        <v>0.68835648148148143</v>
      </c>
      <c r="C2" s="4">
        <f t="shared" si="0"/>
        <v>8.0333333333332035</v>
      </c>
      <c r="F2" t="s">
        <v>31</v>
      </c>
      <c r="G2" s="4">
        <f>C6</f>
        <v>1.8666666666665854</v>
      </c>
      <c r="I2" t="s">
        <v>32</v>
      </c>
      <c r="J2" s="4">
        <f>C2</f>
        <v>8.0333333333332035</v>
      </c>
    </row>
    <row r="3" spans="1:10" ht="15" customHeight="1" x14ac:dyDescent="0.3">
      <c r="A3" s="2" t="s">
        <v>33</v>
      </c>
      <c r="B3" s="3">
        <v>0.69120370370370365</v>
      </c>
      <c r="C3" s="4">
        <f t="shared" si="0"/>
        <v>12.133333333333205</v>
      </c>
      <c r="F3" t="s">
        <v>34</v>
      </c>
      <c r="G3" s="4">
        <f>C7</f>
        <v>4.4166666666666652</v>
      </c>
      <c r="I3" t="s">
        <v>35</v>
      </c>
      <c r="J3" s="4">
        <f>C3</f>
        <v>12.133333333333205</v>
      </c>
    </row>
    <row r="4" spans="1:10" ht="15" customHeight="1" x14ac:dyDescent="0.3">
      <c r="A4" s="2" t="s">
        <v>36</v>
      </c>
      <c r="B4" s="3">
        <v>0.69645833333333329</v>
      </c>
      <c r="C4" s="4">
        <f t="shared" si="0"/>
        <v>19.699999999999882</v>
      </c>
      <c r="F4" t="s">
        <v>37</v>
      </c>
      <c r="G4" s="4">
        <f>C8</f>
        <v>7.3999999999998778</v>
      </c>
      <c r="I4" t="s">
        <v>38</v>
      </c>
      <c r="J4" s="4">
        <f>C4</f>
        <v>19.699999999999882</v>
      </c>
    </row>
    <row r="5" spans="1:10" ht="15" customHeight="1" x14ac:dyDescent="0.3">
      <c r="A5" s="2" t="s">
        <v>39</v>
      </c>
      <c r="B5" s="3">
        <v>0.67112268518518514</v>
      </c>
      <c r="C5" s="4">
        <f t="shared" si="0"/>
        <v>-16.783333333333452</v>
      </c>
      <c r="F5" t="s">
        <v>40</v>
      </c>
      <c r="G5" s="4">
        <f>C10</f>
        <v>9.06666666666659</v>
      </c>
    </row>
    <row r="6" spans="1:10" ht="15" customHeight="1" x14ac:dyDescent="0.3">
      <c r="A6" s="2" t="s">
        <v>41</v>
      </c>
      <c r="B6" s="3">
        <v>0.68407407407407406</v>
      </c>
      <c r="C6" s="4">
        <f t="shared" si="0"/>
        <v>1.8666666666665854</v>
      </c>
      <c r="F6" t="s">
        <v>42</v>
      </c>
      <c r="G6" s="4">
        <f>C11</f>
        <v>10.016666666666579</v>
      </c>
    </row>
    <row r="7" spans="1:10" ht="15" customHeight="1" x14ac:dyDescent="0.3">
      <c r="A7" s="2" t="s">
        <v>34</v>
      </c>
      <c r="B7" s="3">
        <v>0.68584490740740744</v>
      </c>
      <c r="C7" s="4">
        <f t="shared" si="0"/>
        <v>4.4166666666666652</v>
      </c>
      <c r="F7" t="s">
        <v>43</v>
      </c>
      <c r="G7" s="4">
        <f>C12</f>
        <v>10.949999999999953</v>
      </c>
    </row>
    <row r="8" spans="1:10" ht="15" customHeight="1" x14ac:dyDescent="0.3">
      <c r="A8" s="2" t="s">
        <v>44</v>
      </c>
      <c r="B8" s="3">
        <v>0.68791666666666662</v>
      </c>
      <c r="C8" s="4">
        <f t="shared" si="0"/>
        <v>7.3999999999998778</v>
      </c>
      <c r="F8" t="s">
        <v>45</v>
      </c>
      <c r="G8" s="4">
        <f>C14</f>
        <v>12.999999999999954</v>
      </c>
    </row>
    <row r="9" spans="1:10" x14ac:dyDescent="0.3">
      <c r="C9" s="4">
        <f t="shared" si="0"/>
        <v>-983.2</v>
      </c>
      <c r="F9" t="s">
        <v>46</v>
      </c>
      <c r="G9" s="4">
        <f>C15</f>
        <v>16.249999999999982</v>
      </c>
    </row>
    <row r="10" spans="1:10" ht="15" customHeight="1" x14ac:dyDescent="0.3">
      <c r="A10" s="2" t="s">
        <v>47</v>
      </c>
      <c r="B10" s="3">
        <v>0.68907407407407406</v>
      </c>
      <c r="C10" s="4">
        <f t="shared" si="0"/>
        <v>9.06666666666659</v>
      </c>
      <c r="F10" t="s">
        <v>48</v>
      </c>
      <c r="G10" s="4">
        <f>C16</f>
        <v>18.266666666666591</v>
      </c>
    </row>
    <row r="11" spans="1:10" ht="15" customHeight="1" x14ac:dyDescent="0.3">
      <c r="A11" s="2" t="s">
        <v>49</v>
      </c>
      <c r="B11" s="3">
        <v>0.68973379629629628</v>
      </c>
      <c r="C11" s="4">
        <f t="shared" si="0"/>
        <v>10.016666666666579</v>
      </c>
      <c r="F11" t="s">
        <v>50</v>
      </c>
      <c r="G11" s="4">
        <f>C18</f>
        <v>20.550000000000015</v>
      </c>
    </row>
    <row r="12" spans="1:10" ht="15" customHeight="1" x14ac:dyDescent="0.3">
      <c r="A12" s="2" t="s">
        <v>51</v>
      </c>
      <c r="B12" s="3">
        <v>0.69038194444444445</v>
      </c>
      <c r="C12" s="4">
        <f t="shared" si="0"/>
        <v>10.949999999999953</v>
      </c>
      <c r="F12" t="s">
        <v>52</v>
      </c>
      <c r="G12" s="4">
        <f>C19</f>
        <v>21.600000000000019</v>
      </c>
    </row>
    <row r="13" spans="1:10" x14ac:dyDescent="0.3">
      <c r="C13" s="4">
        <f t="shared" si="0"/>
        <v>-983.2</v>
      </c>
      <c r="F13" t="s">
        <v>53</v>
      </c>
      <c r="G13" s="4">
        <f>C20</f>
        <v>26.849999999999877</v>
      </c>
    </row>
    <row r="14" spans="1:10" ht="15" customHeight="1" x14ac:dyDescent="0.3">
      <c r="A14" s="2" t="s">
        <v>54</v>
      </c>
      <c r="B14" s="3">
        <v>0.69180555555555556</v>
      </c>
      <c r="C14" s="4">
        <f t="shared" si="0"/>
        <v>12.999999999999954</v>
      </c>
    </row>
    <row r="15" spans="1:10" ht="15" customHeight="1" x14ac:dyDescent="0.3">
      <c r="A15" s="2" t="s">
        <v>55</v>
      </c>
      <c r="B15" s="3">
        <v>0.69406250000000003</v>
      </c>
      <c r="C15" s="4">
        <f t="shared" si="0"/>
        <v>16.249999999999982</v>
      </c>
    </row>
    <row r="16" spans="1:10" ht="15" customHeight="1" x14ac:dyDescent="0.3">
      <c r="A16" s="2" t="s">
        <v>56</v>
      </c>
      <c r="B16" s="3">
        <v>0.69546296296296295</v>
      </c>
      <c r="C16" s="4">
        <f t="shared" si="0"/>
        <v>18.266666666666591</v>
      </c>
    </row>
    <row r="17" spans="1:3" x14ac:dyDescent="0.3">
      <c r="C17" s="4">
        <f t="shared" si="0"/>
        <v>-983.2</v>
      </c>
    </row>
    <row r="18" spans="1:3" ht="15" customHeight="1" x14ac:dyDescent="0.3">
      <c r="A18" s="2" t="s">
        <v>57</v>
      </c>
      <c r="B18" s="3">
        <v>0.69704861111111116</v>
      </c>
      <c r="C18" s="4">
        <f t="shared" si="0"/>
        <v>20.550000000000015</v>
      </c>
    </row>
    <row r="19" spans="1:3" ht="15" customHeight="1" x14ac:dyDescent="0.3">
      <c r="A19" s="2" t="s">
        <v>58</v>
      </c>
      <c r="B19" s="3">
        <v>0.69777777777777783</v>
      </c>
      <c r="C19" s="4">
        <f t="shared" si="0"/>
        <v>21.600000000000019</v>
      </c>
    </row>
    <row r="20" spans="1:3" ht="15" customHeight="1" x14ac:dyDescent="0.3">
      <c r="A20" s="2" t="s">
        <v>59</v>
      </c>
      <c r="B20" s="3">
        <v>0.70142361111111107</v>
      </c>
      <c r="C20" s="4">
        <f t="shared" si="0"/>
        <v>26.849999999999877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L4" sqref="L4"/>
    </sheetView>
  </sheetViews>
  <sheetFormatPr defaultRowHeight="14.4" x14ac:dyDescent="0.3"/>
  <sheetData>
    <row r="1" spans="1:4" x14ac:dyDescent="0.3">
      <c r="A1" t="s">
        <v>60</v>
      </c>
      <c r="B1" t="s">
        <v>61</v>
      </c>
      <c r="C1" t="s">
        <v>5</v>
      </c>
    </row>
    <row r="2" spans="1:4" x14ac:dyDescent="0.3">
      <c r="A2">
        <v>0</v>
      </c>
      <c r="B2">
        <v>140.90347421048301</v>
      </c>
      <c r="C2">
        <v>0</v>
      </c>
    </row>
    <row r="3" spans="1:4" x14ac:dyDescent="0.3">
      <c r="A3">
        <v>1.866666666666585</v>
      </c>
      <c r="B3">
        <v>123.3493582925602</v>
      </c>
      <c r="C3">
        <v>17.554115917922829</v>
      </c>
    </row>
    <row r="4" spans="1:4" x14ac:dyDescent="0.3">
      <c r="A4">
        <v>4.4166666666666652</v>
      </c>
      <c r="B4">
        <v>116.1820087783742</v>
      </c>
      <c r="C4">
        <v>24.721465432108861</v>
      </c>
    </row>
    <row r="5" spans="1:4" x14ac:dyDescent="0.3">
      <c r="A5">
        <v>7.3999999999998778</v>
      </c>
      <c r="B5">
        <v>111.4432736685893</v>
      </c>
      <c r="C5">
        <v>29.460200541893659</v>
      </c>
    </row>
    <row r="6" spans="1:4" x14ac:dyDescent="0.3">
      <c r="A6">
        <v>9.06666666666659</v>
      </c>
      <c r="B6">
        <v>85.187456417547665</v>
      </c>
      <c r="C6">
        <v>54.581355462967423</v>
      </c>
    </row>
    <row r="7" spans="1:4" x14ac:dyDescent="0.3">
      <c r="A7">
        <v>10.01666666666658</v>
      </c>
      <c r="B7">
        <v>71.454078166909198</v>
      </c>
      <c r="C7">
        <v>68.314733713605847</v>
      </c>
    </row>
    <row r="8" spans="1:4" x14ac:dyDescent="0.3">
      <c r="A8">
        <v>10.94999999999995</v>
      </c>
      <c r="B8">
        <v>66.254586556427711</v>
      </c>
      <c r="C8">
        <v>73.514225324087363</v>
      </c>
    </row>
    <row r="9" spans="1:4" x14ac:dyDescent="0.3">
      <c r="A9">
        <v>12.99999999999995</v>
      </c>
      <c r="B9">
        <v>60.481022481567578</v>
      </c>
      <c r="C9">
        <v>77.494174495339578</v>
      </c>
      <c r="D9" t="s">
        <v>62</v>
      </c>
    </row>
    <row r="10" spans="1:4" x14ac:dyDescent="0.3">
      <c r="A10">
        <v>16.249999999999979</v>
      </c>
      <c r="B10">
        <v>53.019923253384128</v>
      </c>
      <c r="C10">
        <v>84.955273723523007</v>
      </c>
    </row>
    <row r="11" spans="1:4" x14ac:dyDescent="0.3">
      <c r="A11">
        <v>18.266666666666591</v>
      </c>
      <c r="B11">
        <v>51.816803888298807</v>
      </c>
      <c r="C11">
        <v>86.158393088608349</v>
      </c>
    </row>
    <row r="12" spans="1:4" x14ac:dyDescent="0.3">
      <c r="A12">
        <v>20.550000000000011</v>
      </c>
      <c r="B12">
        <v>18.83505893293416</v>
      </c>
      <c r="C12">
        <v>116.907414888251</v>
      </c>
    </row>
    <row r="13" spans="1:4" x14ac:dyDescent="0.3">
      <c r="A13">
        <v>21.600000000000019</v>
      </c>
      <c r="B13">
        <v>8.4066000081593639</v>
      </c>
      <c r="C13">
        <v>127.3358738130258</v>
      </c>
    </row>
    <row r="14" spans="1:4" x14ac:dyDescent="0.3">
      <c r="A14">
        <v>26.849999999999881</v>
      </c>
      <c r="B14">
        <v>0.47382722137396321</v>
      </c>
      <c r="C14">
        <v>135.26864659981121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C2_E7b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2025-01-15T20:22:47Z</dcterms:created>
  <dcterms:modified xsi:type="dcterms:W3CDTF">2026-01-12T10:53:48Z</dcterms:modified>
</cp:coreProperties>
</file>
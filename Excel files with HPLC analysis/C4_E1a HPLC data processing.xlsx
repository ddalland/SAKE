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41438A986D5C32636909C8446850640F3091789E" xr6:coauthVersionLast="47" xr6:coauthVersionMax="47" xr10:uidLastSave="{67A9B6DA-460A-4F78-B652-CE2BEFFA64CD}"/>
  <bookViews>
    <workbookView xWindow="-108" yWindow="-108" windowWidth="23256" windowHeight="12456" xr2:uid="{00000000-000D-0000-FFFF-FFFF00000000}"/>
  </bookViews>
  <sheets>
    <sheet name="C4_E1a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G25" i="2"/>
  <c r="F25" i="2"/>
  <c r="E25" i="2"/>
  <c r="D25" i="2"/>
  <c r="C25" i="2"/>
  <c r="H24" i="2"/>
  <c r="G24" i="2"/>
  <c r="F24" i="2"/>
  <c r="E24" i="2"/>
  <c r="D24" i="2"/>
  <c r="C24" i="2"/>
  <c r="M21" i="2" s="1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M18" i="2" s="1"/>
  <c r="M20" i="2"/>
  <c r="H20" i="2"/>
  <c r="G20" i="2"/>
  <c r="F20" i="2"/>
  <c r="E20" i="2"/>
  <c r="D20" i="2"/>
  <c r="C20" i="2"/>
  <c r="M17" i="2" s="1"/>
  <c r="M19" i="2"/>
  <c r="H19" i="2"/>
  <c r="G19" i="2"/>
  <c r="F19" i="2"/>
  <c r="E19" i="2"/>
  <c r="D19" i="2"/>
  <c r="C19" i="2"/>
  <c r="M16" i="2" s="1"/>
  <c r="H18" i="2"/>
  <c r="G18" i="2"/>
  <c r="F18" i="2"/>
  <c r="E18" i="2"/>
  <c r="D18" i="2"/>
  <c r="C18" i="2"/>
  <c r="M15" i="2" s="1"/>
  <c r="H17" i="2"/>
  <c r="G17" i="2"/>
  <c r="F17" i="2"/>
  <c r="E17" i="2"/>
  <c r="D17" i="2"/>
  <c r="C17" i="2"/>
  <c r="M14" i="2" s="1"/>
  <c r="H16" i="2"/>
  <c r="G16" i="2"/>
  <c r="F16" i="2"/>
  <c r="E16" i="2"/>
  <c r="D16" i="2"/>
  <c r="C16" i="2"/>
  <c r="M13" i="2" s="1"/>
  <c r="H15" i="2"/>
  <c r="G15" i="2"/>
  <c r="F15" i="2"/>
  <c r="E15" i="2"/>
  <c r="D15" i="2"/>
  <c r="C15" i="2"/>
  <c r="M12" i="2" s="1"/>
  <c r="H14" i="2"/>
  <c r="G14" i="2"/>
  <c r="F14" i="2"/>
  <c r="E14" i="2"/>
  <c r="D14" i="2"/>
  <c r="C14" i="2"/>
  <c r="M11" i="2" s="1"/>
  <c r="H13" i="2"/>
  <c r="G13" i="2"/>
  <c r="F13" i="2"/>
  <c r="E13" i="2"/>
  <c r="D13" i="2"/>
  <c r="C13" i="2"/>
  <c r="M10" i="2" s="1"/>
  <c r="H12" i="2"/>
  <c r="G12" i="2"/>
  <c r="F12" i="2"/>
  <c r="E12" i="2"/>
  <c r="D12" i="2"/>
  <c r="C12" i="2"/>
  <c r="M9" i="2" s="1"/>
  <c r="H11" i="2"/>
  <c r="G11" i="2"/>
  <c r="F11" i="2"/>
  <c r="E11" i="2"/>
  <c r="D11" i="2"/>
  <c r="C11" i="2"/>
  <c r="M8" i="2" s="1"/>
  <c r="H10" i="2"/>
  <c r="G10" i="2"/>
  <c r="F10" i="2"/>
  <c r="E10" i="2"/>
  <c r="D10" i="2"/>
  <c r="C10" i="2"/>
  <c r="M7" i="2" s="1"/>
  <c r="H9" i="2"/>
  <c r="G9" i="2"/>
  <c r="F9" i="2"/>
  <c r="E9" i="2"/>
  <c r="D9" i="2"/>
  <c r="C9" i="2"/>
  <c r="H8" i="2"/>
  <c r="G8" i="2"/>
  <c r="F8" i="2"/>
  <c r="E8" i="2"/>
  <c r="D8" i="2"/>
  <c r="C8" i="2"/>
  <c r="J7" i="2"/>
  <c r="H7" i="2"/>
  <c r="G7" i="2"/>
  <c r="F7" i="2"/>
  <c r="E7" i="2"/>
  <c r="D7" i="2"/>
  <c r="C7" i="2"/>
  <c r="M4" i="2" s="1"/>
  <c r="M6" i="2"/>
  <c r="H6" i="2"/>
  <c r="G6" i="2"/>
  <c r="F6" i="2"/>
  <c r="E6" i="2"/>
  <c r="D6" i="2"/>
  <c r="C6" i="2"/>
  <c r="M5" i="2"/>
  <c r="H5" i="2"/>
  <c r="G5" i="2"/>
  <c r="F5" i="2"/>
  <c r="E5" i="2"/>
  <c r="D5" i="2"/>
  <c r="C5" i="2"/>
  <c r="H4" i="2"/>
  <c r="G4" i="2"/>
  <c r="F4" i="2"/>
  <c r="E4" i="2"/>
  <c r="D4" i="2"/>
  <c r="C4" i="2"/>
  <c r="H3" i="2"/>
  <c r="G3" i="2"/>
  <c r="F3" i="2"/>
  <c r="E3" i="2"/>
  <c r="D3" i="2"/>
  <c r="C3" i="2"/>
  <c r="M3" i="2" s="1"/>
  <c r="H2" i="2"/>
  <c r="G2" i="2"/>
  <c r="F2" i="2"/>
  <c r="E2" i="2"/>
  <c r="D2" i="2"/>
  <c r="C2" i="2"/>
  <c r="J23" i="1"/>
  <c r="K23" i="1" s="1"/>
  <c r="I23" i="1"/>
  <c r="E23" i="1"/>
  <c r="F23" i="1" s="1"/>
  <c r="G23" i="1" s="1"/>
  <c r="L23" i="1" s="1"/>
  <c r="I22" i="1"/>
  <c r="J22" i="1" s="1"/>
  <c r="K22" i="1" s="1"/>
  <c r="E22" i="1"/>
  <c r="F22" i="1" s="1"/>
  <c r="G22" i="1" s="1"/>
  <c r="L22" i="1" s="1"/>
  <c r="I21" i="1"/>
  <c r="J21" i="1" s="1"/>
  <c r="K21" i="1" s="1"/>
  <c r="E21" i="1"/>
  <c r="F21" i="1" s="1"/>
  <c r="G21" i="1" s="1"/>
  <c r="L21" i="1" s="1"/>
  <c r="I20" i="1"/>
  <c r="J20" i="1" s="1"/>
  <c r="K20" i="1" s="1"/>
  <c r="E20" i="1"/>
  <c r="F20" i="1" s="1"/>
  <c r="G20" i="1" s="1"/>
  <c r="L20" i="1" s="1"/>
  <c r="I19" i="1"/>
  <c r="J19" i="1" s="1"/>
  <c r="K19" i="1" s="1"/>
  <c r="E19" i="1"/>
  <c r="F19" i="1" s="1"/>
  <c r="G19" i="1" s="1"/>
  <c r="L19" i="1" s="1"/>
  <c r="I18" i="1"/>
  <c r="J18" i="1" s="1"/>
  <c r="K18" i="1" s="1"/>
  <c r="E18" i="1"/>
  <c r="F18" i="1" s="1"/>
  <c r="G18" i="1" s="1"/>
  <c r="L18" i="1" s="1"/>
  <c r="I17" i="1"/>
  <c r="J17" i="1" s="1"/>
  <c r="K17" i="1" s="1"/>
  <c r="E17" i="1"/>
  <c r="F17" i="1" s="1"/>
  <c r="G17" i="1" s="1"/>
  <c r="L17" i="1" s="1"/>
  <c r="I16" i="1"/>
  <c r="J16" i="1" s="1"/>
  <c r="K16" i="1" s="1"/>
  <c r="E16" i="1"/>
  <c r="F16" i="1" s="1"/>
  <c r="G16" i="1" s="1"/>
  <c r="L16" i="1" s="1"/>
  <c r="I15" i="1"/>
  <c r="J15" i="1" s="1"/>
  <c r="K15" i="1" s="1"/>
  <c r="F15" i="1"/>
  <c r="G15" i="1" s="1"/>
  <c r="L15" i="1" s="1"/>
  <c r="E15" i="1"/>
  <c r="I14" i="1"/>
  <c r="J14" i="1" s="1"/>
  <c r="K14" i="1" s="1"/>
  <c r="E14" i="1"/>
  <c r="F14" i="1" s="1"/>
  <c r="G14" i="1" s="1"/>
  <c r="L14" i="1" s="1"/>
  <c r="I13" i="1"/>
  <c r="J13" i="1" s="1"/>
  <c r="K13" i="1" s="1"/>
  <c r="F13" i="1"/>
  <c r="G13" i="1" s="1"/>
  <c r="L13" i="1" s="1"/>
  <c r="E13" i="1"/>
  <c r="I12" i="1"/>
  <c r="J12" i="1" s="1"/>
  <c r="K12" i="1" s="1"/>
  <c r="F12" i="1"/>
  <c r="G12" i="1" s="1"/>
  <c r="L12" i="1" s="1"/>
  <c r="E12" i="1"/>
  <c r="I11" i="1"/>
  <c r="J11" i="1" s="1"/>
  <c r="K11" i="1" s="1"/>
  <c r="E11" i="1"/>
  <c r="F11" i="1" s="1"/>
  <c r="G11" i="1" s="1"/>
  <c r="J10" i="1"/>
  <c r="K10" i="1" s="1"/>
  <c r="I10" i="1"/>
  <c r="E10" i="1"/>
  <c r="F10" i="1" s="1"/>
  <c r="G10" i="1" s="1"/>
  <c r="L10" i="1" s="1"/>
  <c r="I9" i="1"/>
  <c r="J9" i="1" s="1"/>
  <c r="K9" i="1" s="1"/>
  <c r="E9" i="1"/>
  <c r="F9" i="1" s="1"/>
  <c r="G9" i="1" s="1"/>
  <c r="L9" i="1" s="1"/>
  <c r="J8" i="1"/>
  <c r="K8" i="1" s="1"/>
  <c r="I8" i="1"/>
  <c r="E8" i="1"/>
  <c r="F8" i="1" s="1"/>
  <c r="G8" i="1" s="1"/>
  <c r="L8" i="1" s="1"/>
  <c r="J7" i="1"/>
  <c r="K7" i="1" s="1"/>
  <c r="I7" i="1"/>
  <c r="E7" i="1"/>
  <c r="F7" i="1" s="1"/>
  <c r="G7" i="1" s="1"/>
  <c r="L7" i="1" s="1"/>
  <c r="I6" i="1"/>
  <c r="J6" i="1" s="1"/>
  <c r="K6" i="1" s="1"/>
  <c r="E6" i="1"/>
  <c r="F6" i="1" s="1"/>
  <c r="G6" i="1" s="1"/>
  <c r="L6" i="1" s="1"/>
  <c r="I5" i="1"/>
  <c r="J5" i="1" s="1"/>
  <c r="K5" i="1" s="1"/>
  <c r="E5" i="1"/>
  <c r="F5" i="1" s="1"/>
  <c r="G5" i="1" s="1"/>
  <c r="L5" i="1" s="1"/>
  <c r="I4" i="1"/>
  <c r="J4" i="1" s="1"/>
  <c r="K4" i="1" s="1"/>
  <c r="E4" i="1"/>
  <c r="F4" i="1" s="1"/>
  <c r="G4" i="1" s="1"/>
  <c r="L4" i="1" s="1"/>
  <c r="K3" i="1"/>
  <c r="L3" i="1" s="1"/>
  <c r="L11" i="1" l="1"/>
</calcChain>
</file>

<file path=xl/sharedStrings.xml><?xml version="1.0" encoding="utf-8"?>
<sst xmlns="http://schemas.openxmlformats.org/spreadsheetml/2006/main" count="98" uniqueCount="66">
  <si>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</si>
  <si>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</si>
  <si>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</si>
  <si>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</si>
  <si>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</si>
  <si>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</si>
  <si>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</si>
  <si>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</si>
  <si>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C4_E1a-S0</t>
  </si>
  <si>
    <t>4-Me-piperidine</t>
  </si>
  <si>
    <t>C4_E1a-S1</t>
  </si>
  <si>
    <t>Ar-4SO2Me-Oph</t>
  </si>
  <si>
    <t>C4_E1a-S2</t>
  </si>
  <si>
    <t>C4_E1a-S3</t>
  </si>
  <si>
    <t>C4_E1a-S4</t>
  </si>
  <si>
    <t>C4_E1a-S5</t>
  </si>
  <si>
    <t>C4_E1a-S6</t>
  </si>
  <si>
    <t>C4_E1a-S7</t>
  </si>
  <si>
    <t>C4_E1a-S8</t>
  </si>
  <si>
    <t>C4_E1a-S9</t>
  </si>
  <si>
    <t>C4_E1a-S10</t>
  </si>
  <si>
    <t>C4_E1a-S11</t>
  </si>
  <si>
    <t>C4_E1a-S12</t>
  </si>
  <si>
    <t>C4_E1a-S13</t>
  </si>
  <si>
    <t>C4_E1a-S14</t>
  </si>
  <si>
    <t>C4_E1a-S15</t>
  </si>
  <si>
    <t>C4_E1a-S16</t>
  </si>
  <si>
    <t>C4_E1a-S17</t>
  </si>
  <si>
    <t>C4_E1a-S18</t>
  </si>
  <si>
    <t>C4_E1a-S19</t>
  </si>
  <si>
    <t>CC 4SO2ArOPh</t>
  </si>
  <si>
    <t>CC Product</t>
  </si>
  <si>
    <t>Label</t>
  </si>
  <si>
    <t>Date and Time</t>
  </si>
  <si>
    <t>Time since V1</t>
  </si>
  <si>
    <t>Time since V2</t>
  </si>
  <si>
    <t>Time since V3</t>
  </si>
  <si>
    <t>Time since V4</t>
  </si>
  <si>
    <t>Time since start of IR run 1</t>
  </si>
  <si>
    <t>Time since start of IR run 2</t>
  </si>
  <si>
    <t>IR start</t>
  </si>
  <si>
    <t>V1</t>
  </si>
  <si>
    <t>S0</t>
  </si>
  <si>
    <t>V2</t>
  </si>
  <si>
    <t>S1</t>
  </si>
  <si>
    <t>V3</t>
  </si>
  <si>
    <t>S2</t>
  </si>
  <si>
    <t>V4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</si>
  <si>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</si>
  <si>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</si>
  <si>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</si>
  <si>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</si>
  <si>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</si>
  <si>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</si>
  <si>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</si>
  <si>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</si>
  <si>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</si>
  <si>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</si>
  <si>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</si>
  <si>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</si>
  <si>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</si>
  <si>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</si>
  <si>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</si>
  <si>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</si>
  <si>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Start IR 2</t>
  </si>
  <si>
    <t>Time / 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</si>
</sst>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22" fontId="0" fillId="2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22" fontId="0" fillId="3" borderId="0" xfId="0" applyNumberFormat="1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vertical="center" wrapText="1"/>
    </xf>
    <xf numFmtId="22" fontId="0" fillId="4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22" fontId="0" fillId="5" borderId="0" xfId="0" applyNumberFormat="1" applyFill="1" applyAlignment="1">
      <alignment vertical="center" wrapText="1"/>
    </xf>
    <xf numFmtId="0" fontId="0" fillId="6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4-SO2Me-ArOPh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HPLC'!$A$2:$A$19</c:f>
              <c:numCache>
                <c:formatCode>General</c:formatCode>
                <c:ptCount val="18"/>
                <c:pt idx="0">
                  <c:v>0</c:v>
                </c:pt>
                <c:pt idx="1">
                  <c:v>1.9999999960418791</c:v>
                </c:pt>
                <c:pt idx="2">
                  <c:v>7.216666666790843</c:v>
                </c:pt>
                <c:pt idx="3">
                  <c:v>30.750000000698488</c:v>
                </c:pt>
                <c:pt idx="4">
                  <c:v>52.45000000228174</c:v>
                </c:pt>
                <c:pt idx="5">
                  <c:v>92.583333329530433</c:v>
                </c:pt>
                <c:pt idx="6">
                  <c:v>135.6333333346993</c:v>
                </c:pt>
                <c:pt idx="7">
                  <c:v>198.3833333349321</c:v>
                </c:pt>
                <c:pt idx="8">
                  <c:v>277.46666666236712</c:v>
                </c:pt>
                <c:pt idx="9">
                  <c:v>372.34999999520369</c:v>
                </c:pt>
                <c:pt idx="10">
                  <c:v>432.23333332920453</c:v>
                </c:pt>
                <c:pt idx="11">
                  <c:v>437.84999999916181</c:v>
                </c:pt>
                <c:pt idx="12">
                  <c:v>1368.2500000018631</c:v>
                </c:pt>
                <c:pt idx="13">
                  <c:v>1383.3666666608769</c:v>
                </c:pt>
                <c:pt idx="14">
                  <c:v>1466.1499999940861</c:v>
                </c:pt>
                <c:pt idx="15">
                  <c:v>1519.466666666558</c:v>
                </c:pt>
                <c:pt idx="16">
                  <c:v>1624.9666666646949</c:v>
                </c:pt>
                <c:pt idx="17">
                  <c:v>1796.6333333321379</c:v>
                </c:pt>
              </c:numCache>
            </c:numRef>
          </c:xVal>
          <c:yVal>
            <c:numRef>
              <c:f>'Concentration vs time HPLC'!$B$2:$B$19</c:f>
              <c:numCache>
                <c:formatCode>General</c:formatCode>
                <c:ptCount val="18"/>
                <c:pt idx="0">
                  <c:v>125.2981066113618</c:v>
                </c:pt>
                <c:pt idx="1">
                  <c:v>122.73028452173889</c:v>
                </c:pt>
                <c:pt idx="2">
                  <c:v>122.2976085227757</c:v>
                </c:pt>
                <c:pt idx="3">
                  <c:v>118.25227748565381</c:v>
                </c:pt>
                <c:pt idx="4">
                  <c:v>113.7047904831922</c:v>
                </c:pt>
                <c:pt idx="5">
                  <c:v>111.33909563104631</c:v>
                </c:pt>
                <c:pt idx="6">
                  <c:v>107.4066232795481</c:v>
                </c:pt>
                <c:pt idx="7">
                  <c:v>104.3458857731176</c:v>
                </c:pt>
                <c:pt idx="8">
                  <c:v>100.3686359451026</c:v>
                </c:pt>
                <c:pt idx="9">
                  <c:v>81.899551170207801</c:v>
                </c:pt>
                <c:pt idx="10">
                  <c:v>75.581630893477993</c:v>
                </c:pt>
                <c:pt idx="11">
                  <c:v>71.630934781899128</c:v>
                </c:pt>
                <c:pt idx="12">
                  <c:v>12.58849886235425</c:v>
                </c:pt>
                <c:pt idx="13">
                  <c:v>10.876609815654399</c:v>
                </c:pt>
                <c:pt idx="14">
                  <c:v>4.232539527670637</c:v>
                </c:pt>
                <c:pt idx="15">
                  <c:v>2.3799932239186141</c:v>
                </c:pt>
                <c:pt idx="16">
                  <c:v>0.84032504015446752</c:v>
                </c:pt>
                <c:pt idx="17">
                  <c:v>0.18998918374375531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F2-4280-A63D-F8E3ED791758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HPLC'!$A$2:$A$19</c:f>
              <c:numCache>
                <c:formatCode>General</c:formatCode>
                <c:ptCount val="18"/>
                <c:pt idx="0">
                  <c:v>0</c:v>
                </c:pt>
                <c:pt idx="1">
                  <c:v>1.9999999960418791</c:v>
                </c:pt>
                <c:pt idx="2">
                  <c:v>7.216666666790843</c:v>
                </c:pt>
                <c:pt idx="3">
                  <c:v>30.750000000698488</c:v>
                </c:pt>
                <c:pt idx="4">
                  <c:v>52.45000000228174</c:v>
                </c:pt>
                <c:pt idx="5">
                  <c:v>92.583333329530433</c:v>
                </c:pt>
                <c:pt idx="6">
                  <c:v>135.6333333346993</c:v>
                </c:pt>
                <c:pt idx="7">
                  <c:v>198.3833333349321</c:v>
                </c:pt>
                <c:pt idx="8">
                  <c:v>277.46666666236712</c:v>
                </c:pt>
                <c:pt idx="9">
                  <c:v>372.34999999520369</c:v>
                </c:pt>
                <c:pt idx="10">
                  <c:v>432.23333332920453</c:v>
                </c:pt>
                <c:pt idx="11">
                  <c:v>437.84999999916181</c:v>
                </c:pt>
                <c:pt idx="12">
                  <c:v>1368.2500000018631</c:v>
                </c:pt>
                <c:pt idx="13">
                  <c:v>1383.3666666608769</c:v>
                </c:pt>
                <c:pt idx="14">
                  <c:v>1466.1499999940861</c:v>
                </c:pt>
                <c:pt idx="15">
                  <c:v>1519.466666666558</c:v>
                </c:pt>
                <c:pt idx="16">
                  <c:v>1624.9666666646949</c:v>
                </c:pt>
                <c:pt idx="17">
                  <c:v>1796.6333333321379</c:v>
                </c:pt>
              </c:numCache>
            </c:numRef>
          </c:xVal>
          <c:yVal>
            <c:numRef>
              <c:f>'Concentration vs time HPLC'!$C$2:$C$19</c:f>
              <c:numCache>
                <c:formatCode>General</c:formatCode>
                <c:ptCount val="18"/>
                <c:pt idx="0">
                  <c:v>0</c:v>
                </c:pt>
                <c:pt idx="1">
                  <c:v>0.96967363048764521</c:v>
                </c:pt>
                <c:pt idx="2">
                  <c:v>2.1759312200460079</c:v>
                </c:pt>
                <c:pt idx="3">
                  <c:v>6.5277540182447176</c:v>
                </c:pt>
                <c:pt idx="4">
                  <c:v>9.628790355795994</c:v>
                </c:pt>
                <c:pt idx="5">
                  <c:v>13.98411950602798</c:v>
                </c:pt>
                <c:pt idx="6">
                  <c:v>17.022988403071292</c:v>
                </c:pt>
                <c:pt idx="7">
                  <c:v>20.370345132566211</c:v>
                </c:pt>
                <c:pt idx="8">
                  <c:v>22.39680494509847</c:v>
                </c:pt>
                <c:pt idx="9">
                  <c:v>42.217204894365317</c:v>
                </c:pt>
                <c:pt idx="10">
                  <c:v>47.720268737549773</c:v>
                </c:pt>
                <c:pt idx="11">
                  <c:v>50.565616152350742</c:v>
                </c:pt>
                <c:pt idx="12">
                  <c:v>109.3781204040579</c:v>
                </c:pt>
                <c:pt idx="13">
                  <c:v>109.4690127432842</c:v>
                </c:pt>
                <c:pt idx="14">
                  <c:v>118.037226918618</c:v>
                </c:pt>
                <c:pt idx="15">
                  <c:v>118.0173431826029</c:v>
                </c:pt>
                <c:pt idx="16">
                  <c:v>119.86180575312351</c:v>
                </c:pt>
                <c:pt idx="17">
                  <c:v>121.06407672196529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2-4280-A63D-F8E3ED791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377615"/>
        <c:axId val="1493381935"/>
      </c:scatterChart>
      <c:valAx>
        <c:axId val="14933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381935"/>
        <c:crosses val="autoZero"/>
        <c:crossBetween val="midCat"/>
      </c:valAx>
      <c:valAx>
        <c:axId val="14933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37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0</xdr:row>
      <xdr:rowOff>87630</xdr:rowOff>
    </xdr:from>
    <xdr:to>
      <xdr:col>11</xdr:col>
      <xdr:colOff>167640</xdr:colOff>
      <xdr:row>15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7EB634-53DB-9B20-374C-01E646BDD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67" workbookViewId="0">
      <selection activeCell="M3" sqref="M3:N3"/>
    </sheetView>
  </sheetViews>
  <sheetFormatPr defaultRowHeight="14.4" x14ac:dyDescent="0.3"/>
  <cols>
    <col min="1" max="1" width="10.109375" bestFit="1" customWidth="1"/>
    <col min="2" max="2" width="11" bestFit="1" customWidth="1"/>
    <col min="3" max="3" width="14.44140625" bestFit="1" customWidth="1"/>
    <col min="5" max="5" width="13.44140625" bestFit="1" customWidth="1"/>
    <col min="6" max="7" width="11" bestFit="1" customWidth="1"/>
    <col min="8" max="8" width="19.33203125" bestFit="1" customWidth="1"/>
    <col min="9" max="9" width="13.44140625" bestFit="1" customWidth="1"/>
    <col min="10" max="10" width="11" bestFit="1" customWidth="1"/>
    <col min="11" max="11" width="13.88671875" bestFit="1" customWidth="1"/>
    <col min="12" max="12" width="11" bestFit="1" customWidth="1"/>
    <col min="13" max="13" width="11.88671875" bestFit="1" customWidth="1"/>
    <col min="14" max="14" width="25.21875" bestFit="1" customWidth="1"/>
  </cols>
  <sheetData>
    <row r="1" spans="1:14" x14ac:dyDescent="0.3">
      <c r="A1">
        <v>0</v>
      </c>
      <c r="B1">
        <v>1</v>
      </c>
      <c r="C1">
        <v>2</v>
      </c>
      <c r="E1">
        <v>3</v>
      </c>
      <c r="F1">
        <v>4</v>
      </c>
      <c r="H1">
        <v>5</v>
      </c>
      <c r="I1">
        <v>6</v>
      </c>
      <c r="J1">
        <v>7</v>
      </c>
    </row>
    <row r="2" spans="1:14" x14ac:dyDescent="0.3">
      <c r="A2" t="s">
        <v>0</v>
      </c>
      <c r="B2" t="s">
        <v>1</v>
      </c>
      <c r="C2" t="s">
        <v>2</v>
      </c>
      <c r="E2" t="s">
        <v>3</v>
      </c>
      <c r="F2" t="s">
        <v>4</v>
      </c>
      <c r="H2" t="s">
        <v>5</v>
      </c>
      <c r="I2" t="s">
        <v>3</v>
      </c>
      <c r="J2" t="s">
        <v>4</v>
      </c>
    </row>
    <row r="3" spans="1:14" x14ac:dyDescent="0.3">
      <c r="B3">
        <v>4.0525782108306903</v>
      </c>
      <c r="C3">
        <v>2.1257211947441101</v>
      </c>
      <c r="F3">
        <v>0</v>
      </c>
      <c r="H3">
        <v>2.9815251789092998</v>
      </c>
      <c r="J3">
        <v>0</v>
      </c>
      <c r="K3">
        <f>SUM(F3,J3)</f>
        <v>0</v>
      </c>
      <c r="L3">
        <f>SUM(G3,K3)</f>
        <v>0</v>
      </c>
      <c r="M3" t="s">
        <v>6</v>
      </c>
      <c r="N3" t="s">
        <v>7</v>
      </c>
    </row>
    <row r="4" spans="1:14" x14ac:dyDescent="0.3">
      <c r="A4" s="13" t="s">
        <v>8</v>
      </c>
      <c r="B4">
        <v>692.503662109375</v>
      </c>
      <c r="C4">
        <v>5084.7431640625</v>
      </c>
      <c r="E4">
        <f t="shared" ref="E4:E23" si="0">C4/B4</f>
        <v>7.3425505773851176</v>
      </c>
      <c r="F4">
        <f t="shared" ref="F4:F23" si="1">E4/$B$24</f>
        <v>12.611732355522358</v>
      </c>
      <c r="G4">
        <f t="shared" ref="G4:G12" si="2">F4*$N$6</f>
        <v>125.29810661136177</v>
      </c>
      <c r="H4">
        <v>0</v>
      </c>
      <c r="I4">
        <f t="shared" ref="I4:I23" si="3">H4/B4</f>
        <v>0</v>
      </c>
      <c r="J4">
        <f t="shared" ref="J4:J23" si="4">I4/$B$25</f>
        <v>0</v>
      </c>
      <c r="K4">
        <f t="shared" ref="K4:K12" si="5">J4*$N$6</f>
        <v>0</v>
      </c>
      <c r="L4">
        <f t="shared" ref="L4:L23" si="6">SUM(G4,K4)</f>
        <v>125.29810661136177</v>
      </c>
      <c r="M4" t="s">
        <v>9</v>
      </c>
      <c r="N4">
        <v>29.660483123877089</v>
      </c>
    </row>
    <row r="5" spans="1:14" x14ac:dyDescent="0.3">
      <c r="A5" s="13" t="s">
        <v>10</v>
      </c>
      <c r="B5">
        <v>1388.7685546875</v>
      </c>
      <c r="C5">
        <v>9988.126953125</v>
      </c>
      <c r="E5">
        <f t="shared" si="0"/>
        <v>7.1920745320825059</v>
      </c>
      <c r="F5">
        <f t="shared" si="1"/>
        <v>12.353271267747347</v>
      </c>
      <c r="G5">
        <f t="shared" si="2"/>
        <v>122.73028452173889</v>
      </c>
      <c r="H5">
        <v>85.312454223632798</v>
      </c>
      <c r="I5">
        <f t="shared" si="3"/>
        <v>6.1430289399683133E-2</v>
      </c>
      <c r="J5">
        <f t="shared" si="4"/>
        <v>9.7601349538740292E-2</v>
      </c>
      <c r="K5">
        <f t="shared" si="5"/>
        <v>0.96967363048764521</v>
      </c>
      <c r="L5">
        <f t="shared" si="6"/>
        <v>123.69995815222654</v>
      </c>
      <c r="M5" t="s">
        <v>11</v>
      </c>
      <c r="N5">
        <v>128.0939786816898</v>
      </c>
    </row>
    <row r="6" spans="1:14" x14ac:dyDescent="0.3">
      <c r="A6" s="13" t="s">
        <v>12</v>
      </c>
      <c r="B6">
        <v>1024.37854003906</v>
      </c>
      <c r="C6">
        <v>7341.43359375</v>
      </c>
      <c r="E6">
        <f t="shared" si="0"/>
        <v>7.1667194370062344</v>
      </c>
      <c r="F6">
        <f t="shared" si="1"/>
        <v>12.30972077809384</v>
      </c>
      <c r="G6">
        <f t="shared" si="2"/>
        <v>122.2976085227757</v>
      </c>
      <c r="H6">
        <v>141.209075927735</v>
      </c>
      <c r="I6">
        <f t="shared" si="3"/>
        <v>0.13784853001933312</v>
      </c>
      <c r="J6">
        <f t="shared" si="4"/>
        <v>0.21901577696112667</v>
      </c>
      <c r="K6">
        <f t="shared" si="5"/>
        <v>2.1759312200460084</v>
      </c>
      <c r="L6">
        <f t="shared" si="6"/>
        <v>124.47353974282171</v>
      </c>
      <c r="M6" t="s">
        <v>1</v>
      </c>
      <c r="N6">
        <v>9.9350432660027792</v>
      </c>
    </row>
    <row r="7" spans="1:14" x14ac:dyDescent="0.3">
      <c r="A7" s="13" t="s">
        <v>13</v>
      </c>
      <c r="B7">
        <v>460.891845703125</v>
      </c>
      <c r="C7">
        <v>3193.82397460938</v>
      </c>
      <c r="E7">
        <f t="shared" si="0"/>
        <v>6.9296604059830189</v>
      </c>
      <c r="F7">
        <f t="shared" si="1"/>
        <v>11.902542779084538</v>
      </c>
      <c r="G7">
        <f t="shared" si="2"/>
        <v>118.25227748565383</v>
      </c>
      <c r="H7">
        <v>190.5986328125</v>
      </c>
      <c r="I7">
        <f t="shared" si="3"/>
        <v>0.41354307868417051</v>
      </c>
      <c r="J7">
        <f t="shared" si="4"/>
        <v>0.65704334077561255</v>
      </c>
      <c r="K7">
        <f t="shared" si="5"/>
        <v>6.5277540182447185</v>
      </c>
      <c r="L7">
        <f t="shared" si="6"/>
        <v>124.78003150389856</v>
      </c>
    </row>
    <row r="8" spans="1:14" x14ac:dyDescent="0.3">
      <c r="A8" s="13" t="s">
        <v>14</v>
      </c>
      <c r="B8">
        <v>772.70178222656295</v>
      </c>
      <c r="C8">
        <v>5148.64697265625</v>
      </c>
      <c r="E8">
        <f t="shared" si="0"/>
        <v>6.6631747086440933</v>
      </c>
      <c r="F8">
        <f t="shared" si="1"/>
        <v>11.444820866788204</v>
      </c>
      <c r="G8">
        <f t="shared" si="2"/>
        <v>113.70479048319224</v>
      </c>
      <c r="H8">
        <v>471.34686279296898</v>
      </c>
      <c r="I8">
        <f t="shared" si="3"/>
        <v>0.60999841547507383</v>
      </c>
      <c r="J8">
        <f t="shared" si="4"/>
        <v>0.96917447644593879</v>
      </c>
      <c r="K8">
        <f t="shared" si="5"/>
        <v>9.628790355795994</v>
      </c>
      <c r="L8">
        <f t="shared" si="6"/>
        <v>123.33358083898824</v>
      </c>
    </row>
    <row r="9" spans="1:14" x14ac:dyDescent="0.3">
      <c r="A9" s="13" t="s">
        <v>15</v>
      </c>
      <c r="B9">
        <v>570.10607910156295</v>
      </c>
      <c r="C9">
        <v>3719.68188476563</v>
      </c>
      <c r="E9">
        <f t="shared" si="0"/>
        <v>6.5245434509793716</v>
      </c>
      <c r="F9">
        <f t="shared" si="1"/>
        <v>11.206704656440005</v>
      </c>
      <c r="G9">
        <f t="shared" si="2"/>
        <v>111.33909563104626</v>
      </c>
      <c r="H9">
        <v>505.06558227539102</v>
      </c>
      <c r="I9">
        <f t="shared" si="3"/>
        <v>0.88591509683834624</v>
      </c>
      <c r="J9">
        <f t="shared" si="4"/>
        <v>1.4075549679668673</v>
      </c>
      <c r="K9">
        <f t="shared" si="5"/>
        <v>13.984119506027982</v>
      </c>
      <c r="L9">
        <f t="shared" si="6"/>
        <v>125.32321513707424</v>
      </c>
    </row>
    <row r="10" spans="1:14" x14ac:dyDescent="0.3">
      <c r="A10" s="13" t="s">
        <v>16</v>
      </c>
      <c r="B10">
        <v>438.94369506836</v>
      </c>
      <c r="C10">
        <v>2762.75463867188</v>
      </c>
      <c r="E10">
        <f t="shared" si="0"/>
        <v>6.2940980123694805</v>
      </c>
      <c r="F10">
        <f t="shared" si="1"/>
        <v>10.810886314616077</v>
      </c>
      <c r="G10">
        <f t="shared" si="2"/>
        <v>107.40662327954806</v>
      </c>
      <c r="H10">
        <v>473.37094116211</v>
      </c>
      <c r="I10">
        <f t="shared" si="3"/>
        <v>1.0784320323552852</v>
      </c>
      <c r="J10">
        <f t="shared" si="4"/>
        <v>1.7134287136245396</v>
      </c>
      <c r="K10">
        <f t="shared" si="5"/>
        <v>17.022988403071288</v>
      </c>
      <c r="L10">
        <f t="shared" si="6"/>
        <v>124.42961168261934</v>
      </c>
    </row>
    <row r="11" spans="1:14" x14ac:dyDescent="0.3">
      <c r="A11" s="13" t="s">
        <v>17</v>
      </c>
      <c r="B11">
        <v>1001.47576904297</v>
      </c>
      <c r="C11">
        <v>6123.7607421875</v>
      </c>
      <c r="E11">
        <f t="shared" si="0"/>
        <v>6.114736802907859</v>
      </c>
      <c r="F11">
        <f t="shared" si="1"/>
        <v>10.502811410010063</v>
      </c>
      <c r="G11">
        <f t="shared" si="2"/>
        <v>104.34588577311763</v>
      </c>
      <c r="H11">
        <v>1292.39660644531</v>
      </c>
      <c r="I11">
        <f t="shared" si="3"/>
        <v>1.2904921380977092</v>
      </c>
      <c r="J11">
        <f t="shared" si="4"/>
        <v>2.0503529362848893</v>
      </c>
      <c r="K11">
        <f t="shared" si="5"/>
        <v>20.370345132566214</v>
      </c>
      <c r="L11">
        <f t="shared" si="6"/>
        <v>124.71623090568384</v>
      </c>
      <c r="M11" t="s">
        <v>9</v>
      </c>
      <c r="N11">
        <v>69.687839775528531</v>
      </c>
    </row>
    <row r="12" spans="1:14" x14ac:dyDescent="0.3">
      <c r="A12" s="13" t="s">
        <v>18</v>
      </c>
      <c r="B12">
        <v>787.95758056640705</v>
      </c>
      <c r="C12">
        <v>4634.50439453125</v>
      </c>
      <c r="E12">
        <f t="shared" si="0"/>
        <v>5.88166737503792</v>
      </c>
      <c r="F12">
        <f t="shared" si="1"/>
        <v>10.1024860443798</v>
      </c>
      <c r="G12">
        <f t="shared" si="2"/>
        <v>100.36863594510258</v>
      </c>
      <c r="H12">
        <v>1118.01049804688</v>
      </c>
      <c r="I12">
        <f t="shared" si="3"/>
        <v>1.4188714286411475</v>
      </c>
      <c r="J12">
        <f t="shared" si="4"/>
        <v>2.2543238459503456</v>
      </c>
      <c r="K12">
        <f t="shared" si="5"/>
        <v>22.396804945098467</v>
      </c>
      <c r="L12">
        <f t="shared" si="6"/>
        <v>122.76544089020105</v>
      </c>
      <c r="M12" t="s">
        <v>11</v>
      </c>
      <c r="N12">
        <v>127.48507443628679</v>
      </c>
    </row>
    <row r="13" spans="1:14" x14ac:dyDescent="0.3">
      <c r="A13" s="8" t="s">
        <v>19</v>
      </c>
      <c r="B13">
        <v>337.82003784179699</v>
      </c>
      <c r="C13">
        <v>1857.90417480469</v>
      </c>
      <c r="E13">
        <f t="shared" si="0"/>
        <v>5.4996861248199753</v>
      </c>
      <c r="F13">
        <f t="shared" si="1"/>
        <v>9.4463863360013303</v>
      </c>
      <c r="G13">
        <f>F13*$N$13</f>
        <v>93.404132785776866</v>
      </c>
      <c r="H13">
        <v>497.16387939453102</v>
      </c>
      <c r="I13">
        <f t="shared" si="3"/>
        <v>1.4716826230046058</v>
      </c>
      <c r="J13">
        <f t="shared" si="4"/>
        <v>2.3382310502138637</v>
      </c>
      <c r="K13">
        <f>J13*$N$13</f>
        <v>23.119999090620663</v>
      </c>
      <c r="L13">
        <f t="shared" si="6"/>
        <v>116.52413187639753</v>
      </c>
      <c r="M13" t="s">
        <v>1</v>
      </c>
      <c r="N13">
        <v>9.8878162996364356</v>
      </c>
    </row>
    <row r="14" spans="1:14" x14ac:dyDescent="0.3">
      <c r="A14" s="8" t="s">
        <v>20</v>
      </c>
      <c r="B14">
        <v>388.907958984375</v>
      </c>
      <c r="C14">
        <v>1875.42700195313</v>
      </c>
      <c r="E14">
        <f t="shared" si="0"/>
        <v>4.8222901039381361</v>
      </c>
      <c r="F14">
        <f t="shared" si="1"/>
        <v>8.2828754791105048</v>
      </c>
      <c r="G14">
        <f>F14*$N$13</f>
        <v>81.899551170207801</v>
      </c>
      <c r="H14">
        <v>1045.11157226563</v>
      </c>
      <c r="I14">
        <f t="shared" si="3"/>
        <v>2.6872979791797449</v>
      </c>
      <c r="J14">
        <f t="shared" si="4"/>
        <v>4.2696186513818635</v>
      </c>
      <c r="K14">
        <f>J14*$N$13</f>
        <v>42.217204894365324</v>
      </c>
      <c r="L14">
        <f t="shared" si="6"/>
        <v>124.11675606457312</v>
      </c>
    </row>
    <row r="15" spans="1:14" x14ac:dyDescent="0.3">
      <c r="A15" s="8" t="s">
        <v>21</v>
      </c>
      <c r="B15">
        <v>498.474365234375</v>
      </c>
      <c r="C15">
        <v>2218.35424804688</v>
      </c>
      <c r="E15">
        <f t="shared" si="0"/>
        <v>4.450287522817435</v>
      </c>
      <c r="F15">
        <f t="shared" si="1"/>
        <v>7.6439153603872114</v>
      </c>
      <c r="G15">
        <f>F15*$N$13</f>
        <v>75.581630893477993</v>
      </c>
      <c r="H15">
        <v>1514.16101074219</v>
      </c>
      <c r="I15">
        <f t="shared" si="3"/>
        <v>3.0375905289136678</v>
      </c>
      <c r="J15">
        <f t="shared" si="4"/>
        <v>4.8261686191828215</v>
      </c>
      <c r="K15">
        <f>J15*$N$13</f>
        <v>47.720268737549773</v>
      </c>
      <c r="L15">
        <f t="shared" si="6"/>
        <v>123.30189963102777</v>
      </c>
    </row>
    <row r="16" spans="1:14" x14ac:dyDescent="0.3">
      <c r="A16" s="14" t="s">
        <v>22</v>
      </c>
      <c r="B16">
        <v>763.11486816406295</v>
      </c>
      <c r="C16">
        <v>3243.2275390625</v>
      </c>
      <c r="E16">
        <f t="shared" si="0"/>
        <v>4.2499860432089429</v>
      </c>
      <c r="F16">
        <f t="shared" si="1"/>
        <v>7.2998729701287228</v>
      </c>
      <c r="G16">
        <f>F16*$N$20</f>
        <v>71.630934781899128</v>
      </c>
      <c r="H16">
        <v>2475.06518554688</v>
      </c>
      <c r="I16">
        <f t="shared" si="3"/>
        <v>3.2433717239732287</v>
      </c>
      <c r="J16">
        <f t="shared" si="4"/>
        <v>5.1531168159727185</v>
      </c>
      <c r="K16">
        <f>J16*$N$20</f>
        <v>50.565616152350742</v>
      </c>
      <c r="L16">
        <f t="shared" si="6"/>
        <v>122.19655093424987</v>
      </c>
    </row>
    <row r="17" spans="1:14" x14ac:dyDescent="0.3">
      <c r="A17" s="14" t="s">
        <v>23</v>
      </c>
      <c r="B17">
        <v>288.39376831054699</v>
      </c>
      <c r="C17">
        <v>215.40049743652401</v>
      </c>
      <c r="E17">
        <f t="shared" si="0"/>
        <v>0.74689719787765085</v>
      </c>
      <c r="F17">
        <f t="shared" si="1"/>
        <v>1.2828876638228286</v>
      </c>
      <c r="G17">
        <f>F17*$N$20</f>
        <v>12.588498862354252</v>
      </c>
      <c r="H17">
        <v>2023.28820800781</v>
      </c>
      <c r="I17">
        <f t="shared" si="3"/>
        <v>7.0157140352252725</v>
      </c>
      <c r="J17">
        <f t="shared" si="4"/>
        <v>11.146669900262587</v>
      </c>
      <c r="K17">
        <f>J17*$N$20</f>
        <v>109.37812040405794</v>
      </c>
      <c r="L17">
        <f t="shared" si="6"/>
        <v>121.9666192664122</v>
      </c>
    </row>
    <row r="18" spans="1:14" x14ac:dyDescent="0.3">
      <c r="A18" s="15" t="s">
        <v>24</v>
      </c>
      <c r="B18">
        <v>278.28924560546898</v>
      </c>
      <c r="C18">
        <v>181.62747192382801</v>
      </c>
      <c r="E18">
        <f t="shared" si="0"/>
        <v>0.65265717160095194</v>
      </c>
      <c r="F18">
        <f t="shared" si="1"/>
        <v>1.1210188450720575</v>
      </c>
      <c r="G18">
        <f t="shared" ref="G18:G23" si="7">F18*$N$27</f>
        <v>10.876609815654398</v>
      </c>
      <c r="H18">
        <v>1976.212890625</v>
      </c>
      <c r="I18">
        <f t="shared" si="3"/>
        <v>7.101290911639035</v>
      </c>
      <c r="J18">
        <f t="shared" si="4"/>
        <v>11.282635703271426</v>
      </c>
      <c r="K18">
        <f>J18*$N$27</f>
        <v>109.46901274328415</v>
      </c>
      <c r="L18">
        <f t="shared" si="6"/>
        <v>120.34562255893854</v>
      </c>
      <c r="M18" t="s">
        <v>9</v>
      </c>
      <c r="N18">
        <v>133.41427049421921</v>
      </c>
    </row>
    <row r="19" spans="1:14" x14ac:dyDescent="0.3">
      <c r="A19" s="15" t="s">
        <v>25</v>
      </c>
      <c r="B19">
        <v>586.19317626953205</v>
      </c>
      <c r="C19">
        <v>148.87896699999999</v>
      </c>
      <c r="E19">
        <f t="shared" si="0"/>
        <v>0.25397594688401037</v>
      </c>
      <c r="F19">
        <f t="shared" si="1"/>
        <v>0.43623487956717683</v>
      </c>
      <c r="G19">
        <f t="shared" si="7"/>
        <v>4.232539527670637</v>
      </c>
      <c r="H19">
        <v>4488.5478519999997</v>
      </c>
      <c r="I19">
        <f t="shared" si="3"/>
        <v>7.6571137872409523</v>
      </c>
      <c r="J19">
        <f t="shared" si="4"/>
        <v>12.165735283191854</v>
      </c>
      <c r="K19">
        <f>J19*$N$27</f>
        <v>118.03722691861802</v>
      </c>
      <c r="L19">
        <f t="shared" si="6"/>
        <v>122.26976644628866</v>
      </c>
      <c r="M19" t="s">
        <v>11</v>
      </c>
      <c r="N19">
        <v>126.515655082751</v>
      </c>
    </row>
    <row r="20" spans="1:14" x14ac:dyDescent="0.3">
      <c r="A20" s="15" t="s">
        <v>26</v>
      </c>
      <c r="B20">
        <v>457.83734130859398</v>
      </c>
      <c r="C20">
        <v>65.385055541992202</v>
      </c>
      <c r="E20">
        <f t="shared" si="0"/>
        <v>0.14281284998534233</v>
      </c>
      <c r="F20">
        <f t="shared" si="1"/>
        <v>0.2452986087003475</v>
      </c>
      <c r="G20">
        <f t="shared" si="7"/>
        <v>2.3799932239186137</v>
      </c>
      <c r="H20">
        <v>3505.1220703125</v>
      </c>
      <c r="I20">
        <f t="shared" si="3"/>
        <v>7.6558239227366975</v>
      </c>
      <c r="J20">
        <f t="shared" si="4"/>
        <v>12.163685927449473</v>
      </c>
      <c r="K20">
        <f>J20*$N$27</f>
        <v>118.01734318260294</v>
      </c>
      <c r="L20">
        <f t="shared" si="6"/>
        <v>120.39733640652156</v>
      </c>
      <c r="M20" t="s">
        <v>1</v>
      </c>
      <c r="N20">
        <v>9.8126275724269245</v>
      </c>
    </row>
    <row r="21" spans="1:14" x14ac:dyDescent="0.3">
      <c r="A21" s="15" t="s">
        <v>27</v>
      </c>
      <c r="B21">
        <v>619.02551269531295</v>
      </c>
      <c r="C21">
        <v>31.2138557434082</v>
      </c>
      <c r="E21">
        <f t="shared" si="0"/>
        <v>5.0424183015493569E-2</v>
      </c>
      <c r="F21">
        <f t="shared" si="1"/>
        <v>8.6609726924585309E-2</v>
      </c>
      <c r="G21">
        <f t="shared" si="7"/>
        <v>0.84032504015446752</v>
      </c>
      <c r="H21">
        <v>4813.21728515625</v>
      </c>
      <c r="I21">
        <f t="shared" si="3"/>
        <v>7.7754748171830785</v>
      </c>
      <c r="J21">
        <f t="shared" si="4"/>
        <v>12.3537890327027</v>
      </c>
      <c r="K21">
        <f>J21*$N$27</f>
        <v>119.86180575312353</v>
      </c>
      <c r="L21">
        <f t="shared" si="6"/>
        <v>120.702130793278</v>
      </c>
    </row>
    <row r="22" spans="1:14" x14ac:dyDescent="0.3">
      <c r="A22" s="15" t="s">
        <v>28</v>
      </c>
      <c r="B22">
        <v>832.49432373046898</v>
      </c>
      <c r="C22">
        <v>9.4907760000000003</v>
      </c>
      <c r="E22">
        <f t="shared" si="0"/>
        <v>1.140040926341831E-2</v>
      </c>
      <c r="F22">
        <f t="shared" si="1"/>
        <v>1.9581602994535055E-2</v>
      </c>
      <c r="G22">
        <f t="shared" si="7"/>
        <v>0.18998918374375534</v>
      </c>
      <c r="H22">
        <v>6537.96630859375</v>
      </c>
      <c r="I22">
        <f t="shared" si="3"/>
        <v>7.853466530914754</v>
      </c>
      <c r="J22">
        <f t="shared" si="4"/>
        <v>12.477703417405076</v>
      </c>
      <c r="K22">
        <f>J22*$N$27</f>
        <v>121.06407672196528</v>
      </c>
      <c r="L22">
        <f t="shared" si="6"/>
        <v>121.25406590570904</v>
      </c>
    </row>
    <row r="23" spans="1:14" x14ac:dyDescent="0.3">
      <c r="A23" s="15" t="s">
        <v>29</v>
      </c>
      <c r="B23">
        <v>324.20104980468801</v>
      </c>
      <c r="C23">
        <v>0</v>
      </c>
      <c r="E23">
        <f t="shared" si="0"/>
        <v>0</v>
      </c>
      <c r="F23">
        <f t="shared" si="1"/>
        <v>0</v>
      </c>
      <c r="G23">
        <f t="shared" si="7"/>
        <v>0</v>
      </c>
      <c r="H23">
        <v>2552.52661132813</v>
      </c>
      <c r="I23">
        <f t="shared" si="3"/>
        <v>7.8732829917295968</v>
      </c>
      <c r="J23">
        <f t="shared" si="4"/>
        <v>12.509188102525576</v>
      </c>
      <c r="K23">
        <f>J23*$N$6</f>
        <v>124.2793250211588</v>
      </c>
      <c r="L23">
        <f t="shared" si="6"/>
        <v>124.2793250211588</v>
      </c>
    </row>
    <row r="24" spans="1:14" x14ac:dyDescent="0.3">
      <c r="A24" t="s">
        <v>30</v>
      </c>
      <c r="B24">
        <v>0.58220000000000005</v>
      </c>
    </row>
    <row r="25" spans="1:14" x14ac:dyDescent="0.3">
      <c r="A25" t="s">
        <v>31</v>
      </c>
      <c r="B25">
        <v>0.62939999999999996</v>
      </c>
      <c r="M25" t="s">
        <v>9</v>
      </c>
      <c r="N25">
        <v>226.8103279098174</v>
      </c>
    </row>
    <row r="26" spans="1:14" x14ac:dyDescent="0.3">
      <c r="M26" t="s">
        <v>11</v>
      </c>
      <c r="N26">
        <v>125.0948953668602</v>
      </c>
    </row>
    <row r="27" spans="1:14" x14ac:dyDescent="0.3">
      <c r="M27" t="s">
        <v>1</v>
      </c>
      <c r="N27">
        <v>9.702432624988802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zoomScale="73" workbookViewId="0">
      <selection activeCell="B2" sqref="B2"/>
    </sheetView>
  </sheetViews>
  <sheetFormatPr defaultRowHeight="14.4" x14ac:dyDescent="0.3"/>
  <cols>
    <col min="2" max="2" width="15.109375" bestFit="1" customWidth="1"/>
    <col min="3" max="4" width="25.33203125" bestFit="1" customWidth="1"/>
    <col min="5" max="7" width="22.109375" bestFit="1" customWidth="1"/>
  </cols>
  <sheetData>
    <row r="1" spans="1:13" x14ac:dyDescent="0.3">
      <c r="A1" s="1" t="s">
        <v>32</v>
      </c>
      <c r="B1" s="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13" x14ac:dyDescent="0.3">
      <c r="A2" s="2" t="s">
        <v>40</v>
      </c>
      <c r="B2" s="3">
        <v>44927.427002314813</v>
      </c>
      <c r="C2">
        <f t="shared" ref="C2:C25" si="0">(B2-$B$3)*86400/60</f>
        <v>-10.150000004796311</v>
      </c>
      <c r="D2">
        <f t="shared" ref="D2:D25" si="1">(B2-$B$4)*86400/60</f>
        <v>-290.36666666041128</v>
      </c>
      <c r="E2">
        <f t="shared" ref="E2:E25" si="2">(B2-$B$5)*86400/60</f>
        <v>-443.83333333767951</v>
      </c>
      <c r="F2">
        <f t="shared" ref="F2:F25" si="3">(B2-$B$6)*86400/60</f>
        <v>-1383.2666666794103</v>
      </c>
      <c r="G2">
        <f t="shared" ref="G2:G25" si="4">(B2-$B$2)*86400/60</f>
        <v>0</v>
      </c>
      <c r="H2">
        <f t="shared" ref="H2:H25" si="5">(B2-$B$25)*86400/60</f>
        <v>-1465.6166666722856</v>
      </c>
    </row>
    <row r="3" spans="1:13" x14ac:dyDescent="0.3">
      <c r="A3" s="2" t="s">
        <v>41</v>
      </c>
      <c r="B3" s="3">
        <v>44927.434050925927</v>
      </c>
      <c r="C3">
        <f t="shared" si="0"/>
        <v>0</v>
      </c>
      <c r="D3">
        <f t="shared" si="1"/>
        <v>-280.21666665561497</v>
      </c>
      <c r="E3">
        <f t="shared" si="2"/>
        <v>-433.68333333288319</v>
      </c>
      <c r="F3">
        <f t="shared" si="3"/>
        <v>-1373.116666674614</v>
      </c>
      <c r="G3">
        <f t="shared" si="4"/>
        <v>10.150000004796311</v>
      </c>
      <c r="H3">
        <f t="shared" si="5"/>
        <v>-1455.4666666674893</v>
      </c>
      <c r="L3" t="s">
        <v>42</v>
      </c>
      <c r="M3">
        <f>C3</f>
        <v>0</v>
      </c>
    </row>
    <row r="4" spans="1:13" x14ac:dyDescent="0.3">
      <c r="A4" s="2" t="s">
        <v>43</v>
      </c>
      <c r="B4" s="3">
        <v>44927.628645833327</v>
      </c>
      <c r="C4">
        <f t="shared" si="0"/>
        <v>280.21666665561497</v>
      </c>
      <c r="D4">
        <f t="shared" si="1"/>
        <v>0</v>
      </c>
      <c r="E4">
        <f t="shared" si="2"/>
        <v>-153.46666667726822</v>
      </c>
      <c r="F4">
        <f t="shared" si="3"/>
        <v>-1092.900000018999</v>
      </c>
      <c r="G4">
        <f t="shared" si="4"/>
        <v>290.36666666041128</v>
      </c>
      <c r="H4">
        <f t="shared" si="5"/>
        <v>-1175.2500000118744</v>
      </c>
      <c r="L4" t="s">
        <v>44</v>
      </c>
      <c r="M4">
        <f t="shared" ref="M4:M21" si="6">C7</f>
        <v>1.9999999960418791</v>
      </c>
    </row>
    <row r="5" spans="1:13" x14ac:dyDescent="0.3">
      <c r="A5" s="2" t="s">
        <v>45</v>
      </c>
      <c r="B5" s="3">
        <v>44927.735219907408</v>
      </c>
      <c r="C5">
        <f t="shared" si="0"/>
        <v>433.68333333288319</v>
      </c>
      <c r="D5">
        <f t="shared" si="1"/>
        <v>153.46666667726822</v>
      </c>
      <c r="E5">
        <f t="shared" si="2"/>
        <v>0</v>
      </c>
      <c r="F5">
        <f t="shared" si="3"/>
        <v>-939.43333334173076</v>
      </c>
      <c r="G5">
        <f t="shared" si="4"/>
        <v>443.83333333767951</v>
      </c>
      <c r="H5">
        <f t="shared" si="5"/>
        <v>-1021.7833333346061</v>
      </c>
      <c r="L5" t="s">
        <v>46</v>
      </c>
      <c r="M5">
        <f t="shared" si="6"/>
        <v>7.216666666790843</v>
      </c>
    </row>
    <row r="6" spans="1:13" x14ac:dyDescent="0.3">
      <c r="A6" s="2" t="s">
        <v>47</v>
      </c>
      <c r="B6" s="3">
        <v>44928.387604166674</v>
      </c>
      <c r="C6">
        <f t="shared" si="0"/>
        <v>1373.116666674614</v>
      </c>
      <c r="D6">
        <f t="shared" si="1"/>
        <v>1092.900000018999</v>
      </c>
      <c r="E6">
        <f t="shared" si="2"/>
        <v>939.43333334173076</v>
      </c>
      <c r="F6">
        <f t="shared" si="3"/>
        <v>0</v>
      </c>
      <c r="G6">
        <f t="shared" si="4"/>
        <v>1383.2666666794103</v>
      </c>
      <c r="H6">
        <f t="shared" si="5"/>
        <v>-82.349999992875382</v>
      </c>
      <c r="L6" t="s">
        <v>48</v>
      </c>
      <c r="M6">
        <f t="shared" si="6"/>
        <v>30.749999990221113</v>
      </c>
    </row>
    <row r="7" spans="1:13" x14ac:dyDescent="0.3">
      <c r="A7" s="4" t="s">
        <v>44</v>
      </c>
      <c r="B7" s="5">
        <v>44927.435439814813</v>
      </c>
      <c r="C7">
        <f t="shared" si="0"/>
        <v>1.9999999960418791</v>
      </c>
      <c r="D7">
        <f t="shared" si="1"/>
        <v>-278.21666665957309</v>
      </c>
      <c r="E7">
        <f t="shared" si="2"/>
        <v>-431.68333333684132</v>
      </c>
      <c r="F7">
        <f t="shared" si="3"/>
        <v>-1371.1166666785721</v>
      </c>
      <c r="G7">
        <f t="shared" si="4"/>
        <v>12.15000000083819</v>
      </c>
      <c r="H7">
        <f t="shared" si="5"/>
        <v>-1453.4666666714475</v>
      </c>
      <c r="J7">
        <f>B25-B2</f>
        <v>1.0177893518557539</v>
      </c>
      <c r="L7" t="s">
        <v>49</v>
      </c>
      <c r="M7">
        <f t="shared" si="6"/>
        <v>52.45000000228174</v>
      </c>
    </row>
    <row r="8" spans="1:13" x14ac:dyDescent="0.3">
      <c r="A8" s="4" t="s">
        <v>46</v>
      </c>
      <c r="B8" s="5">
        <v>44927.439062500001</v>
      </c>
      <c r="C8">
        <f t="shared" si="0"/>
        <v>7.216666666790843</v>
      </c>
      <c r="D8">
        <f t="shared" si="1"/>
        <v>-272.99999998882413</v>
      </c>
      <c r="E8">
        <f t="shared" si="2"/>
        <v>-426.46666666609235</v>
      </c>
      <c r="F8">
        <f t="shared" si="3"/>
        <v>-1365.9000000078231</v>
      </c>
      <c r="G8">
        <f t="shared" si="4"/>
        <v>17.366666671587154</v>
      </c>
      <c r="H8">
        <f t="shared" si="5"/>
        <v>-1448.2500000006985</v>
      </c>
      <c r="L8" t="s">
        <v>50</v>
      </c>
      <c r="M8">
        <f t="shared" si="6"/>
        <v>92.583333340007812</v>
      </c>
    </row>
    <row r="9" spans="1:13" x14ac:dyDescent="0.3">
      <c r="A9" s="4" t="s">
        <v>48</v>
      </c>
      <c r="B9" s="5">
        <v>44927.455405092587</v>
      </c>
      <c r="C9">
        <f t="shared" si="0"/>
        <v>30.749999990221113</v>
      </c>
      <c r="D9">
        <f t="shared" si="1"/>
        <v>-249.46666666539386</v>
      </c>
      <c r="E9">
        <f t="shared" si="2"/>
        <v>-402.93333334266208</v>
      </c>
      <c r="F9">
        <f t="shared" si="3"/>
        <v>-1342.3666666843928</v>
      </c>
      <c r="G9">
        <f t="shared" si="4"/>
        <v>40.899999995017424</v>
      </c>
      <c r="H9">
        <f t="shared" si="5"/>
        <v>-1424.7166666772682</v>
      </c>
      <c r="L9" t="s">
        <v>51</v>
      </c>
      <c r="M9">
        <f t="shared" si="6"/>
        <v>135.63333333469927</v>
      </c>
    </row>
    <row r="10" spans="1:13" x14ac:dyDescent="0.3">
      <c r="A10" s="4" t="s">
        <v>49</v>
      </c>
      <c r="B10" s="5">
        <v>44927.47047453704</v>
      </c>
      <c r="C10">
        <f t="shared" si="0"/>
        <v>52.45000000228174</v>
      </c>
      <c r="D10">
        <f t="shared" si="1"/>
        <v>-227.76666665333323</v>
      </c>
      <c r="E10">
        <f t="shared" si="2"/>
        <v>-381.23333333060145</v>
      </c>
      <c r="F10">
        <f t="shared" si="3"/>
        <v>-1320.6666666723322</v>
      </c>
      <c r="G10">
        <f t="shared" si="4"/>
        <v>62.600000007078052</v>
      </c>
      <c r="H10">
        <f t="shared" si="5"/>
        <v>-1403.0166666652076</v>
      </c>
      <c r="L10" t="s">
        <v>52</v>
      </c>
      <c r="M10">
        <f t="shared" si="6"/>
        <v>198.3833333349321</v>
      </c>
    </row>
    <row r="11" spans="1:13" x14ac:dyDescent="0.3">
      <c r="A11" s="4" t="s">
        <v>50</v>
      </c>
      <c r="B11" s="5">
        <v>44927.498344907413</v>
      </c>
      <c r="C11">
        <f t="shared" si="0"/>
        <v>92.583333340007812</v>
      </c>
      <c r="D11">
        <f t="shared" si="1"/>
        <v>-187.63333331560716</v>
      </c>
      <c r="E11">
        <f t="shared" si="2"/>
        <v>-341.09999999287538</v>
      </c>
      <c r="F11">
        <f t="shared" si="3"/>
        <v>-1280.5333333346061</v>
      </c>
      <c r="G11">
        <f t="shared" si="4"/>
        <v>102.73333334480412</v>
      </c>
      <c r="H11">
        <f t="shared" si="5"/>
        <v>-1362.8833333274815</v>
      </c>
      <c r="L11" t="s">
        <v>53</v>
      </c>
      <c r="M11">
        <f t="shared" si="6"/>
        <v>277.46666666236706</v>
      </c>
    </row>
    <row r="12" spans="1:13" x14ac:dyDescent="0.3">
      <c r="A12" s="4" t="s">
        <v>51</v>
      </c>
      <c r="B12" s="5">
        <v>44927.528240740743</v>
      </c>
      <c r="C12">
        <f t="shared" si="0"/>
        <v>135.63333333469927</v>
      </c>
      <c r="D12">
        <f t="shared" si="1"/>
        <v>-144.5833333209157</v>
      </c>
      <c r="E12">
        <f t="shared" si="2"/>
        <v>-298.04999999818392</v>
      </c>
      <c r="F12">
        <f t="shared" si="3"/>
        <v>-1237.4833333399147</v>
      </c>
      <c r="G12">
        <f t="shared" si="4"/>
        <v>145.78333333949558</v>
      </c>
      <c r="H12">
        <f t="shared" si="5"/>
        <v>-1319.8333333327901</v>
      </c>
      <c r="L12" t="s">
        <v>54</v>
      </c>
      <c r="M12">
        <f t="shared" si="6"/>
        <v>285.51666666870005</v>
      </c>
    </row>
    <row r="13" spans="1:13" x14ac:dyDescent="0.3">
      <c r="A13" s="4" t="s">
        <v>52</v>
      </c>
      <c r="B13" s="5">
        <v>44927.571817129632</v>
      </c>
      <c r="C13">
        <f t="shared" si="0"/>
        <v>198.3833333349321</v>
      </c>
      <c r="D13">
        <f t="shared" si="1"/>
        <v>-81.833333320682868</v>
      </c>
      <c r="E13">
        <f t="shared" si="2"/>
        <v>-235.29999999795109</v>
      </c>
      <c r="F13">
        <f t="shared" si="3"/>
        <v>-1174.7333333396818</v>
      </c>
      <c r="G13">
        <f t="shared" si="4"/>
        <v>208.53333333972842</v>
      </c>
      <c r="H13">
        <f t="shared" si="5"/>
        <v>-1257.0833333325572</v>
      </c>
      <c r="L13" t="s">
        <v>55</v>
      </c>
      <c r="M13">
        <f t="shared" si="6"/>
        <v>372.34999999520369</v>
      </c>
    </row>
    <row r="14" spans="1:13" x14ac:dyDescent="0.3">
      <c r="A14" s="4" t="s">
        <v>53</v>
      </c>
      <c r="B14" s="5">
        <v>44927.626736111109</v>
      </c>
      <c r="C14">
        <f t="shared" si="0"/>
        <v>277.46666666236706</v>
      </c>
      <c r="D14">
        <f t="shared" si="1"/>
        <v>-2.7499999932479113</v>
      </c>
      <c r="E14">
        <f t="shared" si="2"/>
        <v>-156.21666667051613</v>
      </c>
      <c r="F14">
        <f t="shared" si="3"/>
        <v>-1095.6500000122469</v>
      </c>
      <c r="G14">
        <f t="shared" si="4"/>
        <v>287.61666666716337</v>
      </c>
      <c r="H14">
        <f t="shared" si="5"/>
        <v>-1178.0000000051223</v>
      </c>
      <c r="L14" t="s">
        <v>56</v>
      </c>
      <c r="M14">
        <f t="shared" si="6"/>
        <v>432.23333332920447</v>
      </c>
    </row>
    <row r="15" spans="1:13" x14ac:dyDescent="0.3">
      <c r="A15" s="6" t="s">
        <v>54</v>
      </c>
      <c r="B15" s="7">
        <v>44927.632326388892</v>
      </c>
      <c r="C15" s="8">
        <f t="shared" si="0"/>
        <v>285.51666666870005</v>
      </c>
      <c r="D15" s="8">
        <f t="shared" si="1"/>
        <v>5.3000000130850822</v>
      </c>
      <c r="E15">
        <f t="shared" si="2"/>
        <v>-148.16666666418314</v>
      </c>
      <c r="F15">
        <f t="shared" si="3"/>
        <v>-1087.6000000059139</v>
      </c>
      <c r="G15">
        <f t="shared" si="4"/>
        <v>295.66666667349637</v>
      </c>
      <c r="H15">
        <f t="shared" si="5"/>
        <v>-1169.9499999987893</v>
      </c>
      <c r="L15" t="s">
        <v>57</v>
      </c>
      <c r="M15">
        <f t="shared" si="6"/>
        <v>437.84999999916181</v>
      </c>
    </row>
    <row r="16" spans="1:13" x14ac:dyDescent="0.3">
      <c r="A16" s="6" t="s">
        <v>55</v>
      </c>
      <c r="B16" s="7">
        <v>44927.692627314813</v>
      </c>
      <c r="C16" s="8">
        <f t="shared" si="0"/>
        <v>372.34999999520369</v>
      </c>
      <c r="D16" s="8">
        <f t="shared" si="1"/>
        <v>92.133333339588717</v>
      </c>
      <c r="E16">
        <f t="shared" si="2"/>
        <v>-61.333333337679505</v>
      </c>
      <c r="F16">
        <f t="shared" si="3"/>
        <v>-1000.7666666794103</v>
      </c>
      <c r="G16">
        <f t="shared" si="4"/>
        <v>382.5</v>
      </c>
      <c r="H16">
        <f t="shared" si="5"/>
        <v>-1083.1166666722856</v>
      </c>
      <c r="L16" t="s">
        <v>58</v>
      </c>
      <c r="M16">
        <f t="shared" si="6"/>
        <v>1368.2500000018626</v>
      </c>
    </row>
    <row r="17" spans="1:13" x14ac:dyDescent="0.3">
      <c r="A17" s="6" t="s">
        <v>56</v>
      </c>
      <c r="B17" s="7">
        <v>44927.734212962961</v>
      </c>
      <c r="C17" s="8">
        <f t="shared" si="0"/>
        <v>432.23333332920447</v>
      </c>
      <c r="D17" s="8">
        <f t="shared" si="1"/>
        <v>152.0166666735895</v>
      </c>
      <c r="E17">
        <f t="shared" si="2"/>
        <v>-1.4500000036787242</v>
      </c>
      <c r="F17">
        <f t="shared" si="3"/>
        <v>-940.88333334540948</v>
      </c>
      <c r="G17">
        <f t="shared" si="4"/>
        <v>442.38333333400078</v>
      </c>
      <c r="H17">
        <f t="shared" si="5"/>
        <v>-1023.2333333382849</v>
      </c>
      <c r="L17" t="s">
        <v>59</v>
      </c>
      <c r="M17">
        <f t="shared" si="6"/>
        <v>1383.3666666608769</v>
      </c>
    </row>
    <row r="18" spans="1:13" x14ac:dyDescent="0.3">
      <c r="A18" s="9" t="s">
        <v>57</v>
      </c>
      <c r="B18" s="10">
        <v>44927.738113425927</v>
      </c>
      <c r="C18">
        <f t="shared" si="0"/>
        <v>437.84999999916181</v>
      </c>
      <c r="D18">
        <f t="shared" si="1"/>
        <v>157.63333334354684</v>
      </c>
      <c r="E18">
        <f t="shared" si="2"/>
        <v>4.1666666662786156</v>
      </c>
      <c r="F18">
        <f t="shared" si="3"/>
        <v>-935.26666667545214</v>
      </c>
      <c r="G18">
        <f t="shared" si="4"/>
        <v>448.00000000395812</v>
      </c>
      <c r="H18">
        <f t="shared" si="5"/>
        <v>-1017.6166666683275</v>
      </c>
      <c r="L18" t="s">
        <v>60</v>
      </c>
      <c r="M18">
        <f t="shared" si="6"/>
        <v>1466.1500000045635</v>
      </c>
    </row>
    <row r="19" spans="1:13" x14ac:dyDescent="0.3">
      <c r="A19" s="9" t="s">
        <v>58</v>
      </c>
      <c r="B19" s="10">
        <v>44928.38422453704</v>
      </c>
      <c r="C19">
        <f t="shared" si="0"/>
        <v>1368.2500000018626</v>
      </c>
      <c r="D19">
        <f t="shared" si="1"/>
        <v>1088.0333333462477</v>
      </c>
      <c r="E19">
        <f t="shared" si="2"/>
        <v>934.56666666897945</v>
      </c>
      <c r="F19">
        <f t="shared" si="3"/>
        <v>-4.8666666727513075</v>
      </c>
      <c r="G19">
        <f t="shared" si="4"/>
        <v>1378.400000006659</v>
      </c>
      <c r="H19">
        <f t="shared" si="5"/>
        <v>-87.21666666562669</v>
      </c>
      <c r="L19" t="s">
        <v>61</v>
      </c>
      <c r="M19">
        <f t="shared" si="6"/>
        <v>1519.466666666558</v>
      </c>
    </row>
    <row r="20" spans="1:13" x14ac:dyDescent="0.3">
      <c r="A20" s="11" t="s">
        <v>59</v>
      </c>
      <c r="B20" s="12">
        <v>44928.39472222222</v>
      </c>
      <c r="C20">
        <f t="shared" si="0"/>
        <v>1383.3666666608769</v>
      </c>
      <c r="D20">
        <f t="shared" si="1"/>
        <v>1103.150000005262</v>
      </c>
      <c r="E20">
        <f t="shared" si="2"/>
        <v>949.68333332799375</v>
      </c>
      <c r="F20">
        <f t="shared" si="3"/>
        <v>10.249999986262992</v>
      </c>
      <c r="G20">
        <f t="shared" si="4"/>
        <v>1393.5166666656733</v>
      </c>
      <c r="H20">
        <f t="shared" si="5"/>
        <v>-72.10000000661239</v>
      </c>
      <c r="L20" t="s">
        <v>62</v>
      </c>
      <c r="M20">
        <f t="shared" si="6"/>
        <v>1624.9666666646954</v>
      </c>
    </row>
    <row r="21" spans="1:13" x14ac:dyDescent="0.3">
      <c r="A21" s="11" t="s">
        <v>60</v>
      </c>
      <c r="B21" s="12">
        <v>44928.452210648153</v>
      </c>
      <c r="C21">
        <f t="shared" si="0"/>
        <v>1466.1500000045635</v>
      </c>
      <c r="D21">
        <f t="shared" si="1"/>
        <v>1185.9333333489485</v>
      </c>
      <c r="E21">
        <f t="shared" si="2"/>
        <v>1032.4666666716803</v>
      </c>
      <c r="F21">
        <f t="shared" si="3"/>
        <v>93.033333329949528</v>
      </c>
      <c r="G21">
        <f t="shared" si="4"/>
        <v>1476.3000000093598</v>
      </c>
      <c r="H21">
        <f t="shared" si="5"/>
        <v>10.683333337074146</v>
      </c>
      <c r="L21" t="s">
        <v>63</v>
      </c>
      <c r="M21">
        <f t="shared" si="6"/>
        <v>1796.6333333321381</v>
      </c>
    </row>
    <row r="22" spans="1:13" x14ac:dyDescent="0.3">
      <c r="A22" s="11" t="s">
        <v>61</v>
      </c>
      <c r="B22" s="12">
        <v>44928.489236111112</v>
      </c>
      <c r="C22">
        <f t="shared" si="0"/>
        <v>1519.466666666558</v>
      </c>
      <c r="D22">
        <f t="shared" si="1"/>
        <v>1239.250000010943</v>
      </c>
      <c r="E22">
        <f t="shared" si="2"/>
        <v>1085.7833333336748</v>
      </c>
      <c r="F22">
        <f t="shared" si="3"/>
        <v>146.34999999194406</v>
      </c>
      <c r="G22">
        <f t="shared" si="4"/>
        <v>1529.6166666713543</v>
      </c>
      <c r="H22">
        <f t="shared" si="5"/>
        <v>63.999999999068677</v>
      </c>
    </row>
    <row r="23" spans="1:13" x14ac:dyDescent="0.3">
      <c r="A23" s="11" t="s">
        <v>62</v>
      </c>
      <c r="B23" s="12">
        <v>44928.5625</v>
      </c>
      <c r="C23">
        <f t="shared" si="0"/>
        <v>1624.9666666646954</v>
      </c>
      <c r="D23">
        <f t="shared" si="1"/>
        <v>1344.7500000090804</v>
      </c>
      <c r="E23">
        <f t="shared" si="2"/>
        <v>1191.2833333318122</v>
      </c>
      <c r="F23">
        <f t="shared" si="3"/>
        <v>251.84999999008141</v>
      </c>
      <c r="G23">
        <f t="shared" si="4"/>
        <v>1635.1166666694917</v>
      </c>
      <c r="H23">
        <f t="shared" si="5"/>
        <v>169.49999999720603</v>
      </c>
    </row>
    <row r="24" spans="1:13" x14ac:dyDescent="0.3">
      <c r="A24" s="11" t="s">
        <v>63</v>
      </c>
      <c r="B24" s="12">
        <v>44928.681712962964</v>
      </c>
      <c r="C24">
        <f t="shared" si="0"/>
        <v>1796.6333333321381</v>
      </c>
      <c r="D24">
        <f t="shared" si="1"/>
        <v>1516.4166666765232</v>
      </c>
      <c r="E24">
        <f t="shared" si="2"/>
        <v>1362.9499999992549</v>
      </c>
      <c r="F24">
        <f t="shared" si="3"/>
        <v>423.51666665752418</v>
      </c>
      <c r="G24">
        <f t="shared" si="4"/>
        <v>1806.7833333369344</v>
      </c>
      <c r="H24">
        <f t="shared" si="5"/>
        <v>341.1666666646488</v>
      </c>
    </row>
    <row r="25" spans="1:13" x14ac:dyDescent="0.3">
      <c r="A25" s="2" t="s">
        <v>64</v>
      </c>
      <c r="B25" s="3">
        <v>44928.444791666669</v>
      </c>
      <c r="C25">
        <f t="shared" si="0"/>
        <v>1455.4666666674893</v>
      </c>
      <c r="D25">
        <f t="shared" si="1"/>
        <v>1175.2500000118744</v>
      </c>
      <c r="E25">
        <f t="shared" si="2"/>
        <v>1021.7833333346061</v>
      </c>
      <c r="F25">
        <f t="shared" si="3"/>
        <v>82.349999992875382</v>
      </c>
      <c r="G25">
        <f t="shared" si="4"/>
        <v>1465.6166666722856</v>
      </c>
      <c r="H25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activeCell="P15" sqref="P15"/>
    </sheetView>
  </sheetViews>
  <sheetFormatPr defaultRowHeight="14.4" x14ac:dyDescent="0.3"/>
  <cols>
    <col min="1" max="1" width="11.6640625" bestFit="1" customWidth="1"/>
    <col min="2" max="2" width="14.33203125" bestFit="1" customWidth="1"/>
  </cols>
  <sheetData>
    <row r="1" spans="1:3" x14ac:dyDescent="0.3">
      <c r="A1" t="s">
        <v>65</v>
      </c>
      <c r="B1" t="s">
        <v>2</v>
      </c>
      <c r="C1" t="s">
        <v>5</v>
      </c>
    </row>
    <row r="2" spans="1:3" x14ac:dyDescent="0.3">
      <c r="A2">
        <v>0</v>
      </c>
      <c r="B2">
        <v>125.2981066113618</v>
      </c>
      <c r="C2">
        <v>0</v>
      </c>
    </row>
    <row r="3" spans="1:3" x14ac:dyDescent="0.3">
      <c r="A3">
        <v>1.9999999960418791</v>
      </c>
      <c r="B3">
        <v>122.73028452173889</v>
      </c>
      <c r="C3">
        <v>0.96967363048764521</v>
      </c>
    </row>
    <row r="4" spans="1:3" x14ac:dyDescent="0.3">
      <c r="A4">
        <v>7.216666666790843</v>
      </c>
      <c r="B4">
        <v>122.2976085227757</v>
      </c>
      <c r="C4">
        <v>2.1759312200460079</v>
      </c>
    </row>
    <row r="5" spans="1:3" x14ac:dyDescent="0.3">
      <c r="A5">
        <v>30.750000000698488</v>
      </c>
      <c r="B5">
        <v>118.25227748565381</v>
      </c>
      <c r="C5">
        <v>6.5277540182447176</v>
      </c>
    </row>
    <row r="6" spans="1:3" x14ac:dyDescent="0.3">
      <c r="A6">
        <v>52.45000000228174</v>
      </c>
      <c r="B6">
        <v>113.7047904831922</v>
      </c>
      <c r="C6">
        <v>9.628790355795994</v>
      </c>
    </row>
    <row r="7" spans="1:3" x14ac:dyDescent="0.3">
      <c r="A7">
        <v>92.583333329530433</v>
      </c>
      <c r="B7">
        <v>111.33909563104631</v>
      </c>
      <c r="C7">
        <v>13.98411950602798</v>
      </c>
    </row>
    <row r="8" spans="1:3" x14ac:dyDescent="0.3">
      <c r="A8">
        <v>135.6333333346993</v>
      </c>
      <c r="B8">
        <v>107.4066232795481</v>
      </c>
      <c r="C8">
        <v>17.022988403071292</v>
      </c>
    </row>
    <row r="9" spans="1:3" x14ac:dyDescent="0.3">
      <c r="A9">
        <v>198.3833333349321</v>
      </c>
      <c r="B9">
        <v>104.3458857731176</v>
      </c>
      <c r="C9">
        <v>20.370345132566211</v>
      </c>
    </row>
    <row r="10" spans="1:3" x14ac:dyDescent="0.3">
      <c r="A10">
        <v>277.46666666236712</v>
      </c>
      <c r="B10">
        <v>100.3686359451026</v>
      </c>
      <c r="C10">
        <v>22.39680494509847</v>
      </c>
    </row>
    <row r="11" spans="1:3" x14ac:dyDescent="0.3">
      <c r="A11">
        <v>372.34999999520369</v>
      </c>
      <c r="B11">
        <v>81.899551170207801</v>
      </c>
      <c r="C11">
        <v>42.217204894365317</v>
      </c>
    </row>
    <row r="12" spans="1:3" x14ac:dyDescent="0.3">
      <c r="A12">
        <v>432.23333332920453</v>
      </c>
      <c r="B12">
        <v>75.581630893477993</v>
      </c>
      <c r="C12">
        <v>47.720268737549773</v>
      </c>
    </row>
    <row r="13" spans="1:3" x14ac:dyDescent="0.3">
      <c r="A13">
        <v>437.84999999916181</v>
      </c>
      <c r="B13">
        <v>71.630934781899128</v>
      </c>
      <c r="C13">
        <v>50.565616152350742</v>
      </c>
    </row>
    <row r="14" spans="1:3" x14ac:dyDescent="0.3">
      <c r="A14">
        <v>1368.2500000018631</v>
      </c>
      <c r="B14">
        <v>12.58849886235425</v>
      </c>
      <c r="C14">
        <v>109.3781204040579</v>
      </c>
    </row>
    <row r="15" spans="1:3" x14ac:dyDescent="0.3">
      <c r="A15">
        <v>1383.3666666608769</v>
      </c>
      <c r="B15">
        <v>10.876609815654399</v>
      </c>
      <c r="C15">
        <v>109.4690127432842</v>
      </c>
    </row>
    <row r="16" spans="1:3" x14ac:dyDescent="0.3">
      <c r="A16">
        <v>1466.1499999940861</v>
      </c>
      <c r="B16">
        <v>4.232539527670637</v>
      </c>
      <c r="C16">
        <v>118.037226918618</v>
      </c>
    </row>
    <row r="17" spans="1:3" x14ac:dyDescent="0.3">
      <c r="A17">
        <v>1519.466666666558</v>
      </c>
      <c r="B17">
        <v>2.3799932239186141</v>
      </c>
      <c r="C17">
        <v>118.0173431826029</v>
      </c>
    </row>
    <row r="18" spans="1:3" x14ac:dyDescent="0.3">
      <c r="A18">
        <v>1624.9666666646949</v>
      </c>
      <c r="B18">
        <v>0.84032504015446752</v>
      </c>
      <c r="C18">
        <v>119.86180575312351</v>
      </c>
    </row>
    <row r="19" spans="1:3" x14ac:dyDescent="0.3">
      <c r="A19">
        <v>1796.6333333321379</v>
      </c>
      <c r="B19">
        <v>0.18998918374375531</v>
      </c>
      <c r="C19">
        <v>121.06407672196529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C4_E1a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2024-10-31T07:07:09Z</dcterms:created>
  <dcterms:modified xsi:type="dcterms:W3CDTF">2026-01-12T11:27:58Z</dcterms:modified>
</cp:coreProperties>
</file>
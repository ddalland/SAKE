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14" documentId="11_6DDC42AAEB974B8990B29F556E37395E44D25F8D" xr6:coauthVersionLast="47" xr6:coauthVersionMax="47" xr10:uidLastSave="{88FC4FF9-25E3-43DA-B99A-0C4254E78082}"/>
  <bookViews>
    <workbookView xWindow="30375" yWindow="2715" windowWidth="10860" windowHeight="7110" firstSheet="2" activeTab="2" xr2:uid="{00000000-000D-0000-FFFF-FFFF00000000}"/>
  </bookViews>
  <sheets>
    <sheet name="C3_E3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C27" i="2"/>
  <c r="H16" i="2" s="1"/>
  <c r="C26" i="2"/>
  <c r="H15" i="2" s="1"/>
  <c r="C25" i="2"/>
  <c r="C24" i="2"/>
  <c r="C23" i="2"/>
  <c r="C22" i="2"/>
  <c r="C21" i="2"/>
  <c r="H12" i="2" s="1"/>
  <c r="C20" i="2"/>
  <c r="H11" i="2" s="1"/>
  <c r="C19" i="2"/>
  <c r="H10" i="2" s="1"/>
  <c r="C18" i="2"/>
  <c r="H17" i="2"/>
  <c r="C17" i="2"/>
  <c r="C16" i="2"/>
  <c r="H8" i="2" s="1"/>
  <c r="C15" i="2"/>
  <c r="H14" i="2"/>
  <c r="C14" i="2"/>
  <c r="H13" i="2"/>
  <c r="C13" i="2"/>
  <c r="C12" i="2"/>
  <c r="H5" i="2" s="1"/>
  <c r="C11" i="2"/>
  <c r="H4" i="2" s="1"/>
  <c r="C10" i="2"/>
  <c r="H9" i="2"/>
  <c r="C9" i="2"/>
  <c r="C8" i="2"/>
  <c r="H2" i="2" s="1"/>
  <c r="H7" i="2"/>
  <c r="C7" i="2"/>
  <c r="H6" i="2"/>
  <c r="C6" i="2"/>
  <c r="F6" i="2" s="1"/>
  <c r="C5" i="2"/>
  <c r="F5" i="2" s="1"/>
  <c r="C4" i="2"/>
  <c r="F4" i="2" s="1"/>
  <c r="H3" i="2"/>
  <c r="F3" i="2"/>
  <c r="C3" i="2"/>
  <c r="C2" i="2"/>
  <c r="F2" i="2" s="1"/>
  <c r="C1" i="2"/>
  <c r="F1" i="2" s="1"/>
  <c r="H22" i="1"/>
  <c r="I22" i="1" s="1"/>
  <c r="J22" i="1" s="1"/>
  <c r="D22" i="1"/>
  <c r="E22" i="1" s="1"/>
  <c r="F22" i="1" s="1"/>
  <c r="K22" i="1" s="1"/>
  <c r="H21" i="1"/>
  <c r="I21" i="1" s="1"/>
  <c r="J21" i="1" s="1"/>
  <c r="E21" i="1"/>
  <c r="F21" i="1" s="1"/>
  <c r="K21" i="1" s="1"/>
  <c r="D21" i="1"/>
  <c r="I20" i="1"/>
  <c r="J20" i="1" s="1"/>
  <c r="H20" i="1"/>
  <c r="D20" i="1"/>
  <c r="E20" i="1" s="1"/>
  <c r="F20" i="1" s="1"/>
  <c r="H19" i="1"/>
  <c r="I19" i="1" s="1"/>
  <c r="J19" i="1" s="1"/>
  <c r="D19" i="1"/>
  <c r="E19" i="1" s="1"/>
  <c r="F19" i="1" s="1"/>
  <c r="K19" i="1" s="1"/>
  <c r="H18" i="1"/>
  <c r="I18" i="1" s="1"/>
  <c r="J18" i="1" s="1"/>
  <c r="D18" i="1"/>
  <c r="E18" i="1" s="1"/>
  <c r="F18" i="1" s="1"/>
  <c r="K18" i="1" s="1"/>
  <c r="H17" i="1"/>
  <c r="I17" i="1" s="1"/>
  <c r="J17" i="1" s="1"/>
  <c r="E17" i="1"/>
  <c r="F17" i="1" s="1"/>
  <c r="K17" i="1" s="1"/>
  <c r="D17" i="1"/>
  <c r="I16" i="1"/>
  <c r="J16" i="1" s="1"/>
  <c r="H16" i="1"/>
  <c r="D16" i="1"/>
  <c r="E16" i="1" s="1"/>
  <c r="F16" i="1" s="1"/>
  <c r="K16" i="1" s="1"/>
  <c r="H15" i="1"/>
  <c r="I15" i="1" s="1"/>
  <c r="J15" i="1" s="1"/>
  <c r="D15" i="1"/>
  <c r="E15" i="1" s="1"/>
  <c r="F15" i="1" s="1"/>
  <c r="K15" i="1" s="1"/>
  <c r="H14" i="1"/>
  <c r="I14" i="1" s="1"/>
  <c r="J14" i="1" s="1"/>
  <c r="D14" i="1"/>
  <c r="E14" i="1" s="1"/>
  <c r="F14" i="1" s="1"/>
  <c r="K14" i="1" s="1"/>
  <c r="H13" i="1"/>
  <c r="I13" i="1" s="1"/>
  <c r="J13" i="1" s="1"/>
  <c r="D13" i="1"/>
  <c r="E13" i="1" s="1"/>
  <c r="F13" i="1" s="1"/>
  <c r="I12" i="1"/>
  <c r="J12" i="1" s="1"/>
  <c r="H12" i="1"/>
  <c r="D12" i="1"/>
  <c r="E12" i="1" s="1"/>
  <c r="F12" i="1" s="1"/>
  <c r="K12" i="1" s="1"/>
  <c r="H11" i="1"/>
  <c r="I11" i="1" s="1"/>
  <c r="J11" i="1" s="1"/>
  <c r="D11" i="1"/>
  <c r="E11" i="1" s="1"/>
  <c r="F11" i="1" s="1"/>
  <c r="K11" i="1" s="1"/>
  <c r="H10" i="1"/>
  <c r="I10" i="1" s="1"/>
  <c r="J10" i="1" s="1"/>
  <c r="D10" i="1"/>
  <c r="E10" i="1" s="1"/>
  <c r="F10" i="1" s="1"/>
  <c r="K10" i="1" s="1"/>
  <c r="H9" i="1"/>
  <c r="I9" i="1" s="1"/>
  <c r="J9" i="1" s="1"/>
  <c r="E9" i="1"/>
  <c r="F9" i="1" s="1"/>
  <c r="K9" i="1" s="1"/>
  <c r="D9" i="1"/>
  <c r="H8" i="1"/>
  <c r="I8" i="1" s="1"/>
  <c r="J8" i="1" s="1"/>
  <c r="D8" i="1"/>
  <c r="E8" i="1" s="1"/>
  <c r="F8" i="1" s="1"/>
  <c r="K8" i="1" s="1"/>
  <c r="H7" i="1"/>
  <c r="I7" i="1" s="1"/>
  <c r="J7" i="1" s="1"/>
  <c r="D7" i="1"/>
  <c r="E7" i="1" s="1"/>
  <c r="F7" i="1" s="1"/>
  <c r="K7" i="1" s="1"/>
  <c r="H6" i="1"/>
  <c r="I6" i="1" s="1"/>
  <c r="J6" i="1" s="1"/>
  <c r="D6" i="1"/>
  <c r="E6" i="1" s="1"/>
  <c r="F6" i="1" s="1"/>
  <c r="H5" i="1"/>
  <c r="I5" i="1" s="1"/>
  <c r="J5" i="1" s="1"/>
  <c r="E5" i="1"/>
  <c r="F5" i="1" s="1"/>
  <c r="K5" i="1" s="1"/>
  <c r="D5" i="1"/>
  <c r="I4" i="1"/>
  <c r="J4" i="1" s="1"/>
  <c r="H4" i="1"/>
  <c r="D4" i="1"/>
  <c r="E4" i="1" s="1"/>
  <c r="F4" i="1" s="1"/>
  <c r="K4" i="1" s="1"/>
  <c r="K6" i="1" l="1"/>
  <c r="K13" i="1"/>
  <c r="K20" i="1"/>
  <c r="H1" i="2"/>
</calcChain>
</file>

<file path=xl/sharedStrings.xml><?xml version="1.0" encoding="utf-8"?>
<sst xmlns="http://schemas.openxmlformats.org/spreadsheetml/2006/main" count="127" uniqueCount="76">
  <si>
    <t>filename</t>
  </si>
  <si>
    <t>Biphenyl</t>
  </si>
  <si>
    <t>4SO2MeArOPh</t>
  </si>
  <si>
    <t>Ratio of integral with IS</t>
  </si>
  <si>
    <t>concentrations</t>
  </si>
  <si>
    <t>Product</t>
  </si>
  <si>
    <t>Compound</t>
  </si>
  <si>
    <t>Initial concentration / mM</t>
  </si>
  <si>
    <t>Piperazine</t>
  </si>
  <si>
    <t>C3_E3-S0</t>
  </si>
  <si>
    <t>Ar-4SO2Me-Oph</t>
  </si>
  <si>
    <t>C3_E3-S1</t>
  </si>
  <si>
    <t>C3_E3-S2</t>
  </si>
  <si>
    <t>C3_E3-S3</t>
  </si>
  <si>
    <t>C3_E3-S4</t>
  </si>
  <si>
    <t>C3_E3-S5</t>
  </si>
  <si>
    <t>C3_E3-S6</t>
  </si>
  <si>
    <t>C3_E3-S7</t>
  </si>
  <si>
    <t>C3_E3-S8</t>
  </si>
  <si>
    <t>C3_E3-S9</t>
  </si>
  <si>
    <t>Phenol</t>
  </si>
  <si>
    <t>C3_E3-S10</t>
  </si>
  <si>
    <t>C3_E3-S11</t>
  </si>
  <si>
    <t>C3_E3-S12</t>
  </si>
  <si>
    <t>C3_E3-S13</t>
  </si>
  <si>
    <t>C3_E3-S14</t>
  </si>
  <si>
    <t>C3_E3-S15</t>
  </si>
  <si>
    <t>C3_E3-S16</t>
  </si>
  <si>
    <t>C3_E3-S80</t>
  </si>
  <si>
    <t>C3_E3-S81</t>
  </si>
  <si>
    <t>CC 4SO2Me-ArOPh 254 nm</t>
  </si>
  <si>
    <t>CC Product 254 nm</t>
  </si>
  <si>
    <t>Adjusted for mass balance</t>
  </si>
  <si>
    <t>B1:</t>
  </si>
  <si>
    <t>S0</t>
  </si>
  <si>
    <t>B2:</t>
  </si>
  <si>
    <t>S1</t>
  </si>
  <si>
    <t>Phenol:</t>
  </si>
  <si>
    <t>S2</t>
  </si>
  <si>
    <t>A2:</t>
  </si>
  <si>
    <t>S3</t>
  </si>
  <si>
    <t>B3:</t>
  </si>
  <si>
    <t>S4</t>
  </si>
  <si>
    <t>A3</t>
  </si>
  <si>
    <t>S5</t>
  </si>
  <si>
    <t>A3:13:20:27</t>
  </si>
  <si>
    <t>Start:</t>
  </si>
  <si>
    <t>S6</t>
  </si>
  <si>
    <t>S1:</t>
  </si>
  <si>
    <t>S7</t>
  </si>
  <si>
    <t>S2:</t>
  </si>
  <si>
    <t>S8</t>
  </si>
  <si>
    <t>S9</t>
  </si>
  <si>
    <t>S3:</t>
  </si>
  <si>
    <t>S10</t>
  </si>
  <si>
    <t>S4:</t>
  </si>
  <si>
    <t>S11</t>
  </si>
  <si>
    <t>S5: </t>
  </si>
  <si>
    <t>S12</t>
  </si>
  <si>
    <t>S13</t>
  </si>
  <si>
    <t>S6:</t>
  </si>
  <si>
    <t>S14</t>
  </si>
  <si>
    <t>S7:</t>
  </si>
  <si>
    <t>S15</t>
  </si>
  <si>
    <t>S8:</t>
  </si>
  <si>
    <t>S16</t>
  </si>
  <si>
    <t>S9: </t>
  </si>
  <si>
    <t>S10:</t>
  </si>
  <si>
    <t>S11:</t>
  </si>
  <si>
    <t>S12:</t>
  </si>
  <si>
    <t>S13:</t>
  </si>
  <si>
    <t>S14:</t>
  </si>
  <si>
    <t>S15:</t>
  </si>
  <si>
    <t>Time / min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</si>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</sst>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21" fontId="1" fillId="0" borderId="0" xfId="0" applyNumberFormat="1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HPLC'!$A$2:$A$19</c:f>
              <c:numCache>
                <c:formatCode>General</c:formatCode>
                <c:ptCount val="18"/>
                <c:pt idx="0">
                  <c:v>0</c:v>
                </c:pt>
                <c:pt idx="1">
                  <c:v>10.14999999999999</c:v>
                </c:pt>
                <c:pt idx="2">
                  <c:v>21.166666666666639</c:v>
                </c:pt>
                <c:pt idx="3">
                  <c:v>32.400000000000027</c:v>
                </c:pt>
                <c:pt idx="4">
                  <c:v>34.31666666666662</c:v>
                </c:pt>
                <c:pt idx="5">
                  <c:v>39.083333333333343</c:v>
                </c:pt>
                <c:pt idx="6">
                  <c:v>41.899999999999913</c:v>
                </c:pt>
                <c:pt idx="7">
                  <c:v>49.349999999999959</c:v>
                </c:pt>
                <c:pt idx="8">
                  <c:v>56.533333333333353</c:v>
                </c:pt>
                <c:pt idx="9">
                  <c:v>62.333333333333293</c:v>
                </c:pt>
                <c:pt idx="10">
                  <c:v>83.450000000000017</c:v>
                </c:pt>
                <c:pt idx="11">
                  <c:v>91.683333333333252</c:v>
                </c:pt>
                <c:pt idx="12">
                  <c:v>94.516666666666609</c:v>
                </c:pt>
                <c:pt idx="13">
                  <c:v>101.73333333333321</c:v>
                </c:pt>
                <c:pt idx="14">
                  <c:v>110.59999999999989</c:v>
                </c:pt>
                <c:pt idx="15">
                  <c:v>113.7166666666666</c:v>
                </c:pt>
                <c:pt idx="16">
                  <c:v>118.6999999999999</c:v>
                </c:pt>
                <c:pt idx="17">
                  <c:v>130</c:v>
                </c:pt>
              </c:numCache>
            </c:numRef>
          </c:xVal>
          <c:yVal>
            <c:numRef>
              <c:f>'Concentration vs time HPLC'!$B$2:$B$19</c:f>
              <c:numCache>
                <c:formatCode>General</c:formatCode>
                <c:ptCount val="18"/>
                <c:pt idx="0">
                  <c:v>36.620554690560937</c:v>
                </c:pt>
                <c:pt idx="1">
                  <c:v>29.484255697358769</c:v>
                </c:pt>
                <c:pt idx="2">
                  <c:v>27.051472404021101</c:v>
                </c:pt>
                <c:pt idx="3">
                  <c:v>19.913002358683929</c:v>
                </c:pt>
                <c:pt idx="4">
                  <c:v>17.1905680922745</c:v>
                </c:pt>
                <c:pt idx="5">
                  <c:v>11.169038768510269</c:v>
                </c:pt>
                <c:pt idx="6">
                  <c:v>8.5659191261850509</c:v>
                </c:pt>
                <c:pt idx="7">
                  <c:v>4.6592346765691293</c:v>
                </c:pt>
                <c:pt idx="8">
                  <c:v>3.331402726633057</c:v>
                </c:pt>
                <c:pt idx="9">
                  <c:v>17.269540169194151</c:v>
                </c:pt>
                <c:pt idx="10">
                  <c:v>5.679146355673641</c:v>
                </c:pt>
                <c:pt idx="11">
                  <c:v>3.7118030024761222</c:v>
                </c:pt>
                <c:pt idx="12">
                  <c:v>1.783531790305678</c:v>
                </c:pt>
                <c:pt idx="13">
                  <c:v>0.15874237938305649</c:v>
                </c:pt>
                <c:pt idx="14">
                  <c:v>6.7149192008354666</c:v>
                </c:pt>
                <c:pt idx="15">
                  <c:v>2.9368710630100541</c:v>
                </c:pt>
                <c:pt idx="16">
                  <c:v>0.78356828850679783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F-4D3F-86B2-2867F8813A01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HPLC'!$A$2:$A$19</c:f>
              <c:numCache>
                <c:formatCode>General</c:formatCode>
                <c:ptCount val="18"/>
                <c:pt idx="0">
                  <c:v>0</c:v>
                </c:pt>
                <c:pt idx="1">
                  <c:v>10.14999999999999</c:v>
                </c:pt>
                <c:pt idx="2">
                  <c:v>21.166666666666639</c:v>
                </c:pt>
                <c:pt idx="3">
                  <c:v>32.400000000000027</c:v>
                </c:pt>
                <c:pt idx="4">
                  <c:v>34.31666666666662</c:v>
                </c:pt>
                <c:pt idx="5">
                  <c:v>39.083333333333343</c:v>
                </c:pt>
                <c:pt idx="6">
                  <c:v>41.899999999999913</c:v>
                </c:pt>
                <c:pt idx="7">
                  <c:v>49.349999999999959</c:v>
                </c:pt>
                <c:pt idx="8">
                  <c:v>56.533333333333353</c:v>
                </c:pt>
                <c:pt idx="9">
                  <c:v>62.333333333333293</c:v>
                </c:pt>
                <c:pt idx="10">
                  <c:v>83.450000000000017</c:v>
                </c:pt>
                <c:pt idx="11">
                  <c:v>91.683333333333252</c:v>
                </c:pt>
                <c:pt idx="12">
                  <c:v>94.516666666666609</c:v>
                </c:pt>
                <c:pt idx="13">
                  <c:v>101.73333333333321</c:v>
                </c:pt>
                <c:pt idx="14">
                  <c:v>110.59999999999989</c:v>
                </c:pt>
                <c:pt idx="15">
                  <c:v>113.7166666666666</c:v>
                </c:pt>
                <c:pt idx="16">
                  <c:v>118.6999999999999</c:v>
                </c:pt>
                <c:pt idx="17">
                  <c:v>130</c:v>
                </c:pt>
              </c:numCache>
            </c:numRef>
          </c:xVal>
          <c:yVal>
            <c:numRef>
              <c:f>'Concentration vs time HPLC'!$C$2:$C$19</c:f>
              <c:numCache>
                <c:formatCode>General</c:formatCode>
                <c:ptCount val="18"/>
                <c:pt idx="0">
                  <c:v>0</c:v>
                </c:pt>
                <c:pt idx="1">
                  <c:v>6.2840068708158014</c:v>
                </c:pt>
                <c:pt idx="2">
                  <c:v>8.7167901641534691</c:v>
                </c:pt>
                <c:pt idx="3">
                  <c:v>15.516483718569592</c:v>
                </c:pt>
                <c:pt idx="4">
                  <c:v>18.238917984979022</c:v>
                </c:pt>
                <c:pt idx="5">
                  <c:v>24.260447308743252</c:v>
                </c:pt>
                <c:pt idx="6">
                  <c:v>26.472114652899101</c:v>
                </c:pt>
                <c:pt idx="7">
                  <c:v>30.378799102515025</c:v>
                </c:pt>
                <c:pt idx="8">
                  <c:v>31.706631052451094</c:v>
                </c:pt>
                <c:pt idx="9">
                  <c:v>37.096945902396087</c:v>
                </c:pt>
                <c:pt idx="10">
                  <c:v>48.687339715916593</c:v>
                </c:pt>
                <c:pt idx="11">
                  <c:v>50.654683069114114</c:v>
                </c:pt>
                <c:pt idx="12">
                  <c:v>51.566903175023093</c:v>
                </c:pt>
                <c:pt idx="13">
                  <c:v>53.191692585945717</c:v>
                </c:pt>
                <c:pt idx="14">
                  <c:v>85.426071929572799</c:v>
                </c:pt>
                <c:pt idx="15">
                  <c:v>89.204120067398208</c:v>
                </c:pt>
                <c:pt idx="16">
                  <c:v>91.357422841901467</c:v>
                </c:pt>
                <c:pt idx="17">
                  <c:v>92.14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BF-4D3F-86B2-2867F8813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764544"/>
        <c:axId val="1778760224"/>
      </c:scatterChart>
      <c:valAx>
        <c:axId val="177876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760224"/>
        <c:crosses val="autoZero"/>
        <c:crossBetween val="midCat"/>
      </c:valAx>
      <c:valAx>
        <c:axId val="177876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764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165191</xdr:colOff>
      <xdr:row>0</xdr:row>
      <xdr:rowOff>9726</xdr:rowOff>
    </xdr:from>
    <xdr:to>
      <xdr:col>10</xdr:col>
      <xdr:colOff>445226</xdr:colOff>
      <xdr:row>14</xdr:row>
      <xdr:rowOff>169474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6FD5AB-BE9F-32C1-0E95-680C34765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workbookViewId="0">
      <selection activeCell="M2" sqref="M2:N2"/>
    </sheetView>
  </sheetViews>
  <sheetFormatPr defaultRowHeight="14.4" x14ac:dyDescent="0.3"/>
  <cols>
    <col min="1" max="1" width="10.109375" bestFit="1" customWidth="1"/>
    <col min="3" max="3" width="16.33203125" bestFit="1" customWidth="1"/>
    <col min="13" max="13" width="14.6640625" bestFit="1" customWidth="1"/>
    <col min="14" max="14" width="23.4414062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M2" t="s">
        <v>6</v>
      </c>
      <c r="N2" t="s">
        <v>7</v>
      </c>
    </row>
    <row r="3" spans="1:14" x14ac:dyDescent="0.3">
      <c r="B3">
        <v>8.5889868485300092</v>
      </c>
      <c r="C3">
        <v>6.2982424685829503</v>
      </c>
      <c r="G3">
        <v>4.6268796659770697</v>
      </c>
      <c r="I3">
        <v>0</v>
      </c>
      <c r="M3" t="s">
        <v>8</v>
      </c>
      <c r="N3">
        <v>31.993829884196451</v>
      </c>
    </row>
    <row r="4" spans="1:14" x14ac:dyDescent="0.3">
      <c r="A4" s="8" t="s">
        <v>9</v>
      </c>
      <c r="B4" s="8">
        <v>205.07151794433599</v>
      </c>
      <c r="C4" s="8">
        <v>352.30499267578102</v>
      </c>
      <c r="D4" s="8">
        <f t="shared" ref="D4:D22" si="0">C4/B4</f>
        <v>1.7179615980187442</v>
      </c>
      <c r="E4" s="8">
        <f t="shared" ref="E4:E22" si="1">D4/$B$23</f>
        <v>2.95081002751416</v>
      </c>
      <c r="F4" s="8">
        <f>E4*$N$5</f>
        <v>36.620554690560944</v>
      </c>
      <c r="G4" s="8">
        <v>0</v>
      </c>
      <c r="H4" s="8">
        <f t="shared" ref="H4:H22" si="2">G4/B4</f>
        <v>0</v>
      </c>
      <c r="I4" s="8">
        <f t="shared" ref="I4:I22" si="3">H4/$B$24</f>
        <v>0</v>
      </c>
      <c r="J4" s="8">
        <f>I4*$N$5</f>
        <v>0</v>
      </c>
      <c r="K4" s="8">
        <f t="shared" ref="K4:K22" si="4">SUM(F4,J4)</f>
        <v>36.620554690560944</v>
      </c>
      <c r="M4" t="s">
        <v>10</v>
      </c>
      <c r="N4">
        <v>35.768262568174571</v>
      </c>
    </row>
    <row r="5" spans="1:14" x14ac:dyDescent="0.3">
      <c r="A5" s="8" t="s">
        <v>11</v>
      </c>
      <c r="B5" s="8">
        <v>516.71392822265705</v>
      </c>
      <c r="C5" s="8">
        <v>702.70837402343795</v>
      </c>
      <c r="D5" s="8">
        <f t="shared" si="0"/>
        <v>1.3599563232997158</v>
      </c>
      <c r="E5" s="8">
        <f t="shared" si="1"/>
        <v>2.3358920015453721</v>
      </c>
      <c r="F5" s="8">
        <f>E5*$N$5</f>
        <v>28.989213130029491</v>
      </c>
      <c r="G5" s="11">
        <v>52.5</v>
      </c>
      <c r="H5" s="8">
        <f t="shared" si="2"/>
        <v>0.10160360913936355</v>
      </c>
      <c r="I5" s="8">
        <f t="shared" si="3"/>
        <v>0.25400902284840887</v>
      </c>
      <c r="J5" s="8">
        <f>I5*$N$5</f>
        <v>3.1523382482715467</v>
      </c>
      <c r="K5" s="8">
        <f t="shared" si="4"/>
        <v>32.141551378301038</v>
      </c>
      <c r="M5" t="s">
        <v>1</v>
      </c>
      <c r="N5">
        <v>12.410339652197489</v>
      </c>
    </row>
    <row r="6" spans="1:14" x14ac:dyDescent="0.3">
      <c r="A6" s="8" t="s">
        <v>12</v>
      </c>
      <c r="B6" s="8">
        <v>885.12341308593795</v>
      </c>
      <c r="C6" s="8">
        <v>1123.26770019531</v>
      </c>
      <c r="D6" s="8">
        <f t="shared" si="0"/>
        <v>1.2690520706927118</v>
      </c>
      <c r="E6" s="8">
        <f t="shared" si="1"/>
        <v>2.1797527837387696</v>
      </c>
      <c r="F6" s="8">
        <f>E6*$N$5</f>
        <v>27.051472404021112</v>
      </c>
      <c r="G6" s="8">
        <v>91.805870056152401</v>
      </c>
      <c r="H6" s="8">
        <f t="shared" si="2"/>
        <v>0.10372098251934822</v>
      </c>
      <c r="I6" s="8">
        <f t="shared" si="3"/>
        <v>0.25930245629837051</v>
      </c>
      <c r="J6" s="8">
        <f>I6*$N$5</f>
        <v>3.2180315553118741</v>
      </c>
      <c r="K6" s="8">
        <f t="shared" si="4"/>
        <v>30.269503959332987</v>
      </c>
    </row>
    <row r="7" spans="1:14" x14ac:dyDescent="0.3">
      <c r="A7" s="5" t="s">
        <v>13</v>
      </c>
      <c r="B7" s="5">
        <v>296.48931884765602</v>
      </c>
      <c r="C7" s="5">
        <v>279.61941528320301</v>
      </c>
      <c r="D7" s="5">
        <f t="shared" si="0"/>
        <v>0.94310114229402908</v>
      </c>
      <c r="E7" s="5">
        <f t="shared" si="1"/>
        <v>1.6198920341704379</v>
      </c>
      <c r="F7" s="5">
        <f>E7*$N$12</f>
        <v>19.913002358683926</v>
      </c>
      <c r="G7" s="5">
        <v>30.784702301025401</v>
      </c>
      <c r="H7" s="5">
        <f t="shared" si="2"/>
        <v>0.10383072962180936</v>
      </c>
      <c r="I7" s="5">
        <f t="shared" si="3"/>
        <v>0.25957682405452337</v>
      </c>
      <c r="J7" s="5">
        <f>I7*$N$12</f>
        <v>3.1909249509362989</v>
      </c>
      <c r="K7" s="5">
        <f t="shared" si="4"/>
        <v>23.103927309620225</v>
      </c>
    </row>
    <row r="8" spans="1:14" x14ac:dyDescent="0.3">
      <c r="A8" s="5" t="s">
        <v>14</v>
      </c>
      <c r="B8" s="5">
        <v>518.93603515625</v>
      </c>
      <c r="C8" s="5">
        <v>422.49890136718801</v>
      </c>
      <c r="D8" s="5">
        <f t="shared" si="0"/>
        <v>0.81416373646122864</v>
      </c>
      <c r="E8" s="5">
        <f t="shared" si="1"/>
        <v>1.3984262048458065</v>
      </c>
      <c r="F8" s="5">
        <f>E8*$N$12</f>
        <v>17.190568092274493</v>
      </c>
      <c r="G8" s="5">
        <v>223.77586364746099</v>
      </c>
      <c r="H8" s="5">
        <f t="shared" si="2"/>
        <v>0.43122051368061726</v>
      </c>
      <c r="I8" s="5">
        <f t="shared" si="3"/>
        <v>1.0780512842015431</v>
      </c>
      <c r="J8" s="5">
        <f>I8*$N$12</f>
        <v>13.252264541248353</v>
      </c>
      <c r="K8" s="5">
        <f t="shared" si="4"/>
        <v>30.442832633522848</v>
      </c>
    </row>
    <row r="9" spans="1:14" x14ac:dyDescent="0.3">
      <c r="A9" s="5" t="s">
        <v>15</v>
      </c>
      <c r="B9" s="5">
        <v>326.76675415039102</v>
      </c>
      <c r="C9" s="5">
        <v>172.85231018066401</v>
      </c>
      <c r="D9" s="5">
        <f t="shared" si="0"/>
        <v>0.52897765144464637</v>
      </c>
      <c r="E9" s="5">
        <f t="shared" si="1"/>
        <v>0.90858408011790848</v>
      </c>
      <c r="F9" s="5">
        <f>E9*$N$12</f>
        <v>11.169038768510264</v>
      </c>
      <c r="G9" s="5">
        <v>131.18373107910199</v>
      </c>
      <c r="H9" s="5">
        <f t="shared" si="2"/>
        <v>0.40145984685677671</v>
      </c>
      <c r="I9" s="5">
        <f t="shared" si="3"/>
        <v>1.0036496171419418</v>
      </c>
      <c r="J9" s="5">
        <f>I9*$N$12</f>
        <v>12.337660024159918</v>
      </c>
      <c r="K9" s="5">
        <f t="shared" si="4"/>
        <v>23.506698792670182</v>
      </c>
    </row>
    <row r="10" spans="1:14" x14ac:dyDescent="0.3">
      <c r="A10" s="6" t="s">
        <v>16</v>
      </c>
      <c r="B10" s="6">
        <v>243.81765747070301</v>
      </c>
      <c r="C10" s="6">
        <v>100.019752502442</v>
      </c>
      <c r="D10" s="6">
        <f t="shared" si="0"/>
        <v>0.41022358076941295</v>
      </c>
      <c r="E10" s="6">
        <f t="shared" si="1"/>
        <v>0.7046093795421039</v>
      </c>
      <c r="F10" s="6">
        <f>E10*$N$20</f>
        <v>8.5659191261850527</v>
      </c>
      <c r="G10" s="6">
        <v>71.633529663085994</v>
      </c>
      <c r="H10" s="6">
        <f t="shared" si="2"/>
        <v>0.293799597642732</v>
      </c>
      <c r="I10" s="6">
        <f t="shared" si="3"/>
        <v>0.73449899410682995</v>
      </c>
      <c r="J10" s="6">
        <f>I10*$N$20</f>
        <v>8.9292864450258431</v>
      </c>
      <c r="K10" s="6">
        <f t="shared" si="4"/>
        <v>17.495205571210896</v>
      </c>
      <c r="M10" t="s">
        <v>8</v>
      </c>
      <c r="N10">
        <v>152.64568557518911</v>
      </c>
    </row>
    <row r="11" spans="1:14" x14ac:dyDescent="0.3">
      <c r="A11" s="6" t="s">
        <v>17</v>
      </c>
      <c r="B11" s="6">
        <v>151.97032165527401</v>
      </c>
      <c r="C11" s="6">
        <v>33.909393310546903</v>
      </c>
      <c r="D11" s="6">
        <f t="shared" si="0"/>
        <v>0.22313168085191129</v>
      </c>
      <c r="E11" s="6">
        <f t="shared" si="1"/>
        <v>0.38325606467178164</v>
      </c>
      <c r="F11" s="6">
        <f>E11*$N$20</f>
        <v>4.6592346765691302</v>
      </c>
      <c r="G11" s="6">
        <v>40.070411682128899</v>
      </c>
      <c r="H11" s="6">
        <f t="shared" si="2"/>
        <v>0.26367261216320714</v>
      </c>
      <c r="I11" s="6">
        <f t="shared" si="3"/>
        <v>0.65918153040801786</v>
      </c>
      <c r="J11" s="6">
        <f>I11*$N$20</f>
        <v>8.0136538667983608</v>
      </c>
      <c r="K11" s="6">
        <f t="shared" si="4"/>
        <v>12.672888543367492</v>
      </c>
      <c r="M11" t="s">
        <v>10</v>
      </c>
      <c r="N11">
        <v>35.429486077253522</v>
      </c>
    </row>
    <row r="12" spans="1:14" x14ac:dyDescent="0.3">
      <c r="A12" s="6" t="s">
        <v>18</v>
      </c>
      <c r="B12" s="6">
        <v>868.37030029296898</v>
      </c>
      <c r="C12" s="6">
        <v>138.54113769531301</v>
      </c>
      <c r="D12" s="6">
        <f t="shared" si="0"/>
        <v>0.15954154310502361</v>
      </c>
      <c r="E12" s="6">
        <f t="shared" si="1"/>
        <v>0.27403219358471931</v>
      </c>
      <c r="F12" s="6">
        <f>E12*$N$20</f>
        <v>3.3314027266330579</v>
      </c>
      <c r="G12" s="6">
        <v>900.80828857421898</v>
      </c>
      <c r="H12" s="6">
        <f t="shared" si="2"/>
        <v>1.0373550180957434</v>
      </c>
      <c r="I12" s="6">
        <f t="shared" si="3"/>
        <v>2.5933875452393584</v>
      </c>
      <c r="J12" s="6">
        <f>I12*$N$20</f>
        <v>31.527749445816855</v>
      </c>
      <c r="K12" s="6">
        <f t="shared" si="4"/>
        <v>34.85915217244991</v>
      </c>
      <c r="M12" t="s">
        <v>1</v>
      </c>
      <c r="N12">
        <v>12.292796025064449</v>
      </c>
    </row>
    <row r="13" spans="1:14" x14ac:dyDescent="0.3">
      <c r="A13" s="9" t="s">
        <v>19</v>
      </c>
      <c r="B13" s="9">
        <v>316.29763793945301</v>
      </c>
      <c r="C13" s="9">
        <v>262.68008422851602</v>
      </c>
      <c r="D13" s="9">
        <f t="shared" si="0"/>
        <v>0.83048386304673993</v>
      </c>
      <c r="E13" s="9">
        <f t="shared" si="1"/>
        <v>1.4264580265316726</v>
      </c>
      <c r="F13" s="9">
        <f>E13*$N$28</f>
        <v>17.269540169194148</v>
      </c>
      <c r="G13" s="9">
        <v>302.963470458985</v>
      </c>
      <c r="H13" s="9">
        <f t="shared" si="2"/>
        <v>0.95784297484061365</v>
      </c>
      <c r="I13" s="9">
        <f t="shared" si="3"/>
        <v>2.3946074371015338</v>
      </c>
      <c r="J13" s="9">
        <f>I13*$N$28</f>
        <v>28.990526573729355</v>
      </c>
      <c r="K13" s="9">
        <f t="shared" si="4"/>
        <v>46.260066742923499</v>
      </c>
      <c r="M13" t="s">
        <v>20</v>
      </c>
      <c r="N13">
        <v>0</v>
      </c>
    </row>
    <row r="14" spans="1:14" x14ac:dyDescent="0.3">
      <c r="A14" s="9" t="s">
        <v>21</v>
      </c>
      <c r="B14" s="9">
        <v>834.81201171875</v>
      </c>
      <c r="C14" s="9">
        <v>227.99334716796901</v>
      </c>
      <c r="D14" s="9">
        <f t="shared" si="0"/>
        <v>0.27310741097096297</v>
      </c>
      <c r="E14" s="9">
        <f t="shared" si="1"/>
        <v>0.46909551867221394</v>
      </c>
      <c r="F14" s="9">
        <f>E14*$N$28</f>
        <v>5.679146355673641</v>
      </c>
      <c r="G14" s="9">
        <v>1409.27661132813</v>
      </c>
      <c r="H14" s="9">
        <f t="shared" si="2"/>
        <v>1.688136480483367</v>
      </c>
      <c r="I14" s="9">
        <f t="shared" si="3"/>
        <v>4.2203412012084174</v>
      </c>
      <c r="J14" s="9">
        <f>I14*$N$28</f>
        <v>51.093933748043284</v>
      </c>
      <c r="K14" s="9">
        <f t="shared" si="4"/>
        <v>56.773080103716921</v>
      </c>
    </row>
    <row r="15" spans="1:14" x14ac:dyDescent="0.3">
      <c r="A15" s="9" t="s">
        <v>22</v>
      </c>
      <c r="B15" s="9">
        <v>509.77853393554699</v>
      </c>
      <c r="C15" s="9">
        <v>90.994865417480497</v>
      </c>
      <c r="D15" s="9">
        <f t="shared" si="0"/>
        <v>0.1784988173491536</v>
      </c>
      <c r="E15" s="9">
        <f t="shared" si="1"/>
        <v>0.30659364024244862</v>
      </c>
      <c r="F15" s="9">
        <f>E15*$N$28</f>
        <v>3.7118030024761222</v>
      </c>
      <c r="G15" s="9">
        <v>838.97137451171898</v>
      </c>
      <c r="H15" s="9">
        <f t="shared" si="2"/>
        <v>1.6457565759679338</v>
      </c>
      <c r="I15" s="9">
        <f t="shared" si="3"/>
        <v>4.1143914399198342</v>
      </c>
      <c r="J15" s="9">
        <f>I15*$N$28</f>
        <v>49.811243599116501</v>
      </c>
      <c r="K15" s="9">
        <f t="shared" si="4"/>
        <v>53.523046601592625</v>
      </c>
    </row>
    <row r="16" spans="1:14" x14ac:dyDescent="0.3">
      <c r="A16" s="7" t="s">
        <v>23</v>
      </c>
      <c r="B16" s="7">
        <v>691.49621582031295</v>
      </c>
      <c r="C16" s="7">
        <v>60.4385986328125</v>
      </c>
      <c r="D16" s="7">
        <f t="shared" si="0"/>
        <v>8.7402645524408226E-2</v>
      </c>
      <c r="E16" s="7">
        <f t="shared" si="1"/>
        <v>0.15012477760977022</v>
      </c>
      <c r="F16" s="7">
        <f>E16*$N$36</f>
        <v>1.7835317903056784</v>
      </c>
      <c r="G16" s="7">
        <v>843.16802978515705</v>
      </c>
      <c r="H16" s="7">
        <f t="shared" si="2"/>
        <v>1.2193386030101665</v>
      </c>
      <c r="I16" s="7">
        <f t="shared" si="3"/>
        <v>3.0483465075254159</v>
      </c>
      <c r="J16" s="7">
        <f>I16*$N$36</f>
        <v>36.215360252996874</v>
      </c>
      <c r="K16" s="7">
        <f t="shared" si="4"/>
        <v>37.998892043302554</v>
      </c>
    </row>
    <row r="17" spans="1:14" x14ac:dyDescent="0.3">
      <c r="A17" s="7" t="s">
        <v>24</v>
      </c>
      <c r="B17" s="7">
        <v>845.56408691406295</v>
      </c>
      <c r="C17" s="7">
        <v>6.5778374671936097</v>
      </c>
      <c r="D17" s="7">
        <f t="shared" si="0"/>
        <v>7.7792299471939773E-3</v>
      </c>
      <c r="E17" s="7">
        <f t="shared" si="1"/>
        <v>1.3361782801775982E-2</v>
      </c>
      <c r="F17" s="7">
        <f>E17*$N$36</f>
        <v>0.15874237938305655</v>
      </c>
      <c r="G17" s="7">
        <v>1000.99438476563</v>
      </c>
      <c r="H17" s="7">
        <f t="shared" si="2"/>
        <v>1.1838184713104589</v>
      </c>
      <c r="I17" s="7">
        <f t="shared" si="3"/>
        <v>2.9595461782761472</v>
      </c>
      <c r="J17" s="7">
        <f>I17*$N$36</f>
        <v>35.160383101807575</v>
      </c>
      <c r="K17" s="7">
        <f t="shared" si="4"/>
        <v>35.319125481190632</v>
      </c>
    </row>
    <row r="18" spans="1:14" x14ac:dyDescent="0.3">
      <c r="A18" s="10" t="s">
        <v>25</v>
      </c>
      <c r="B18" s="10">
        <v>653.28485107421898</v>
      </c>
      <c r="C18" s="10">
        <v>216.78492736816401</v>
      </c>
      <c r="D18" s="10">
        <f t="shared" si="0"/>
        <v>0.33183828924197006</v>
      </c>
      <c r="E18" s="10">
        <f t="shared" si="1"/>
        <v>0.56997301484364482</v>
      </c>
      <c r="F18" s="10">
        <f>E18*$N$44</f>
        <v>6.714919200835471</v>
      </c>
      <c r="G18" s="10">
        <v>1337.07373046875</v>
      </c>
      <c r="H18" s="10">
        <f t="shared" si="2"/>
        <v>2.046693304261002</v>
      </c>
      <c r="I18" s="10">
        <f t="shared" si="3"/>
        <v>5.1167332606525049</v>
      </c>
      <c r="J18" s="10">
        <f>I18*$N$44</f>
        <v>60.280837026879617</v>
      </c>
      <c r="K18" s="10">
        <f t="shared" si="4"/>
        <v>66.995756227715091</v>
      </c>
      <c r="M18" t="s">
        <v>8</v>
      </c>
      <c r="N18">
        <v>150.9591382655907</v>
      </c>
    </row>
    <row r="19" spans="1:14" x14ac:dyDescent="0.3">
      <c r="A19" s="10" t="s">
        <v>26</v>
      </c>
      <c r="B19" s="10">
        <v>438.80242919921898</v>
      </c>
      <c r="C19" s="10">
        <v>63.685359954833999</v>
      </c>
      <c r="D19" s="10">
        <f t="shared" si="0"/>
        <v>0.14513447446281219</v>
      </c>
      <c r="E19" s="10">
        <f t="shared" si="1"/>
        <v>0.24928628385917584</v>
      </c>
      <c r="F19" s="10">
        <f>E19*$N$44</f>
        <v>2.9368710630100554</v>
      </c>
      <c r="G19" s="10">
        <v>1329.30456542969</v>
      </c>
      <c r="H19" s="10">
        <f t="shared" si="2"/>
        <v>3.0293919927826507</v>
      </c>
      <c r="I19" s="10">
        <f t="shared" si="3"/>
        <v>7.5734799819566261</v>
      </c>
      <c r="J19" s="10">
        <f>I19*$N$44</f>
        <v>89.224059426627889</v>
      </c>
      <c r="K19" s="10">
        <f t="shared" si="4"/>
        <v>92.160930489637948</v>
      </c>
      <c r="M19" t="s">
        <v>10</v>
      </c>
      <c r="N19">
        <v>35.038033779084152</v>
      </c>
    </row>
    <row r="20" spans="1:14" x14ac:dyDescent="0.3">
      <c r="A20" s="10" t="s">
        <v>27</v>
      </c>
      <c r="B20" s="10">
        <v>821.80651855468795</v>
      </c>
      <c r="C20" s="10">
        <v>31.822341918945298</v>
      </c>
      <c r="D20" s="10">
        <f t="shared" si="0"/>
        <v>3.8722425778407413E-2</v>
      </c>
      <c r="E20" s="10">
        <f t="shared" si="1"/>
        <v>6.6510521776721759E-2</v>
      </c>
      <c r="F20" s="10">
        <f>E20*$N$44</f>
        <v>0.78356828850679816</v>
      </c>
      <c r="G20" s="10">
        <v>1730.11584472656</v>
      </c>
      <c r="H20" s="10">
        <f t="shared" si="2"/>
        <v>2.1052593349701296</v>
      </c>
      <c r="I20" s="10">
        <f t="shared" si="3"/>
        <v>5.2631483374253234</v>
      </c>
      <c r="J20" s="10">
        <f>I20*$N$44</f>
        <v>62.005770286366122</v>
      </c>
      <c r="K20" s="10">
        <f t="shared" si="4"/>
        <v>62.789338574872922</v>
      </c>
      <c r="M20" t="s">
        <v>1</v>
      </c>
      <c r="N20">
        <v>12.156975729945129</v>
      </c>
    </row>
    <row r="21" spans="1:14" x14ac:dyDescent="0.3">
      <c r="A21" t="s">
        <v>28</v>
      </c>
      <c r="B21">
        <v>207.69812011718801</v>
      </c>
      <c r="C21">
        <v>355.54949951171898</v>
      </c>
      <c r="D21">
        <f t="shared" si="0"/>
        <v>1.711857090045446</v>
      </c>
      <c r="E21">
        <f t="shared" si="1"/>
        <v>2.9403247853752075</v>
      </c>
      <c r="F21" s="6">
        <f>E21*$N$28</f>
        <v>35.597301881344109</v>
      </c>
      <c r="G21">
        <v>0</v>
      </c>
      <c r="H21">
        <f t="shared" si="2"/>
        <v>0</v>
      </c>
      <c r="I21">
        <f t="shared" si="3"/>
        <v>0</v>
      </c>
      <c r="J21" s="6">
        <f>I21*$N$28</f>
        <v>0</v>
      </c>
      <c r="K21">
        <f t="shared" si="4"/>
        <v>35.597301881344109</v>
      </c>
      <c r="M21" t="s">
        <v>20</v>
      </c>
      <c r="N21">
        <v>125.6209283775415</v>
      </c>
    </row>
    <row r="22" spans="1:14" x14ac:dyDescent="0.3">
      <c r="A22" t="s">
        <v>29</v>
      </c>
      <c r="B22">
        <v>514.259521484375</v>
      </c>
      <c r="C22">
        <v>709.682373046875</v>
      </c>
      <c r="D22">
        <f t="shared" si="0"/>
        <v>1.3800082320273337</v>
      </c>
      <c r="E22">
        <f t="shared" si="1"/>
        <v>2.3703336173605867</v>
      </c>
      <c r="F22" s="6">
        <f>E22*$N$28</f>
        <v>28.696653429704703</v>
      </c>
      <c r="G22">
        <v>0</v>
      </c>
      <c r="H22">
        <f t="shared" si="2"/>
        <v>0</v>
      </c>
      <c r="I22">
        <f t="shared" si="3"/>
        <v>0</v>
      </c>
      <c r="J22" s="6">
        <f>I22*$N$28</f>
        <v>0</v>
      </c>
      <c r="K22">
        <f t="shared" si="4"/>
        <v>28.696653429704703</v>
      </c>
    </row>
    <row r="23" spans="1:14" x14ac:dyDescent="0.3">
      <c r="A23" t="s">
        <v>30</v>
      </c>
      <c r="B23">
        <v>0.58220000000000005</v>
      </c>
      <c r="F23" s="6"/>
      <c r="J23" s="6"/>
    </row>
    <row r="24" spans="1:14" x14ac:dyDescent="0.3">
      <c r="A24" t="s">
        <v>31</v>
      </c>
      <c r="B24">
        <v>0.4</v>
      </c>
      <c r="C24" t="s">
        <v>32</v>
      </c>
      <c r="F24" s="6"/>
      <c r="J24" s="6"/>
    </row>
    <row r="26" spans="1:14" x14ac:dyDescent="0.3">
      <c r="M26" t="s">
        <v>8</v>
      </c>
      <c r="N26">
        <v>150.333453800169</v>
      </c>
    </row>
    <row r="27" spans="1:14" x14ac:dyDescent="0.3">
      <c r="M27" t="s">
        <v>10</v>
      </c>
      <c r="N27">
        <v>54.366486071590238</v>
      </c>
    </row>
    <row r="28" spans="1:14" x14ac:dyDescent="0.3">
      <c r="M28" t="s">
        <v>1</v>
      </c>
      <c r="N28">
        <v>12.1065883804403</v>
      </c>
    </row>
    <row r="29" spans="1:14" x14ac:dyDescent="0.3">
      <c r="M29" t="s">
        <v>20</v>
      </c>
      <c r="N29">
        <v>125.10026388302521</v>
      </c>
    </row>
    <row r="34" spans="13:14" x14ac:dyDescent="0.3">
      <c r="M34" t="s">
        <v>8</v>
      </c>
      <c r="N34">
        <v>386.19082858644663</v>
      </c>
    </row>
    <row r="35" spans="13:14" x14ac:dyDescent="0.3">
      <c r="M35" t="s">
        <v>10</v>
      </c>
      <c r="N35">
        <v>53.350434965328773</v>
      </c>
    </row>
    <row r="36" spans="13:14" x14ac:dyDescent="0.3">
      <c r="M36" t="s">
        <v>1</v>
      </c>
      <c r="N36">
        <v>11.880329274769929</v>
      </c>
    </row>
    <row r="37" spans="13:14" x14ac:dyDescent="0.3">
      <c r="M37" t="s">
        <v>20</v>
      </c>
      <c r="N37">
        <v>122.76227460513491</v>
      </c>
    </row>
    <row r="42" spans="13:14" x14ac:dyDescent="0.3">
      <c r="M42" t="s">
        <v>8</v>
      </c>
      <c r="N42">
        <v>382.96578481942919</v>
      </c>
    </row>
    <row r="43" spans="13:14" x14ac:dyDescent="0.3">
      <c r="M43" t="s">
        <v>10</v>
      </c>
      <c r="N43">
        <v>92.140991130408267</v>
      </c>
    </row>
    <row r="44" spans="13:14" x14ac:dyDescent="0.3">
      <c r="M44" t="s">
        <v>1</v>
      </c>
      <c r="N44">
        <v>11.78111774761391</v>
      </c>
    </row>
    <row r="45" spans="13:14" x14ac:dyDescent="0.3">
      <c r="M45" t="s">
        <v>20</v>
      </c>
      <c r="N45">
        <v>121.73709824351771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>
      <selection activeCell="F1" sqref="F1:F6"/>
    </sheetView>
  </sheetViews>
  <sheetFormatPr defaultRowHeight="14.4" x14ac:dyDescent="0.3"/>
  <sheetData>
    <row r="1" spans="1:13" x14ac:dyDescent="0.3">
      <c r="A1" s="1" t="s">
        <v>33</v>
      </c>
      <c r="B1" s="4">
        <v>0.48321759259259262</v>
      </c>
      <c r="C1" s="3">
        <f t="shared" ref="C1:C28" si="0">(B1-$B$1)*86400/60</f>
        <v>0</v>
      </c>
      <c r="E1" s="1" t="s">
        <v>33</v>
      </c>
      <c r="F1" s="3">
        <f t="shared" ref="F1:F6" si="1">C1</f>
        <v>0</v>
      </c>
      <c r="G1" t="s">
        <v>34</v>
      </c>
      <c r="H1" s="3">
        <f>C1</f>
        <v>0</v>
      </c>
      <c r="J1" s="1" t="s">
        <v>33</v>
      </c>
      <c r="K1" s="4">
        <v>0.48321759259259262</v>
      </c>
      <c r="L1" s="2"/>
    </row>
    <row r="2" spans="1:13" x14ac:dyDescent="0.3">
      <c r="A2" s="1" t="s">
        <v>35</v>
      </c>
      <c r="B2" s="4">
        <v>0.50427083333333333</v>
      </c>
      <c r="C2" s="3">
        <f t="shared" si="0"/>
        <v>30.316666666666638</v>
      </c>
      <c r="E2" s="1" t="s">
        <v>35</v>
      </c>
      <c r="F2" s="3">
        <f t="shared" si="1"/>
        <v>30.316666666666638</v>
      </c>
      <c r="G2" t="s">
        <v>36</v>
      </c>
      <c r="H2" s="3">
        <f>C8</f>
        <v>10.149999999999988</v>
      </c>
      <c r="J2" s="1" t="s">
        <v>35</v>
      </c>
      <c r="K2" s="4">
        <v>0.50427083333333333</v>
      </c>
      <c r="L2" s="2"/>
      <c r="M2" s="2"/>
    </row>
    <row r="3" spans="1:13" x14ac:dyDescent="0.3">
      <c r="A3" s="1" t="s">
        <v>37</v>
      </c>
      <c r="B3" s="4">
        <v>0.51096064814814812</v>
      </c>
      <c r="C3" s="3">
        <f t="shared" si="0"/>
        <v>39.949999999999932</v>
      </c>
      <c r="E3" s="1" t="s">
        <v>37</v>
      </c>
      <c r="F3" s="3">
        <f t="shared" si="1"/>
        <v>39.949999999999932</v>
      </c>
      <c r="G3" t="s">
        <v>38</v>
      </c>
      <c r="H3" s="3">
        <f>C9</f>
        <v>21.166666666666643</v>
      </c>
      <c r="J3" s="1" t="s">
        <v>37</v>
      </c>
      <c r="K3" s="4">
        <v>0.51096064814814812</v>
      </c>
      <c r="L3" s="2"/>
      <c r="M3" s="2"/>
    </row>
    <row r="4" spans="1:13" x14ac:dyDescent="0.3">
      <c r="A4" s="1" t="s">
        <v>39</v>
      </c>
      <c r="B4" s="4">
        <v>0.52423611111111112</v>
      </c>
      <c r="C4" s="3">
        <f t="shared" si="0"/>
        <v>59.066666666666649</v>
      </c>
      <c r="E4" s="1" t="s">
        <v>39</v>
      </c>
      <c r="F4" s="3">
        <f t="shared" si="1"/>
        <v>59.066666666666649</v>
      </c>
      <c r="G4" t="s">
        <v>40</v>
      </c>
      <c r="H4" s="3">
        <f>C11</f>
        <v>32.400000000000027</v>
      </c>
      <c r="J4" s="1" t="s">
        <v>39</v>
      </c>
      <c r="K4" s="4">
        <v>0.52423611111111112</v>
      </c>
      <c r="L4" s="2"/>
    </row>
    <row r="5" spans="1:13" x14ac:dyDescent="0.3">
      <c r="A5" s="1" t="s">
        <v>41</v>
      </c>
      <c r="B5" s="4">
        <v>0.54740740740740745</v>
      </c>
      <c r="C5" s="3">
        <f t="shared" si="0"/>
        <v>92.433333333333366</v>
      </c>
      <c r="E5" s="1" t="s">
        <v>41</v>
      </c>
      <c r="F5" s="3">
        <f t="shared" si="1"/>
        <v>92.433333333333366</v>
      </c>
      <c r="G5" t="s">
        <v>42</v>
      </c>
      <c r="H5" s="3">
        <f>C12</f>
        <v>34.31666666666662</v>
      </c>
      <c r="J5" s="1" t="s">
        <v>41</v>
      </c>
      <c r="K5" s="4">
        <v>0.54740740740740745</v>
      </c>
      <c r="L5" s="2"/>
    </row>
    <row r="6" spans="1:13" ht="26.4" customHeight="1" x14ac:dyDescent="0.3">
      <c r="A6" s="1" t="s">
        <v>43</v>
      </c>
      <c r="B6" s="4">
        <v>0.55586805555555552</v>
      </c>
      <c r="C6" s="3">
        <f t="shared" si="0"/>
        <v>104.61666666666657</v>
      </c>
      <c r="E6" s="1" t="s">
        <v>43</v>
      </c>
      <c r="F6" s="3">
        <f t="shared" si="1"/>
        <v>104.61666666666657</v>
      </c>
      <c r="G6" t="s">
        <v>44</v>
      </c>
      <c r="H6" s="3">
        <f>C13</f>
        <v>39.083333333333343</v>
      </c>
      <c r="J6" s="1" t="s">
        <v>45</v>
      </c>
      <c r="K6" s="4">
        <v>0.55586805555555552</v>
      </c>
      <c r="L6" s="2"/>
    </row>
    <row r="7" spans="1:13" x14ac:dyDescent="0.3">
      <c r="A7" s="1" t="s">
        <v>46</v>
      </c>
      <c r="B7" s="4">
        <v>0.47636574074074067</v>
      </c>
      <c r="C7" s="3">
        <f t="shared" si="0"/>
        <v>-9.8666666666667968</v>
      </c>
      <c r="G7" t="s">
        <v>47</v>
      </c>
      <c r="H7" s="3">
        <f>C15</f>
        <v>41.899999999999913</v>
      </c>
      <c r="J7" s="1" t="s">
        <v>46</v>
      </c>
      <c r="K7" s="4">
        <v>0.47636574074074067</v>
      </c>
      <c r="L7" s="2"/>
    </row>
    <row r="8" spans="1:13" x14ac:dyDescent="0.3">
      <c r="A8" s="1" t="s">
        <v>48</v>
      </c>
      <c r="B8" s="4">
        <v>0.49026620370370372</v>
      </c>
      <c r="C8" s="3">
        <f t="shared" si="0"/>
        <v>10.149999999999988</v>
      </c>
      <c r="G8" t="s">
        <v>49</v>
      </c>
      <c r="H8" s="3">
        <f>C16</f>
        <v>49.349999999999959</v>
      </c>
      <c r="J8" s="1" t="s">
        <v>48</v>
      </c>
      <c r="K8" s="4">
        <v>0.49026620370370372</v>
      </c>
      <c r="L8" s="2"/>
    </row>
    <row r="9" spans="1:13" x14ac:dyDescent="0.3">
      <c r="A9" s="1" t="s">
        <v>50</v>
      </c>
      <c r="B9" s="2">
        <v>0.49791666666666667</v>
      </c>
      <c r="C9" s="3">
        <f t="shared" si="0"/>
        <v>21.166666666666643</v>
      </c>
      <c r="G9" t="s">
        <v>51</v>
      </c>
      <c r="H9" s="3">
        <f>C17</f>
        <v>56.533333333333346</v>
      </c>
      <c r="J9" s="1" t="s">
        <v>50</v>
      </c>
      <c r="K9" s="2">
        <v>0.49791666666666667</v>
      </c>
    </row>
    <row r="10" spans="1:13" x14ac:dyDescent="0.3">
      <c r="B10" s="4"/>
      <c r="C10" s="3">
        <f t="shared" si="0"/>
        <v>-695.83333333333337</v>
      </c>
      <c r="G10" t="s">
        <v>52</v>
      </c>
      <c r="H10" s="3">
        <f>C19</f>
        <v>62.333333333333293</v>
      </c>
      <c r="K10" s="4"/>
      <c r="L10" s="2"/>
    </row>
    <row r="11" spans="1:13" x14ac:dyDescent="0.3">
      <c r="A11" s="1" t="s">
        <v>53</v>
      </c>
      <c r="B11" s="4">
        <v>0.50571759259259264</v>
      </c>
      <c r="C11" s="3">
        <f t="shared" si="0"/>
        <v>32.400000000000027</v>
      </c>
      <c r="G11" t="s">
        <v>54</v>
      </c>
      <c r="H11" s="3">
        <f>C20</f>
        <v>83.450000000000017</v>
      </c>
      <c r="J11" s="1" t="s">
        <v>53</v>
      </c>
      <c r="K11" s="4">
        <v>0.50571759259259264</v>
      </c>
      <c r="L11" s="2"/>
    </row>
    <row r="12" spans="1:13" x14ac:dyDescent="0.3">
      <c r="A12" s="1" t="s">
        <v>55</v>
      </c>
      <c r="B12" s="4">
        <v>0.5070486111111111</v>
      </c>
      <c r="C12" s="3">
        <f t="shared" si="0"/>
        <v>34.31666666666662</v>
      </c>
      <c r="G12" t="s">
        <v>56</v>
      </c>
      <c r="H12" s="3">
        <f>C21</f>
        <v>91.683333333333252</v>
      </c>
      <c r="J12" s="1" t="s">
        <v>55</v>
      </c>
      <c r="K12" s="4">
        <v>0.5070486111111111</v>
      </c>
      <c r="L12" s="2"/>
    </row>
    <row r="13" spans="1:13" x14ac:dyDescent="0.3">
      <c r="A13" s="1" t="s">
        <v>57</v>
      </c>
      <c r="B13" s="2">
        <v>0.51035879629629632</v>
      </c>
      <c r="C13" s="3">
        <f t="shared" si="0"/>
        <v>39.083333333333343</v>
      </c>
      <c r="G13" t="s">
        <v>58</v>
      </c>
      <c r="H13" s="3">
        <f>C23</f>
        <v>94.516666666666609</v>
      </c>
      <c r="J13" s="1" t="s">
        <v>57</v>
      </c>
      <c r="K13" s="2">
        <v>0.51035879629629632</v>
      </c>
    </row>
    <row r="14" spans="1:13" x14ac:dyDescent="0.3">
      <c r="B14" s="4"/>
      <c r="C14" s="3">
        <f t="shared" si="0"/>
        <v>-695.83333333333337</v>
      </c>
      <c r="G14" t="s">
        <v>59</v>
      </c>
      <c r="H14" s="3">
        <f>C24</f>
        <v>101.73333333333322</v>
      </c>
      <c r="K14" s="4"/>
      <c r="L14" s="2"/>
    </row>
    <row r="15" spans="1:13" x14ac:dyDescent="0.3">
      <c r="A15" s="1" t="s">
        <v>60</v>
      </c>
      <c r="B15" s="4">
        <v>0.51231481481481478</v>
      </c>
      <c r="C15" s="3">
        <f t="shared" si="0"/>
        <v>41.899999999999913</v>
      </c>
      <c r="G15" t="s">
        <v>61</v>
      </c>
      <c r="H15" s="3">
        <f>C26</f>
        <v>110.59999999999994</v>
      </c>
      <c r="J15" s="1" t="s">
        <v>60</v>
      </c>
      <c r="K15" s="4">
        <v>0.51231481481481478</v>
      </c>
      <c r="L15" s="2"/>
    </row>
    <row r="16" spans="1:13" x14ac:dyDescent="0.3">
      <c r="A16" s="1" t="s">
        <v>62</v>
      </c>
      <c r="B16" s="4">
        <v>0.51748842592592592</v>
      </c>
      <c r="C16" s="3">
        <f t="shared" si="0"/>
        <v>49.349999999999959</v>
      </c>
      <c r="G16" t="s">
        <v>63</v>
      </c>
      <c r="H16" s="3">
        <f>C27</f>
        <v>113.71666666666655</v>
      </c>
      <c r="J16" s="1" t="s">
        <v>62</v>
      </c>
      <c r="K16" s="4">
        <v>0.51748842592592592</v>
      </c>
      <c r="L16" s="2"/>
    </row>
    <row r="17" spans="1:12" x14ac:dyDescent="0.3">
      <c r="A17" s="1" t="s">
        <v>64</v>
      </c>
      <c r="B17" s="2">
        <v>0.52247685185185189</v>
      </c>
      <c r="C17" s="3">
        <f t="shared" si="0"/>
        <v>56.533333333333346</v>
      </c>
      <c r="G17" t="s">
        <v>65</v>
      </c>
      <c r="H17" s="3">
        <f>C28</f>
        <v>118.69999999999992</v>
      </c>
      <c r="J17" s="1" t="s">
        <v>64</v>
      </c>
      <c r="K17" s="2">
        <v>0.52247685185185189</v>
      </c>
    </row>
    <row r="18" spans="1:12" x14ac:dyDescent="0.3">
      <c r="B18" s="4"/>
      <c r="C18" s="3">
        <f t="shared" si="0"/>
        <v>-695.83333333333337</v>
      </c>
      <c r="K18" s="4"/>
      <c r="L18" s="2"/>
    </row>
    <row r="19" spans="1:12" x14ac:dyDescent="0.3">
      <c r="A19" s="1" t="s">
        <v>66</v>
      </c>
      <c r="B19" s="4">
        <v>0.52650462962962963</v>
      </c>
      <c r="C19" s="3">
        <f t="shared" si="0"/>
        <v>62.333333333333293</v>
      </c>
      <c r="J19" s="1" t="s">
        <v>66</v>
      </c>
      <c r="K19" s="4">
        <v>0.52650462962962963</v>
      </c>
      <c r="L19" s="2"/>
    </row>
    <row r="20" spans="1:12" x14ac:dyDescent="0.3">
      <c r="A20" s="1" t="s">
        <v>67</v>
      </c>
      <c r="B20" s="4">
        <v>0.54116898148148151</v>
      </c>
      <c r="C20" s="3">
        <f t="shared" si="0"/>
        <v>83.450000000000017</v>
      </c>
      <c r="J20" s="1" t="s">
        <v>67</v>
      </c>
      <c r="K20" s="4">
        <v>0.54116898148148151</v>
      </c>
      <c r="L20" s="2"/>
    </row>
    <row r="21" spans="1:12" x14ac:dyDescent="0.3">
      <c r="A21" s="1" t="s">
        <v>68</v>
      </c>
      <c r="B21" s="2">
        <v>0.54688657407407404</v>
      </c>
      <c r="C21" s="3">
        <f t="shared" si="0"/>
        <v>91.683333333333252</v>
      </c>
      <c r="J21" s="1" t="s">
        <v>68</v>
      </c>
      <c r="K21" s="2">
        <v>0.54688657407407404</v>
      </c>
    </row>
    <row r="22" spans="1:12" x14ac:dyDescent="0.3">
      <c r="C22" s="3">
        <f t="shared" si="0"/>
        <v>-695.83333333333337</v>
      </c>
    </row>
    <row r="23" spans="1:12" x14ac:dyDescent="0.3">
      <c r="A23" s="1" t="s">
        <v>69</v>
      </c>
      <c r="B23" s="2">
        <v>0.54885416666666664</v>
      </c>
      <c r="C23" s="3">
        <f t="shared" si="0"/>
        <v>94.516666666666609</v>
      </c>
      <c r="J23" s="1" t="s">
        <v>69</v>
      </c>
      <c r="K23" s="2">
        <v>0.54885416666666664</v>
      </c>
    </row>
    <row r="24" spans="1:12" x14ac:dyDescent="0.3">
      <c r="A24" s="1" t="s">
        <v>70</v>
      </c>
      <c r="B24" s="2">
        <v>0.55386574074074069</v>
      </c>
      <c r="C24" s="3">
        <f t="shared" si="0"/>
        <v>101.73333333333322</v>
      </c>
      <c r="J24" s="1" t="s">
        <v>70</v>
      </c>
      <c r="K24" s="2">
        <v>0.55386574074074069</v>
      </c>
    </row>
    <row r="25" spans="1:12" x14ac:dyDescent="0.3">
      <c r="C25" s="3">
        <f t="shared" si="0"/>
        <v>-695.83333333333337</v>
      </c>
    </row>
    <row r="26" spans="1:12" x14ac:dyDescent="0.3">
      <c r="A26" s="1" t="s">
        <v>71</v>
      </c>
      <c r="B26" s="2">
        <v>0.56002314814814813</v>
      </c>
      <c r="C26" s="3">
        <f t="shared" si="0"/>
        <v>110.59999999999994</v>
      </c>
      <c r="J26" s="1" t="s">
        <v>71</v>
      </c>
      <c r="K26" s="2">
        <v>0.56002314814814813</v>
      </c>
    </row>
    <row r="27" spans="1:12" x14ac:dyDescent="0.3">
      <c r="A27" s="1" t="s">
        <v>72</v>
      </c>
      <c r="B27" s="2">
        <v>0.56218749999999995</v>
      </c>
      <c r="C27" s="3">
        <f t="shared" si="0"/>
        <v>113.71666666666655</v>
      </c>
      <c r="J27" s="1" t="s">
        <v>72</v>
      </c>
      <c r="K27" s="2">
        <v>0.52052083333333332</v>
      </c>
    </row>
    <row r="28" spans="1:12" x14ac:dyDescent="0.3">
      <c r="A28" s="1" t="s">
        <v>65</v>
      </c>
      <c r="B28" s="2">
        <v>0.56564814814814812</v>
      </c>
      <c r="C28" s="3">
        <f t="shared" si="0"/>
        <v>118.69999999999992</v>
      </c>
      <c r="J28" s="1" t="s">
        <v>65</v>
      </c>
      <c r="K28" s="2">
        <v>0.52398148148148149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abSelected="1" zoomScale="55" zoomScaleNormal="55" workbookViewId="0">
      <selection activeCell="C7" sqref="C7"/>
    </sheetView>
  </sheetViews>
  <sheetFormatPr defaultRowHeight="14.4" x14ac:dyDescent="0.3"/>
  <sheetData>
    <row r="1" spans="1:3" x14ac:dyDescent="0.3">
      <c r="A1" t="s">
        <v>73</v>
      </c>
      <c r="B1" t="s">
        <v>74</v>
      </c>
      <c r="C1" t="s">
        <v>75</v>
      </c>
    </row>
    <row r="2" spans="1:3" x14ac:dyDescent="0.3">
      <c r="A2">
        <v>0</v>
      </c>
      <c r="B2" s="8">
        <v>36.620554690560937</v>
      </c>
      <c r="C2">
        <v>0</v>
      </c>
    </row>
    <row r="3" spans="1:3" x14ac:dyDescent="0.3">
      <c r="A3">
        <v>10.14999999999999</v>
      </c>
      <c r="B3" s="8">
        <v>29.484255697358769</v>
      </c>
      <c r="C3">
        <v>6.2840068708158014</v>
      </c>
    </row>
    <row r="4" spans="1:3" x14ac:dyDescent="0.3">
      <c r="A4">
        <v>21.166666666666639</v>
      </c>
      <c r="B4" s="8">
        <v>27.051472404021101</v>
      </c>
      <c r="C4">
        <v>8.7167901641534691</v>
      </c>
    </row>
    <row r="5" spans="1:3" x14ac:dyDescent="0.3">
      <c r="A5">
        <v>32.400000000000027</v>
      </c>
      <c r="B5" s="5">
        <v>19.913002358683929</v>
      </c>
      <c r="C5">
        <v>15.516483718569592</v>
      </c>
    </row>
    <row r="6" spans="1:3" x14ac:dyDescent="0.3">
      <c r="A6">
        <v>34.31666666666662</v>
      </c>
      <c r="B6" s="5">
        <v>17.1905680922745</v>
      </c>
      <c r="C6">
        <v>18.238917984979022</v>
      </c>
    </row>
    <row r="7" spans="1:3" x14ac:dyDescent="0.3">
      <c r="A7">
        <v>39.083333333333343</v>
      </c>
      <c r="B7" s="5">
        <v>11.169038768510269</v>
      </c>
      <c r="C7">
        <v>24.260447308743252</v>
      </c>
    </row>
    <row r="8" spans="1:3" x14ac:dyDescent="0.3">
      <c r="A8">
        <v>41.899999999999913</v>
      </c>
      <c r="B8" s="6">
        <v>8.5659191261850509</v>
      </c>
      <c r="C8">
        <v>26.472114652899101</v>
      </c>
    </row>
    <row r="9" spans="1:3" x14ac:dyDescent="0.3">
      <c r="A9">
        <v>49.349999999999959</v>
      </c>
      <c r="B9" s="6">
        <v>4.6592346765691293</v>
      </c>
      <c r="C9">
        <v>30.378799102515025</v>
      </c>
    </row>
    <row r="10" spans="1:3" x14ac:dyDescent="0.3">
      <c r="A10">
        <v>56.533333333333353</v>
      </c>
      <c r="B10" s="6">
        <v>3.331402726633057</v>
      </c>
      <c r="C10">
        <v>31.706631052451094</v>
      </c>
    </row>
    <row r="11" spans="1:3" x14ac:dyDescent="0.3">
      <c r="A11">
        <v>62.333333333333293</v>
      </c>
      <c r="B11" s="9">
        <v>17.269540169194151</v>
      </c>
      <c r="C11">
        <v>37.096945902396087</v>
      </c>
    </row>
    <row r="12" spans="1:3" x14ac:dyDescent="0.3">
      <c r="A12">
        <v>83.450000000000017</v>
      </c>
      <c r="B12" s="9">
        <v>5.679146355673641</v>
      </c>
      <c r="C12">
        <v>48.687339715916593</v>
      </c>
    </row>
    <row r="13" spans="1:3" x14ac:dyDescent="0.3">
      <c r="A13">
        <v>91.683333333333252</v>
      </c>
      <c r="B13" s="9">
        <v>3.7118030024761222</v>
      </c>
      <c r="C13">
        <v>50.654683069114114</v>
      </c>
    </row>
    <row r="14" spans="1:3" x14ac:dyDescent="0.3">
      <c r="A14">
        <v>94.516666666666609</v>
      </c>
      <c r="B14" s="7">
        <v>1.783531790305678</v>
      </c>
      <c r="C14">
        <v>51.566903175023093</v>
      </c>
    </row>
    <row r="15" spans="1:3" x14ac:dyDescent="0.3">
      <c r="A15">
        <v>101.73333333333321</v>
      </c>
      <c r="B15" s="7">
        <v>0.15874237938305649</v>
      </c>
      <c r="C15">
        <v>53.191692585945717</v>
      </c>
    </row>
    <row r="16" spans="1:3" x14ac:dyDescent="0.3">
      <c r="A16">
        <v>110.59999999999989</v>
      </c>
      <c r="B16" s="10">
        <v>6.7149192008354666</v>
      </c>
      <c r="C16">
        <v>85.426071929572799</v>
      </c>
    </row>
    <row r="17" spans="1:3" x14ac:dyDescent="0.3">
      <c r="A17">
        <v>113.7166666666666</v>
      </c>
      <c r="B17" s="10">
        <v>2.9368710630100541</v>
      </c>
      <c r="C17">
        <v>89.204120067398208</v>
      </c>
    </row>
    <row r="18" spans="1:3" x14ac:dyDescent="0.3">
      <c r="A18">
        <v>118.6999999999999</v>
      </c>
      <c r="B18" s="10">
        <v>0.78356828850679783</v>
      </c>
      <c r="C18">
        <v>91.357422841901467</v>
      </c>
    </row>
    <row r="19" spans="1:3" x14ac:dyDescent="0.3">
      <c r="A19">
        <v>130</v>
      </c>
      <c r="B19" s="10">
        <v>0</v>
      </c>
      <c r="C19">
        <v>92.14</v>
      </c>
    </row>
    <row r="28" spans="1:3" x14ac:dyDescent="0.3">
      <c r="A28" s="7"/>
      <c r="B28" s="7"/>
      <c r="C28" s="7"/>
    </row>
    <row r="29" spans="1:3" x14ac:dyDescent="0.3">
      <c r="A29" s="7"/>
      <c r="B29" s="7"/>
      <c r="C29" s="7"/>
    </row>
    <row r="39" spans="5:5" x14ac:dyDescent="0.3">
      <c r="E39">
        <v>382.96578481942919</v>
      </c>
    </row>
    <row r="40" spans="5:5" x14ac:dyDescent="0.3">
      <c r="E40">
        <v>92.140991130408267</v>
      </c>
    </row>
    <row r="41" spans="5:5" x14ac:dyDescent="0.3">
      <c r="E41">
        <v>11.78111774761391</v>
      </c>
    </row>
    <row r="42" spans="5:5" x14ac:dyDescent="0.3">
      <c r="E42">
        <v>121.73709824351771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C3_E3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2025-03-06T08:01:39Z</dcterms:created>
  <dcterms:modified xsi:type="dcterms:W3CDTF">2026-01-12T11:10:02Z</dcterms:modified>
</cp:coreProperties>
</file>
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Excel files with HPLC analysis/"/>
    </mc:Choice>
  </mc:AlternateContent>
  <xr:revisionPtr revIDLastSave="9" documentId="11_B43C6CD1D17E183FAF8E1352CB181DCDF2521458" xr6:coauthVersionLast="47" xr6:coauthVersionMax="47" xr10:uidLastSave="{6766F27F-DD22-4C38-B846-9888700E76A1}"/>
  <bookViews>
    <workbookView xWindow="6204" yWindow="3228" windowWidth="17280" windowHeight="8880" firstSheet="1" activeTab="2" xr2:uid="{00000000-000D-0000-FFFF-FFFF00000000}"/>
  </bookViews>
  <sheets>
    <sheet name="C4_E2 HPLC 254 nm" sheetId="1" r:id="rId1"/>
    <sheet name="Sample and addition times" sheetId="2" r:id="rId2"/>
    <sheet name="Concentration vs time HPLC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3" l="1"/>
  <c r="E12" i="3"/>
  <c r="E11" i="3"/>
  <c r="E10" i="3"/>
  <c r="E9" i="3"/>
  <c r="E8" i="3"/>
  <c r="E7" i="3"/>
  <c r="E6" i="3"/>
  <c r="E5" i="3"/>
  <c r="E4" i="3"/>
  <c r="E3" i="3"/>
  <c r="E2" i="3"/>
  <c r="C2" i="3"/>
  <c r="C18" i="2"/>
  <c r="D18" i="2" s="1"/>
  <c r="C17" i="2"/>
  <c r="D17" i="2" s="1"/>
  <c r="D16" i="2"/>
  <c r="H13" i="2" s="1"/>
  <c r="C16" i="2"/>
  <c r="D15" i="2"/>
  <c r="H12" i="2" s="1"/>
  <c r="C15" i="2"/>
  <c r="C14" i="2"/>
  <c r="D14" i="2" s="1"/>
  <c r="L4" i="2" s="1"/>
  <c r="C13" i="2"/>
  <c r="D13" i="2" s="1"/>
  <c r="H11" i="2" s="1"/>
  <c r="D12" i="2"/>
  <c r="C12" i="2"/>
  <c r="D11" i="2"/>
  <c r="C11" i="2"/>
  <c r="H10" i="2"/>
  <c r="D10" i="2"/>
  <c r="L3" i="2" s="1"/>
  <c r="C10" i="2"/>
  <c r="H9" i="2"/>
  <c r="C9" i="2"/>
  <c r="D9" i="2" s="1"/>
  <c r="H8" i="2" s="1"/>
  <c r="C8" i="2"/>
  <c r="D8" i="2" s="1"/>
  <c r="H7" i="2" s="1"/>
  <c r="C7" i="2"/>
  <c r="D7" i="2" s="1"/>
  <c r="H6" i="2" s="1"/>
  <c r="C6" i="2"/>
  <c r="D6" i="2" s="1"/>
  <c r="H5" i="2" s="1"/>
  <c r="C5" i="2"/>
  <c r="D5" i="2" s="1"/>
  <c r="H4" i="2" s="1"/>
  <c r="C4" i="2"/>
  <c r="D4" i="2" s="1"/>
  <c r="H3" i="2" s="1"/>
  <c r="C3" i="2"/>
  <c r="D3" i="2" s="1"/>
  <c r="H2" i="2" s="1"/>
  <c r="C2" i="2"/>
  <c r="D2" i="2" s="1"/>
  <c r="L2" i="2" s="1"/>
  <c r="H15" i="1"/>
  <c r="I15" i="1" s="1"/>
  <c r="H14" i="1"/>
  <c r="I14" i="1" s="1"/>
  <c r="E14" i="1"/>
  <c r="I13" i="1"/>
  <c r="H13" i="1"/>
  <c r="E13" i="1"/>
  <c r="H12" i="1"/>
  <c r="E12" i="1"/>
  <c r="I12" i="1" s="1"/>
  <c r="I11" i="1"/>
  <c r="H11" i="1"/>
  <c r="E11" i="1"/>
  <c r="I10" i="1"/>
  <c r="H10" i="1"/>
  <c r="E10" i="1"/>
  <c r="H9" i="1"/>
  <c r="E9" i="1"/>
  <c r="I9" i="1" s="1"/>
  <c r="H8" i="1"/>
  <c r="I8" i="1" s="1"/>
  <c r="E8" i="1"/>
  <c r="I7" i="1"/>
  <c r="H7" i="1"/>
  <c r="E7" i="1"/>
  <c r="H6" i="1"/>
  <c r="I6" i="1" s="1"/>
  <c r="E6" i="1"/>
  <c r="I5" i="1"/>
  <c r="H5" i="1"/>
  <c r="E5" i="1"/>
  <c r="I4" i="1"/>
  <c r="H4" i="1"/>
  <c r="E4" i="1"/>
</calcChain>
</file>

<file path=xl/sharedStrings.xml><?xml version="1.0" encoding="utf-8"?>
<sst xmlns="http://schemas.openxmlformats.org/spreadsheetml/2006/main" count="84" uniqueCount="61">
  <si>
    <t>Compound</t>
  </si>
  <si>
    <t>initial concentration / mM</t>
  </si>
  <si>
    <t>filename</t>
  </si>
  <si>
    <t>Biphenyl</t>
  </si>
  <si>
    <t>4-SO2Me-ArOPh</t>
  </si>
  <si>
    <t>Ratio of integral with IS</t>
  </si>
  <si>
    <t>concentrations</t>
  </si>
  <si>
    <t>Product</t>
  </si>
  <si>
    <t>4-Me-piperidine</t>
  </si>
  <si>
    <t>Ar-4SO2Me-Oph</t>
  </si>
  <si>
    <t>BP</t>
  </si>
  <si>
    <t>C4_E2-S1</t>
  </si>
  <si>
    <t>CC Product</t>
  </si>
  <si>
    <t>C4_E2-S2</t>
  </si>
  <si>
    <t>Phenol</t>
  </si>
  <si>
    <t>CC 4SO2ArOPh</t>
  </si>
  <si>
    <t>C4_E2-S3</t>
  </si>
  <si>
    <t>C4_E2-S5</t>
  </si>
  <si>
    <t>C4_E2-S6</t>
  </si>
  <si>
    <t>C4_E2-S7</t>
  </si>
  <si>
    <t>C4_E2-S8</t>
  </si>
  <si>
    <t>C4_E2-S9</t>
  </si>
  <si>
    <t>C4_E2-S10</t>
  </si>
  <si>
    <t>C4_E2-S11</t>
  </si>
  <si>
    <t>C4_E2-S12</t>
  </si>
  <si>
    <t>Since V1</t>
  </si>
  <si>
    <t>V1:</t>
  </si>
  <si>
    <t>S1</t>
  </si>
  <si>
    <t>V1</t>
  </si>
  <si>
    <t>S1:</t>
  </si>
  <si>
    <t>S2</t>
  </si>
  <si>
    <t>V2</t>
  </si>
  <si>
    <t>S2:</t>
  </si>
  <si>
    <t>S3</t>
  </si>
  <si>
    <t>V3</t>
  </si>
  <si>
    <t>S3:</t>
  </si>
  <si>
    <t>S4</t>
  </si>
  <si>
    <t>S4: </t>
  </si>
  <si>
    <t>S5</t>
  </si>
  <si>
    <t>S5:</t>
  </si>
  <si>
    <t>S6</t>
  </si>
  <si>
    <t>S6:</t>
  </si>
  <si>
    <t>S7</t>
  </si>
  <si>
    <t>S7:</t>
  </si>
  <si>
    <t>S8</t>
  </si>
  <si>
    <t>V2:</t>
  </si>
  <si>
    <t>S9</t>
  </si>
  <si>
    <t>s8:</t>
  </si>
  <si>
    <t>S10</t>
  </si>
  <si>
    <t>S9:</t>
  </si>
  <si>
    <t>S11</t>
  </si>
  <si>
    <t>S10:</t>
  </si>
  <si>
    <t>S12</t>
  </si>
  <si>
    <t>V3:</t>
  </si>
  <si>
    <t>S11:</t>
  </si>
  <si>
    <t>S12:</t>
  </si>
  <si>
    <t>Ir</t>
  </si>
  <si>
    <t>IR</t>
  </si>
  <si>
    <t>Time / min</t>
  </si>
  <si>
    <t>4SO2Me-ArOPh</t>
  </si>
  <si>
    <t>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</si>
</sst>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22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HPLC concentration vs time data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'Concentration vs time HPLC'!$C$1</c:f>
              <c:strCache>
                <c:ptCount val="1"/>
                <c:pt idx="0">
                  <c:v>4SO2Me-ArOPh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'Concentration vs time HPLC'!$B$2:$B$13</c:f>
              <c:numCache>
                <c:formatCode>General</c:formatCode>
                <c:ptCount val="12"/>
                <c:pt idx="0">
                  <c:v>0</c:v>
                </c:pt>
                <c:pt idx="1">
                  <c:v>1.599999996833503</c:v>
                </c:pt>
                <c:pt idx="2">
                  <c:v>9.733333335025236</c:v>
                </c:pt>
                <c:pt idx="3">
                  <c:v>41.550000000279397</c:v>
                </c:pt>
                <c:pt idx="4">
                  <c:v>276.38333332724869</c:v>
                </c:pt>
                <c:pt idx="5">
                  <c:v>423.73333333292982</c:v>
                </c:pt>
                <c:pt idx="6">
                  <c:v>1231.733333326411</c:v>
                </c:pt>
                <c:pt idx="7">
                  <c:v>1256.866666667629</c:v>
                </c:pt>
                <c:pt idx="8">
                  <c:v>1407.4666666681881</c:v>
                </c:pt>
                <c:pt idx="9">
                  <c:v>1502.0666666643231</c:v>
                </c:pt>
                <c:pt idx="10">
                  <c:v>1596.3666666636709</c:v>
                </c:pt>
                <c:pt idx="11">
                  <c:v>1740.949999995064</c:v>
                </c:pt>
              </c:numCache>
            </c:numRef>
          </c:xVal>
          <c:yVal>
            <c:numRef>
              <c:f>'Concentration vs time HPLC'!$C$2:$C$13</c:f>
              <c:numCache>
                <c:formatCode>General</c:formatCode>
                <c:ptCount val="12"/>
                <c:pt idx="0">
                  <c:v>85.203019976127251</c:v>
                </c:pt>
                <c:pt idx="1">
                  <c:v>83.434293604804452</c:v>
                </c:pt>
                <c:pt idx="2">
                  <c:v>83.940209721315185</c:v>
                </c:pt>
                <c:pt idx="3">
                  <c:v>78.802274623722937</c:v>
                </c:pt>
                <c:pt idx="4">
                  <c:v>63.314417574529593</c:v>
                </c:pt>
                <c:pt idx="5">
                  <c:v>57.962769360573439</c:v>
                </c:pt>
                <c:pt idx="6">
                  <c:v>51.762138663605803</c:v>
                </c:pt>
                <c:pt idx="7">
                  <c:v>51.003698656905193</c:v>
                </c:pt>
                <c:pt idx="8">
                  <c:v>45.601481565676643</c:v>
                </c:pt>
                <c:pt idx="9">
                  <c:v>43.49826079212373</c:v>
                </c:pt>
                <c:pt idx="10">
                  <c:v>27.232268668479229</c:v>
                </c:pt>
                <c:pt idx="11">
                  <c:v>17.403006298301289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28-4734-B26F-886C08562446}"/>
            </c:ext>
          </c:extLst>
        </c:ser>
        <c:ser>
          <c:idx val="1"/>
          <c:order val="1"/>
          <c:tx>
            <c:strRef>
              <c:f>'Concentration vs time HPLC'!$D$1</c:f>
              <c:strCache>
                <c:ptCount val="1"/>
                <c:pt idx="0">
                  <c:v>Product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'Concentration vs time HPLC'!$B$2:$B$13</c:f>
              <c:numCache>
                <c:formatCode>General</c:formatCode>
                <c:ptCount val="12"/>
                <c:pt idx="0">
                  <c:v>0</c:v>
                </c:pt>
                <c:pt idx="1">
                  <c:v>1.599999996833503</c:v>
                </c:pt>
                <c:pt idx="2">
                  <c:v>9.733333335025236</c:v>
                </c:pt>
                <c:pt idx="3">
                  <c:v>41.550000000279397</c:v>
                </c:pt>
                <c:pt idx="4">
                  <c:v>276.38333332724869</c:v>
                </c:pt>
                <c:pt idx="5">
                  <c:v>423.73333333292982</c:v>
                </c:pt>
                <c:pt idx="6">
                  <c:v>1231.733333326411</c:v>
                </c:pt>
                <c:pt idx="7">
                  <c:v>1256.866666667629</c:v>
                </c:pt>
                <c:pt idx="8">
                  <c:v>1407.4666666681881</c:v>
                </c:pt>
                <c:pt idx="9">
                  <c:v>1502.0666666643231</c:v>
                </c:pt>
                <c:pt idx="10">
                  <c:v>1596.3666666636709</c:v>
                </c:pt>
                <c:pt idx="11">
                  <c:v>1740.949999995064</c:v>
                </c:pt>
              </c:numCache>
            </c:numRef>
          </c:xVal>
          <c:yVal>
            <c:numRef>
              <c:f>'Concentration vs time HPLC'!$D$2:$D$13</c:f>
              <c:numCache>
                <c:formatCode>General</c:formatCode>
                <c:ptCount val="12"/>
                <c:pt idx="0">
                  <c:v>0</c:v>
                </c:pt>
                <c:pt idx="1">
                  <c:v>1.7687263713228061</c:v>
                </c:pt>
                <c:pt idx="2">
                  <c:v>2.489309593805916</c:v>
                </c:pt>
                <c:pt idx="3">
                  <c:v>7.2308597715885448</c:v>
                </c:pt>
                <c:pt idx="4">
                  <c:v>24.593547680968751</c:v>
                </c:pt>
                <c:pt idx="5">
                  <c:v>28.3472450544478</c:v>
                </c:pt>
                <c:pt idx="6">
                  <c:v>34.619948380859633</c:v>
                </c:pt>
                <c:pt idx="7">
                  <c:v>34.7034373166329</c:v>
                </c:pt>
                <c:pt idx="8">
                  <c:v>40.256469312351157</c:v>
                </c:pt>
                <c:pt idx="9">
                  <c:v>42.647888204244268</c:v>
                </c:pt>
                <c:pt idx="10">
                  <c:v>56.682045151607973</c:v>
                </c:pt>
                <c:pt idx="11">
                  <c:v>70.549185585936698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28-4734-B26F-886C08562446}"/>
            </c:ext>
          </c:extLst>
        </c:ser>
        <c:ser>
          <c:idx val="2"/>
          <c:order val="2"/>
          <c:tx>
            <c:strRef>
              <c:f>'Concentration vs time HPLC'!$E$1</c:f>
              <c:strCache>
                <c:ptCount val="1"/>
                <c:pt idx="0">
                  <c:v>MB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'Concentration vs time HPLC'!$B$2:$B$13</c:f>
              <c:numCache>
                <c:formatCode>General</c:formatCode>
                <c:ptCount val="12"/>
                <c:pt idx="0">
                  <c:v>0</c:v>
                </c:pt>
                <c:pt idx="1">
                  <c:v>1.599999996833503</c:v>
                </c:pt>
                <c:pt idx="2">
                  <c:v>9.733333335025236</c:v>
                </c:pt>
                <c:pt idx="3">
                  <c:v>41.550000000279397</c:v>
                </c:pt>
                <c:pt idx="4">
                  <c:v>276.38333332724869</c:v>
                </c:pt>
                <c:pt idx="5">
                  <c:v>423.73333333292982</c:v>
                </c:pt>
                <c:pt idx="6">
                  <c:v>1231.733333326411</c:v>
                </c:pt>
                <c:pt idx="7">
                  <c:v>1256.866666667629</c:v>
                </c:pt>
                <c:pt idx="8">
                  <c:v>1407.4666666681881</c:v>
                </c:pt>
                <c:pt idx="9">
                  <c:v>1502.0666666643231</c:v>
                </c:pt>
                <c:pt idx="10">
                  <c:v>1596.3666666636709</c:v>
                </c:pt>
                <c:pt idx="11">
                  <c:v>1740.949999995064</c:v>
                </c:pt>
              </c:numCache>
            </c:numRef>
          </c:xVal>
          <c:yVal>
            <c:numRef>
              <c:f>'Concentration vs time HPLC'!$E$2:$E$13</c:f>
              <c:numCache>
                <c:formatCode>General</c:formatCode>
                <c:ptCount val="12"/>
                <c:pt idx="0">
                  <c:v>85.203019976127251</c:v>
                </c:pt>
                <c:pt idx="1">
                  <c:v>85.203019976127251</c:v>
                </c:pt>
                <c:pt idx="2">
                  <c:v>86.429519315121098</c:v>
                </c:pt>
                <c:pt idx="3">
                  <c:v>86.033134395311478</c:v>
                </c:pt>
                <c:pt idx="4">
                  <c:v>87.90796525549834</c:v>
                </c:pt>
                <c:pt idx="5">
                  <c:v>86.310014415021243</c:v>
                </c:pt>
                <c:pt idx="6">
                  <c:v>86.382087044465436</c:v>
                </c:pt>
                <c:pt idx="7">
                  <c:v>85.707135973538101</c:v>
                </c:pt>
                <c:pt idx="8">
                  <c:v>85.857950878027793</c:v>
                </c:pt>
                <c:pt idx="9">
                  <c:v>86.146148996367998</c:v>
                </c:pt>
                <c:pt idx="10">
                  <c:v>83.914313820087202</c:v>
                </c:pt>
                <c:pt idx="11">
                  <c:v>87.95219188423799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28-4734-B26F-886C08562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727488"/>
        <c:axId val="522725568"/>
      </c:scatterChart>
      <c:valAx>
        <c:axId val="522727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Time / minutes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725568"/>
        <c:crosses val="autoZero"/>
        <c:crossBetween val="midCat"/>
      </c:valAx>
      <c:valAx>
        <c:axId val="52272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Concentration / mM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727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106680</xdr:colOff>
      <xdr:row>0</xdr:row>
      <xdr:rowOff>22866</xdr:rowOff>
    </xdr:from>
    <xdr:to>
      <xdr:col>12</xdr:col>
      <xdr:colOff>411480</xdr:colOff>
      <xdr:row>15</xdr:row>
      <xdr:rowOff>22866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1B27B8-6716-66F8-4BB8-E554DCFF93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PLC%20conc%20vs%20tim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LC conc vs tim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zoomScale="85" workbookViewId="0">
      <selection activeCell="Q4" sqref="Q4"/>
    </sheetView>
  </sheetViews>
  <sheetFormatPr defaultRowHeight="14.4" x14ac:dyDescent="0.3"/>
  <cols>
    <col min="1" max="1" width="10.5546875" bestFit="1" customWidth="1"/>
    <col min="3" max="3" width="14.6640625" bestFit="1" customWidth="1"/>
    <col min="7" max="7" width="20.33203125" bestFit="1" customWidth="1"/>
    <col min="11" max="11" width="10.21875" bestFit="1" customWidth="1"/>
    <col min="12" max="12" width="23.109375" bestFit="1" customWidth="1"/>
  </cols>
  <sheetData>
    <row r="1" spans="1:15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K1" t="s">
        <v>0</v>
      </c>
      <c r="L1" t="s">
        <v>1</v>
      </c>
    </row>
    <row r="2" spans="1:15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5</v>
      </c>
      <c r="H2" t="s">
        <v>6</v>
      </c>
      <c r="K2" t="s">
        <v>8</v>
      </c>
      <c r="L2">
        <v>36.551943559594321</v>
      </c>
    </row>
    <row r="3" spans="1:15" x14ac:dyDescent="0.3">
      <c r="B3">
        <v>3.9728636741638201</v>
      </c>
      <c r="C3">
        <v>2.08108709075234</v>
      </c>
      <c r="E3">
        <v>0</v>
      </c>
      <c r="F3">
        <v>2.9134760769930699</v>
      </c>
      <c r="H3">
        <v>0</v>
      </c>
      <c r="K3" t="s">
        <v>9</v>
      </c>
      <c r="L3">
        <v>83.452004664336101</v>
      </c>
      <c r="N3" t="s">
        <v>10</v>
      </c>
    </row>
    <row r="4" spans="1:15" x14ac:dyDescent="0.3">
      <c r="A4" t="s">
        <v>11</v>
      </c>
      <c r="B4">
        <v>369.91394042968801</v>
      </c>
      <c r="C4">
        <v>2368.486328125</v>
      </c>
      <c r="D4">
        <v>6.40280365042147</v>
      </c>
      <c r="E4">
        <f t="shared" ref="E4:E9" si="0">D4*$L$4/$O$5</f>
        <v>79.645463930816305</v>
      </c>
      <c r="F4">
        <v>54.280204772949197</v>
      </c>
      <c r="G4">
        <v>0.14673738629557401</v>
      </c>
      <c r="H4">
        <f t="shared" ref="H4:H9" si="1">G4*$L$4/$O$4</f>
        <v>1.6884068447672729</v>
      </c>
      <c r="I4">
        <f t="shared" ref="I4:I15" si="2">SUM(E4,H4)</f>
        <v>81.333870775583577</v>
      </c>
      <c r="K4" t="s">
        <v>3</v>
      </c>
      <c r="L4">
        <v>7.2420757580890269</v>
      </c>
      <c r="N4" t="s">
        <v>12</v>
      </c>
      <c r="O4">
        <v>0.62939999999999996</v>
      </c>
    </row>
    <row r="5" spans="1:15" x14ac:dyDescent="0.3">
      <c r="A5" t="s">
        <v>13</v>
      </c>
      <c r="B5">
        <v>184.05970764160199</v>
      </c>
      <c r="C5">
        <v>1185.64416503906</v>
      </c>
      <c r="D5">
        <v>6.4416279925192796</v>
      </c>
      <c r="E5">
        <f t="shared" si="0"/>
        <v>80.128405921077913</v>
      </c>
      <c r="F5">
        <v>38.011741638183601</v>
      </c>
      <c r="G5">
        <v>0.20651853751826699</v>
      </c>
      <c r="H5">
        <f t="shared" si="1"/>
        <v>2.376267706001018</v>
      </c>
      <c r="I5">
        <f t="shared" si="2"/>
        <v>82.50467362707893</v>
      </c>
      <c r="K5" t="s">
        <v>14</v>
      </c>
      <c r="L5">
        <v>2.8633968502987659</v>
      </c>
      <c r="N5" t="s">
        <v>15</v>
      </c>
      <c r="O5">
        <v>0.58220000000000005</v>
      </c>
    </row>
    <row r="6" spans="1:15" x14ac:dyDescent="0.3">
      <c r="A6" t="s">
        <v>16</v>
      </c>
      <c r="B6">
        <v>211.10963439941401</v>
      </c>
      <c r="C6">
        <v>1276.65161132813</v>
      </c>
      <c r="D6">
        <v>6.0473394071288</v>
      </c>
      <c r="E6">
        <f t="shared" si="0"/>
        <v>75.223789284273352</v>
      </c>
      <c r="F6">
        <v>126.64210510253901</v>
      </c>
      <c r="G6">
        <v>0.59988785193448502</v>
      </c>
      <c r="H6">
        <f t="shared" si="1"/>
        <v>6.9024996346787955</v>
      </c>
      <c r="I6">
        <f t="shared" si="2"/>
        <v>82.126288918952142</v>
      </c>
    </row>
    <row r="7" spans="1:15" x14ac:dyDescent="0.3">
      <c r="A7" t="s">
        <v>17</v>
      </c>
      <c r="B7">
        <v>182.65966796875</v>
      </c>
      <c r="C7">
        <v>887.505126953125</v>
      </c>
      <c r="D7">
        <v>4.8587908695036104</v>
      </c>
      <c r="E7">
        <f t="shared" si="0"/>
        <v>60.439250377286839</v>
      </c>
      <c r="F7">
        <v>372.686767578125</v>
      </c>
      <c r="G7">
        <v>2.0403342003330698</v>
      </c>
      <c r="H7">
        <f t="shared" si="1"/>
        <v>23.476731570753234</v>
      </c>
      <c r="I7">
        <f t="shared" si="2"/>
        <v>83.91598194804007</v>
      </c>
    </row>
    <row r="8" spans="1:15" x14ac:dyDescent="0.3">
      <c r="A8" t="s">
        <v>18</v>
      </c>
      <c r="B8">
        <v>139.54425048828099</v>
      </c>
      <c r="C8">
        <v>620.70703125</v>
      </c>
      <c r="D8">
        <v>4.44810179622647</v>
      </c>
      <c r="E8">
        <f t="shared" si="0"/>
        <v>55.330625537554063</v>
      </c>
      <c r="F8">
        <v>328.17306518554699</v>
      </c>
      <c r="G8">
        <v>2.3517490977753099</v>
      </c>
      <c r="H8">
        <f t="shared" si="1"/>
        <v>27.05997001923469</v>
      </c>
      <c r="I8">
        <f t="shared" si="2"/>
        <v>82.390595556788753</v>
      </c>
    </row>
    <row r="9" spans="1:15" x14ac:dyDescent="0.3">
      <c r="A9" t="s">
        <v>19</v>
      </c>
      <c r="B9">
        <v>99.142547607421903</v>
      </c>
      <c r="C9">
        <v>393.82009887695301</v>
      </c>
      <c r="D9">
        <v>3.9722612377924298</v>
      </c>
      <c r="E9">
        <f t="shared" si="0"/>
        <v>49.411571307133741</v>
      </c>
      <c r="F9">
        <v>284.75189208984398</v>
      </c>
      <c r="G9">
        <v>2.8721462072710202</v>
      </c>
      <c r="H9">
        <f t="shared" si="1"/>
        <v>33.047823993271045</v>
      </c>
      <c r="I9">
        <f t="shared" si="2"/>
        <v>82.459395300404793</v>
      </c>
      <c r="K9" t="s">
        <v>8</v>
      </c>
      <c r="L9">
        <v>53.19594530812163</v>
      </c>
    </row>
    <row r="10" spans="1:15" x14ac:dyDescent="0.3">
      <c r="A10" t="s">
        <v>20</v>
      </c>
      <c r="B10">
        <v>101.16331481933599</v>
      </c>
      <c r="C10">
        <v>397.75332641601602</v>
      </c>
      <c r="D10">
        <v>3.9317941204907099</v>
      </c>
      <c r="E10">
        <f>D10*$L$11/$O$5</f>
        <v>48.811442941346961</v>
      </c>
      <c r="F10">
        <v>292.57632446289102</v>
      </c>
      <c r="G10">
        <v>2.8921187980582901</v>
      </c>
      <c r="H10">
        <f>G10*$L$11/$O$4</f>
        <v>33.211804144719679</v>
      </c>
      <c r="I10">
        <f t="shared" si="2"/>
        <v>82.023247086066647</v>
      </c>
      <c r="K10" t="s">
        <v>9</v>
      </c>
      <c r="L10">
        <v>83.286917433877278</v>
      </c>
    </row>
    <row r="11" spans="1:15" x14ac:dyDescent="0.3">
      <c r="A11" t="s">
        <v>21</v>
      </c>
      <c r="B11">
        <v>159.05914306640599</v>
      </c>
      <c r="C11">
        <v>559.14788818359398</v>
      </c>
      <c r="D11">
        <v>3.51534578524765</v>
      </c>
      <c r="E11">
        <f>D11*$L$11/$O$5</f>
        <v>43.641425506355077</v>
      </c>
      <c r="F11">
        <v>533.627197265625</v>
      </c>
      <c r="G11">
        <v>3.3548979768037501</v>
      </c>
      <c r="H11">
        <f>G11*$L$11/$O$4</f>
        <v>38.526154114391524</v>
      </c>
      <c r="I11">
        <f t="shared" si="2"/>
        <v>82.167579620746608</v>
      </c>
      <c r="K11" t="s">
        <v>3</v>
      </c>
      <c r="L11">
        <v>7.2277492690551854</v>
      </c>
    </row>
    <row r="12" spans="1:15" x14ac:dyDescent="0.3">
      <c r="A12" t="s">
        <v>22</v>
      </c>
      <c r="B12">
        <v>158.32109069824199</v>
      </c>
      <c r="C12">
        <v>530.88415527343795</v>
      </c>
      <c r="D12">
        <v>3.3532118363515799</v>
      </c>
      <c r="E12">
        <f>D12*$L$11/$O$5</f>
        <v>41.62860597591434</v>
      </c>
      <c r="F12">
        <v>562.70391845703205</v>
      </c>
      <c r="G12">
        <v>3.5541943020689399</v>
      </c>
      <c r="H12">
        <f>G12*$L$11/$O$4</f>
        <v>40.814784348361755</v>
      </c>
      <c r="I12">
        <f t="shared" si="2"/>
        <v>82.443390324276095</v>
      </c>
      <c r="K12" t="s">
        <v>14</v>
      </c>
      <c r="L12">
        <v>2.8577323937333219</v>
      </c>
    </row>
    <row r="13" spans="1:15" x14ac:dyDescent="0.3">
      <c r="A13" t="s">
        <v>23</v>
      </c>
      <c r="B13">
        <v>107.5400390625</v>
      </c>
      <c r="C13">
        <v>227.53868103027401</v>
      </c>
      <c r="D13">
        <v>2.1158508311312101</v>
      </c>
      <c r="E13">
        <f>D13*$L$18/$O$5</f>
        <v>26.070532933866435</v>
      </c>
      <c r="F13">
        <v>512.00177001953102</v>
      </c>
      <c r="G13">
        <v>4.7610338854532701</v>
      </c>
      <c r="H13">
        <f>G13*$L$18/$O$4</f>
        <v>54.263974216527252</v>
      </c>
      <c r="I13">
        <f t="shared" si="2"/>
        <v>80.334507150393691</v>
      </c>
    </row>
    <row r="14" spans="1:15" x14ac:dyDescent="0.3">
      <c r="A14" t="s">
        <v>24</v>
      </c>
      <c r="B14">
        <v>143.89610290527401</v>
      </c>
      <c r="C14">
        <v>194.56939697265599</v>
      </c>
      <c r="D14">
        <v>1.3521519557811701</v>
      </c>
      <c r="E14">
        <f>D14*$L$18/$O$5</f>
        <v>16.660589478294309</v>
      </c>
      <c r="F14">
        <v>852.70104980468795</v>
      </c>
      <c r="G14">
        <v>5.9258105854750998</v>
      </c>
      <c r="H14">
        <f>G14*$L$18/$O$4</f>
        <v>67.539538797386953</v>
      </c>
      <c r="I14">
        <f t="shared" si="2"/>
        <v>84.200128275681266</v>
      </c>
    </row>
    <row r="15" spans="1:15" x14ac:dyDescent="0.3">
      <c r="H15">
        <f>G15*$L$18/$O$4</f>
        <v>0</v>
      </c>
      <c r="I15">
        <f t="shared" si="2"/>
        <v>0</v>
      </c>
    </row>
    <row r="16" spans="1:15" x14ac:dyDescent="0.3">
      <c r="K16" t="s">
        <v>8</v>
      </c>
      <c r="L16">
        <v>116.1128840416296</v>
      </c>
    </row>
    <row r="17" spans="11:12" x14ac:dyDescent="0.3">
      <c r="K17" t="s">
        <v>9</v>
      </c>
      <c r="L17">
        <v>82.662926010095077</v>
      </c>
    </row>
    <row r="18" spans="11:12" x14ac:dyDescent="0.3">
      <c r="K18" t="s">
        <v>3</v>
      </c>
      <c r="L18">
        <v>7.173598464870131</v>
      </c>
    </row>
    <row r="19" spans="11:12" x14ac:dyDescent="0.3">
      <c r="K19" t="s">
        <v>14</v>
      </c>
      <c r="L19">
        <v>2.836322062313986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18"/>
  <sheetViews>
    <sheetView workbookViewId="0">
      <selection activeCell="L2" sqref="L2:L4"/>
    </sheetView>
  </sheetViews>
  <sheetFormatPr defaultRowHeight="14.4" x14ac:dyDescent="0.3"/>
  <cols>
    <col min="2" max="2" width="15.109375" bestFit="1" customWidth="1"/>
    <col min="3" max="3" width="15.6640625" customWidth="1"/>
  </cols>
  <sheetData>
    <row r="1" spans="1:12" x14ac:dyDescent="0.3">
      <c r="E1" t="s">
        <v>25</v>
      </c>
    </row>
    <row r="2" spans="1:12" x14ac:dyDescent="0.3">
      <c r="A2" s="1" t="s">
        <v>26</v>
      </c>
      <c r="B2" s="2">
        <v>45292.486064814817</v>
      </c>
      <c r="C2" s="3">
        <f t="shared" ref="C2:C18" si="0">B2-$B$2</f>
        <v>0</v>
      </c>
      <c r="D2">
        <f t="shared" ref="D2:D18" si="1">C2*86400/60</f>
        <v>0</v>
      </c>
      <c r="G2" t="s">
        <v>27</v>
      </c>
      <c r="H2">
        <f t="shared" ref="H2:H8" si="2">D3</f>
        <v>1.6000000073108822</v>
      </c>
      <c r="K2" t="s">
        <v>28</v>
      </c>
      <c r="L2">
        <f>D2</f>
        <v>0</v>
      </c>
    </row>
    <row r="3" spans="1:12" x14ac:dyDescent="0.3">
      <c r="A3" s="1" t="s">
        <v>29</v>
      </c>
      <c r="B3" s="2">
        <v>45292.487175925933</v>
      </c>
      <c r="C3" s="3">
        <f t="shared" si="0"/>
        <v>1.1111111161881126E-3</v>
      </c>
      <c r="D3">
        <f t="shared" si="1"/>
        <v>1.6000000073108822</v>
      </c>
      <c r="G3" t="s">
        <v>30</v>
      </c>
      <c r="H3">
        <f t="shared" si="2"/>
        <v>9.733333335025236</v>
      </c>
      <c r="K3" t="s">
        <v>31</v>
      </c>
      <c r="L3">
        <f>D10</f>
        <v>1254.8000000102911</v>
      </c>
    </row>
    <row r="4" spans="1:12" x14ac:dyDescent="0.3">
      <c r="A4" s="1" t="s">
        <v>32</v>
      </c>
      <c r="B4" s="2">
        <v>45292.492824074077</v>
      </c>
      <c r="C4" s="3">
        <f t="shared" si="0"/>
        <v>6.7592592604341917E-3</v>
      </c>
      <c r="D4">
        <f t="shared" si="1"/>
        <v>9.733333335025236</v>
      </c>
      <c r="G4" t="s">
        <v>33</v>
      </c>
      <c r="H4">
        <f t="shared" si="2"/>
        <v>41.549999989802018</v>
      </c>
      <c r="K4" t="s">
        <v>34</v>
      </c>
      <c r="L4">
        <f>D14</f>
        <v>1504.016666659154</v>
      </c>
    </row>
    <row r="5" spans="1:12" x14ac:dyDescent="0.3">
      <c r="A5" s="1" t="s">
        <v>35</v>
      </c>
      <c r="B5" s="2">
        <v>45292.514918981477</v>
      </c>
      <c r="C5" s="3">
        <f t="shared" si="0"/>
        <v>2.8854166659584735E-2</v>
      </c>
      <c r="D5">
        <f t="shared" si="1"/>
        <v>41.549999989802018</v>
      </c>
      <c r="G5" t="s">
        <v>36</v>
      </c>
      <c r="H5">
        <f t="shared" si="2"/>
        <v>103.56666666339152</v>
      </c>
    </row>
    <row r="6" spans="1:12" x14ac:dyDescent="0.3">
      <c r="A6" s="1" t="s">
        <v>37</v>
      </c>
      <c r="B6" s="2">
        <v>45292.557986111111</v>
      </c>
      <c r="C6" s="3">
        <f t="shared" si="0"/>
        <v>7.1921296294021886E-2</v>
      </c>
      <c r="D6">
        <f t="shared" si="1"/>
        <v>103.56666666339152</v>
      </c>
      <c r="G6" t="s">
        <v>38</v>
      </c>
      <c r="H6">
        <f t="shared" si="2"/>
        <v>276.38333332724869</v>
      </c>
    </row>
    <row r="7" spans="1:12" x14ac:dyDescent="0.3">
      <c r="A7" s="1" t="s">
        <v>39</v>
      </c>
      <c r="B7" s="2">
        <v>45292.677997685183</v>
      </c>
      <c r="C7" s="3">
        <f t="shared" si="0"/>
        <v>0.19193287036614493</v>
      </c>
      <c r="D7">
        <f t="shared" si="1"/>
        <v>276.38333332724869</v>
      </c>
      <c r="G7" t="s">
        <v>40</v>
      </c>
      <c r="H7">
        <f t="shared" si="2"/>
        <v>423.73333334340714</v>
      </c>
    </row>
    <row r="8" spans="1:12" x14ac:dyDescent="0.3">
      <c r="A8" s="1" t="s">
        <v>41</v>
      </c>
      <c r="B8" s="2">
        <v>45292.780324074083</v>
      </c>
      <c r="C8" s="3">
        <f t="shared" si="0"/>
        <v>0.29425925926625496</v>
      </c>
      <c r="D8">
        <f t="shared" si="1"/>
        <v>423.73333334340714</v>
      </c>
      <c r="G8" t="s">
        <v>42</v>
      </c>
      <c r="H8">
        <f t="shared" si="2"/>
        <v>1231.7333333264105</v>
      </c>
    </row>
    <row r="9" spans="1:12" x14ac:dyDescent="0.3">
      <c r="A9" s="1" t="s">
        <v>43</v>
      </c>
      <c r="B9" s="2">
        <v>45293.341435185182</v>
      </c>
      <c r="C9" s="3">
        <f t="shared" si="0"/>
        <v>0.85537037036556285</v>
      </c>
      <c r="D9">
        <f t="shared" si="1"/>
        <v>1231.7333333264105</v>
      </c>
      <c r="G9" t="s">
        <v>44</v>
      </c>
      <c r="H9">
        <f>D11</f>
        <v>1256.866666667629</v>
      </c>
    </row>
    <row r="10" spans="1:12" x14ac:dyDescent="0.3">
      <c r="A10" s="1" t="s">
        <v>45</v>
      </c>
      <c r="B10" s="2">
        <v>45293.357453703713</v>
      </c>
      <c r="C10" s="3">
        <f t="shared" si="0"/>
        <v>0.8713888888960355</v>
      </c>
      <c r="D10">
        <f t="shared" si="1"/>
        <v>1254.8000000102911</v>
      </c>
      <c r="G10" t="s">
        <v>46</v>
      </c>
      <c r="H10">
        <f>D12</f>
        <v>1407.4666666786652</v>
      </c>
    </row>
    <row r="11" spans="1:12" x14ac:dyDescent="0.3">
      <c r="A11" s="1" t="s">
        <v>47</v>
      </c>
      <c r="B11" s="2">
        <v>45293.358888888892</v>
      </c>
      <c r="C11" s="3">
        <f t="shared" si="0"/>
        <v>0.87282407407474238</v>
      </c>
      <c r="D11">
        <f t="shared" si="1"/>
        <v>1256.866666667629</v>
      </c>
      <c r="G11" t="s">
        <v>48</v>
      </c>
      <c r="H11">
        <f>D13</f>
        <v>1502.0666666643228</v>
      </c>
    </row>
    <row r="12" spans="1:12" x14ac:dyDescent="0.3">
      <c r="A12" s="1" t="s">
        <v>49</v>
      </c>
      <c r="B12" s="2">
        <v>45293.463472222233</v>
      </c>
      <c r="C12" s="3">
        <f t="shared" si="0"/>
        <v>0.97740740741573973</v>
      </c>
      <c r="D12">
        <f t="shared" si="1"/>
        <v>1407.4666666786652</v>
      </c>
      <c r="G12" t="s">
        <v>50</v>
      </c>
      <c r="H12">
        <f>D15</f>
        <v>1596.3666666636709</v>
      </c>
    </row>
    <row r="13" spans="1:12" x14ac:dyDescent="0.3">
      <c r="A13" s="1" t="s">
        <v>51</v>
      </c>
      <c r="B13" s="2">
        <v>45293.529166666667</v>
      </c>
      <c r="C13" s="3">
        <f t="shared" si="0"/>
        <v>1.0431018518502242</v>
      </c>
      <c r="D13">
        <f t="shared" si="1"/>
        <v>1502.0666666643228</v>
      </c>
      <c r="G13" t="s">
        <v>52</v>
      </c>
      <c r="H13">
        <f>D16</f>
        <v>1740.949999995064</v>
      </c>
    </row>
    <row r="14" spans="1:12" x14ac:dyDescent="0.3">
      <c r="A14" s="1" t="s">
        <v>53</v>
      </c>
      <c r="B14" s="2">
        <v>45293.53052083333</v>
      </c>
      <c r="C14" s="3">
        <f t="shared" si="0"/>
        <v>1.0444560185133014</v>
      </c>
      <c r="D14">
        <f t="shared" si="1"/>
        <v>1504.016666659154</v>
      </c>
    </row>
    <row r="15" spans="1:12" x14ac:dyDescent="0.3">
      <c r="A15" s="1" t="s">
        <v>54</v>
      </c>
      <c r="B15" s="2">
        <v>45293.594652777778</v>
      </c>
      <c r="C15" s="3">
        <f t="shared" si="0"/>
        <v>1.1085879629608826</v>
      </c>
      <c r="D15">
        <f t="shared" si="1"/>
        <v>1596.3666666636709</v>
      </c>
    </row>
    <row r="16" spans="1:12" x14ac:dyDescent="0.3">
      <c r="A16" s="1" t="s">
        <v>55</v>
      </c>
      <c r="B16" s="2">
        <v>45293.695057870369</v>
      </c>
      <c r="C16" s="3">
        <f t="shared" si="0"/>
        <v>1.2089930555521278</v>
      </c>
      <c r="D16">
        <f t="shared" si="1"/>
        <v>1740.949999995064</v>
      </c>
    </row>
    <row r="17" spans="1:4" x14ac:dyDescent="0.3">
      <c r="A17" s="1" t="s">
        <v>56</v>
      </c>
      <c r="B17" s="2">
        <v>45292.478379629632</v>
      </c>
      <c r="C17" s="3">
        <f t="shared" si="0"/>
        <v>-7.6851851845276542E-3</v>
      </c>
      <c r="D17">
        <f t="shared" si="1"/>
        <v>-11.066666665719822</v>
      </c>
    </row>
    <row r="18" spans="1:4" x14ac:dyDescent="0.3">
      <c r="A18" s="1" t="s">
        <v>57</v>
      </c>
      <c r="B18" s="2">
        <v>45293.489432870367</v>
      </c>
      <c r="C18" s="3">
        <f t="shared" si="0"/>
        <v>1.0033680555497995</v>
      </c>
      <c r="D18">
        <f t="shared" si="1"/>
        <v>1444.8499999917112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13"/>
  <sheetViews>
    <sheetView tabSelected="1" workbookViewId="0">
      <selection activeCell="N10" sqref="N10"/>
    </sheetView>
  </sheetViews>
  <sheetFormatPr defaultRowHeight="14.4" x14ac:dyDescent="0.3"/>
  <cols>
    <col min="2" max="2" width="11.6640625" bestFit="1" customWidth="1"/>
    <col min="3" max="3" width="13.5546875" bestFit="1" customWidth="1"/>
  </cols>
  <sheetData>
    <row r="1" spans="1:5" x14ac:dyDescent="0.3">
      <c r="B1" t="s">
        <v>58</v>
      </c>
      <c r="C1" t="s">
        <v>59</v>
      </c>
      <c r="D1" t="s">
        <v>7</v>
      </c>
      <c r="E1" t="s">
        <v>60</v>
      </c>
    </row>
    <row r="2" spans="1:5" x14ac:dyDescent="0.3">
      <c r="B2">
        <v>0</v>
      </c>
      <c r="C2">
        <f>C3+D3</f>
        <v>85.203019976127251</v>
      </c>
      <c r="D2">
        <v>0</v>
      </c>
      <c r="E2">
        <f>SUM(C2:D2)</f>
        <v>85.203019976127251</v>
      </c>
    </row>
    <row r="3" spans="1:5" x14ac:dyDescent="0.3">
      <c r="A3" t="s">
        <v>27</v>
      </c>
      <c r="B3">
        <v>1.599999996833503</v>
      </c>
      <c r="C3">
        <v>83.434293604804452</v>
      </c>
      <c r="D3">
        <v>1.7687263713228061</v>
      </c>
      <c r="E3">
        <f>SUM(C3:D3)</f>
        <v>85.203019976127251</v>
      </c>
    </row>
    <row r="4" spans="1:5" x14ac:dyDescent="0.3">
      <c r="A4" t="s">
        <v>30</v>
      </c>
      <c r="B4">
        <v>9.733333335025236</v>
      </c>
      <c r="C4">
        <v>83.940209721315185</v>
      </c>
      <c r="D4">
        <v>2.489309593805916</v>
      </c>
      <c r="E4">
        <f>SUM(C4:D4)</f>
        <v>86.429519315121098</v>
      </c>
    </row>
    <row r="5" spans="1:5" x14ac:dyDescent="0.3">
      <c r="A5" t="s">
        <v>33</v>
      </c>
      <c r="B5">
        <v>41.550000000279397</v>
      </c>
      <c r="C5">
        <v>78.802274623722937</v>
      </c>
      <c r="D5">
        <v>7.2308597715885448</v>
      </c>
      <c r="E5">
        <f>SUM(C5:D5)</f>
        <v>86.033134395311478</v>
      </c>
    </row>
    <row r="6" spans="1:5" x14ac:dyDescent="0.3">
      <c r="A6" t="s">
        <v>38</v>
      </c>
      <c r="B6">
        <v>276.38333332724869</v>
      </c>
      <c r="C6">
        <v>63.314417574529593</v>
      </c>
      <c r="D6">
        <v>24.593547680968751</v>
      </c>
      <c r="E6">
        <f>SUM(C6:D6)</f>
        <v>87.90796525549834</v>
      </c>
    </row>
    <row r="7" spans="1:5" x14ac:dyDescent="0.3">
      <c r="A7" t="s">
        <v>40</v>
      </c>
      <c r="B7">
        <v>423.73333333292982</v>
      </c>
      <c r="C7">
        <v>57.962769360573439</v>
      </c>
      <c r="D7">
        <v>28.3472450544478</v>
      </c>
      <c r="E7">
        <f>SUM(C7:D7)</f>
        <v>86.310014415021243</v>
      </c>
    </row>
    <row r="8" spans="1:5" x14ac:dyDescent="0.3">
      <c r="A8" t="s">
        <v>42</v>
      </c>
      <c r="B8">
        <v>1231.733333326411</v>
      </c>
      <c r="C8">
        <v>51.762138663605803</v>
      </c>
      <c r="D8">
        <v>34.619948380859633</v>
      </c>
      <c r="E8">
        <f>SUM(C8:D8)</f>
        <v>86.382087044465436</v>
      </c>
    </row>
    <row r="9" spans="1:5" x14ac:dyDescent="0.3">
      <c r="A9" t="s">
        <v>44</v>
      </c>
      <c r="B9">
        <v>1256.866666667629</v>
      </c>
      <c r="C9">
        <v>51.003698656905193</v>
      </c>
      <c r="D9">
        <v>34.7034373166329</v>
      </c>
      <c r="E9">
        <f>SUM(C9:D9)</f>
        <v>85.707135973538101</v>
      </c>
    </row>
    <row r="10" spans="1:5" x14ac:dyDescent="0.3">
      <c r="A10" t="s">
        <v>46</v>
      </c>
      <c r="B10">
        <v>1407.4666666681881</v>
      </c>
      <c r="C10">
        <v>45.601481565676643</v>
      </c>
      <c r="D10">
        <v>40.256469312351157</v>
      </c>
      <c r="E10">
        <f>SUM(C10:D10)</f>
        <v>85.857950878027793</v>
      </c>
    </row>
    <row r="11" spans="1:5" x14ac:dyDescent="0.3">
      <c r="A11" t="s">
        <v>48</v>
      </c>
      <c r="B11">
        <v>1502.0666666643231</v>
      </c>
      <c r="C11">
        <v>43.49826079212373</v>
      </c>
      <c r="D11">
        <v>42.647888204244268</v>
      </c>
      <c r="E11">
        <f>SUM(C11:D11)</f>
        <v>86.146148996367998</v>
      </c>
    </row>
    <row r="12" spans="1:5" x14ac:dyDescent="0.3">
      <c r="A12" t="s">
        <v>50</v>
      </c>
      <c r="B12">
        <v>1596.3666666636709</v>
      </c>
      <c r="C12">
        <v>27.232268668479229</v>
      </c>
      <c r="D12">
        <v>56.682045151607973</v>
      </c>
      <c r="E12">
        <f>SUM(C12:D12)</f>
        <v>83.914313820087202</v>
      </c>
    </row>
    <row r="13" spans="1:5" x14ac:dyDescent="0.3">
      <c r="A13" t="s">
        <v>52</v>
      </c>
      <c r="B13">
        <v>1740.949999995064</v>
      </c>
      <c r="C13">
        <v>17.403006298301289</v>
      </c>
      <c r="D13">
        <v>70.549185585936698</v>
      </c>
      <c r="E13">
        <f>SUM(C13:D13)</f>
        <v>87.95219188423799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C4_E2 HPLC 254 nm</vt:lpstr>
      <vt:lpstr>Sample and addition times</vt:lpstr>
      <vt:lpstr>Concentration vs time HPLC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Dalland, Daniel</cp:lastModifiedBy>
  <dcterms:created xsi:type="dcterms:W3CDTF">2024-11-23T22:35:07Z</dcterms:created>
  <dcterms:modified xsi:type="dcterms:W3CDTF">2026-01-12T11:25:25Z</dcterms:modified>
</cp:coreProperties>
</file>
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Excel files with HPLC analysis/"/>
    </mc:Choice>
  </mc:AlternateContent>
  <xr:revisionPtr revIDLastSave="4" documentId="11_C7760AEC84172657E9A64FA93FC2643D4BD2084E" xr6:coauthVersionLast="47" xr6:coauthVersionMax="47" xr10:uidLastSave="{F1F09F4B-E998-4986-B2DC-F5DB83E6D682}"/>
  <bookViews>
    <workbookView xWindow="2316" yWindow="2496" windowWidth="17280" windowHeight="8880" firstSheet="1" activeTab="2" xr2:uid="{00000000-000D-0000-FFFF-FFFF00000000}"/>
  </bookViews>
  <sheets>
    <sheet name="C4_E6 HPLC 254 nm" sheetId="1" r:id="rId1"/>
    <sheet name="Sample and addition times" sheetId="2" r:id="rId2"/>
    <sheet name="Concentration vs time HPLC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2" l="1"/>
  <c r="C22" i="2"/>
  <c r="C21" i="2"/>
  <c r="C20" i="2"/>
  <c r="H13" i="2" s="1"/>
  <c r="I13" i="2" s="1"/>
  <c r="C19" i="2"/>
  <c r="C18" i="2"/>
  <c r="H11" i="2" s="1"/>
  <c r="I11" i="2" s="1"/>
  <c r="C17" i="2"/>
  <c r="H10" i="2" s="1"/>
  <c r="I10" i="2" s="1"/>
  <c r="H16" i="2"/>
  <c r="C16" i="2"/>
  <c r="H15" i="2"/>
  <c r="C15" i="2"/>
  <c r="H14" i="2"/>
  <c r="I14" i="2" s="1"/>
  <c r="C14" i="2"/>
  <c r="C13" i="2"/>
  <c r="H7" i="2" s="1"/>
  <c r="H12" i="2"/>
  <c r="C12" i="2"/>
  <c r="C11" i="2"/>
  <c r="H6" i="2" s="1"/>
  <c r="C10" i="2"/>
  <c r="H5" i="2" s="1"/>
  <c r="H9" i="2"/>
  <c r="C9" i="2"/>
  <c r="H4" i="2" s="1"/>
  <c r="H8" i="2"/>
  <c r="C8" i="2"/>
  <c r="C7" i="2"/>
  <c r="C6" i="2"/>
  <c r="H2" i="2" s="1"/>
  <c r="C5" i="2"/>
  <c r="C4" i="2"/>
  <c r="F4" i="2" s="1"/>
  <c r="I12" i="2" s="1"/>
  <c r="H3" i="2"/>
  <c r="C3" i="2"/>
  <c r="F3" i="2" s="1"/>
  <c r="C2" i="2"/>
  <c r="F2" i="2" s="1"/>
  <c r="H1" i="2"/>
  <c r="C1" i="2"/>
  <c r="F1" i="2" s="1"/>
  <c r="H19" i="1"/>
  <c r="I19" i="1" s="1"/>
  <c r="J19" i="1" s="1"/>
  <c r="D19" i="1"/>
  <c r="E19" i="1" s="1"/>
  <c r="F19" i="1" s="1"/>
  <c r="K19" i="1" s="1"/>
  <c r="I18" i="1"/>
  <c r="J18" i="1" s="1"/>
  <c r="H18" i="1"/>
  <c r="D18" i="1"/>
  <c r="E18" i="1" s="1"/>
  <c r="F18" i="1" s="1"/>
  <c r="K18" i="1" s="1"/>
  <c r="I17" i="1"/>
  <c r="J17" i="1" s="1"/>
  <c r="H17" i="1"/>
  <c r="E17" i="1"/>
  <c r="F17" i="1" s="1"/>
  <c r="K17" i="1" s="1"/>
  <c r="D17" i="1"/>
  <c r="I16" i="1"/>
  <c r="J16" i="1" s="1"/>
  <c r="H16" i="1"/>
  <c r="D16" i="1"/>
  <c r="E16" i="1" s="1"/>
  <c r="F16" i="1" s="1"/>
  <c r="K16" i="1" s="1"/>
  <c r="I15" i="1"/>
  <c r="J15" i="1" s="1"/>
  <c r="H15" i="1"/>
  <c r="F15" i="1"/>
  <c r="K15" i="1" s="1"/>
  <c r="E15" i="1"/>
  <c r="D15" i="1"/>
  <c r="I14" i="1"/>
  <c r="J14" i="1" s="1"/>
  <c r="H14" i="1"/>
  <c r="D14" i="1"/>
  <c r="E14" i="1" s="1"/>
  <c r="F14" i="1" s="1"/>
  <c r="K14" i="1" s="1"/>
  <c r="H13" i="1"/>
  <c r="I13" i="1" s="1"/>
  <c r="J13" i="1" s="1"/>
  <c r="D13" i="1"/>
  <c r="E13" i="1" s="1"/>
  <c r="F13" i="1" s="1"/>
  <c r="K13" i="1" s="1"/>
  <c r="I12" i="1"/>
  <c r="J12" i="1" s="1"/>
  <c r="H12" i="1"/>
  <c r="D12" i="1"/>
  <c r="E12" i="1" s="1"/>
  <c r="F12" i="1" s="1"/>
  <c r="H11" i="1"/>
  <c r="I11" i="1" s="1"/>
  <c r="J11" i="1" s="1"/>
  <c r="D11" i="1"/>
  <c r="E11" i="1" s="1"/>
  <c r="F11" i="1" s="1"/>
  <c r="K11" i="1" s="1"/>
  <c r="I10" i="1"/>
  <c r="J10" i="1" s="1"/>
  <c r="H10" i="1"/>
  <c r="D10" i="1"/>
  <c r="E10" i="1" s="1"/>
  <c r="F10" i="1" s="1"/>
  <c r="K10" i="1" s="1"/>
  <c r="H9" i="1"/>
  <c r="I9" i="1" s="1"/>
  <c r="J9" i="1" s="1"/>
  <c r="D9" i="1"/>
  <c r="E9" i="1" s="1"/>
  <c r="F9" i="1" s="1"/>
  <c r="K9" i="1" s="1"/>
  <c r="H8" i="1"/>
  <c r="I8" i="1" s="1"/>
  <c r="J8" i="1" s="1"/>
  <c r="D8" i="1"/>
  <c r="E8" i="1" s="1"/>
  <c r="F8" i="1" s="1"/>
  <c r="K8" i="1" s="1"/>
  <c r="H7" i="1"/>
  <c r="I7" i="1" s="1"/>
  <c r="J7" i="1" s="1"/>
  <c r="D7" i="1"/>
  <c r="E7" i="1" s="1"/>
  <c r="F7" i="1" s="1"/>
  <c r="K7" i="1" s="1"/>
  <c r="H6" i="1"/>
  <c r="I6" i="1" s="1"/>
  <c r="J6" i="1" s="1"/>
  <c r="D6" i="1"/>
  <c r="E6" i="1" s="1"/>
  <c r="F6" i="1" s="1"/>
  <c r="K6" i="1" s="1"/>
  <c r="H5" i="1"/>
  <c r="I5" i="1" s="1"/>
  <c r="J5" i="1" s="1"/>
  <c r="D5" i="1"/>
  <c r="E5" i="1" s="1"/>
  <c r="F5" i="1" s="1"/>
  <c r="K5" i="1" s="1"/>
  <c r="H4" i="1"/>
  <c r="I4" i="1" s="1"/>
  <c r="J4" i="1" s="1"/>
  <c r="D4" i="1"/>
  <c r="E4" i="1" s="1"/>
  <c r="F4" i="1" s="1"/>
  <c r="I15" i="2" l="1"/>
  <c r="K4" i="1"/>
  <c r="K12" i="1"/>
  <c r="I16" i="2"/>
</calcChain>
</file>

<file path=xl/sharedStrings.xml><?xml version="1.0" encoding="utf-8"?>
<sst xmlns="http://schemas.openxmlformats.org/spreadsheetml/2006/main" count="111" uniqueCount="75">
  <si>
    <t>filename</t>
  </si>
  <si>
    <t>Biphenyl</t>
  </si>
  <si>
    <t>4SO2MeArOPh</t>
  </si>
  <si>
    <t>Ratio of integral with IS</t>
  </si>
  <si>
    <t>concentrations</t>
  </si>
  <si>
    <t>Product</t>
  </si>
  <si>
    <t>Compound</t>
  </si>
  <si>
    <t>initial concentration / mM</t>
  </si>
  <si>
    <t>4-Me-piperidine</t>
  </si>
  <si>
    <t>C4_E6-S04</t>
  </si>
  <si>
    <t>Ar-4SO2Me-Oph</t>
  </si>
  <si>
    <t>C4_E6-S1</t>
  </si>
  <si>
    <t>C4_E6-S2</t>
  </si>
  <si>
    <t>C4_E6-S3</t>
  </si>
  <si>
    <t>C4_E6-S4</t>
  </si>
  <si>
    <t>C4_E6-S5</t>
  </si>
  <si>
    <t>C4_E6-S6</t>
  </si>
  <si>
    <t>C4_E6-S7</t>
  </si>
  <si>
    <t>C4_E6-S8</t>
  </si>
  <si>
    <t>C4_E6-S9</t>
  </si>
  <si>
    <t>Phenol</t>
  </si>
  <si>
    <t>C4_E6-S10</t>
  </si>
  <si>
    <t>C4_E6-S11</t>
  </si>
  <si>
    <t>C4_E6-S12</t>
  </si>
  <si>
    <t>C4_E6-S13</t>
  </si>
  <si>
    <t>C4_E6-S14</t>
  </si>
  <si>
    <t>C4_E6-S15</t>
  </si>
  <si>
    <t>CC 4SO2ArOPh</t>
  </si>
  <si>
    <t>CC Product</t>
  </si>
  <si>
    <t>3-pentanone</t>
  </si>
  <si>
    <t>V1:</t>
  </si>
  <si>
    <t>V1</t>
  </si>
  <si>
    <t>S0</t>
  </si>
  <si>
    <t>V2:</t>
  </si>
  <si>
    <t>V2</t>
  </si>
  <si>
    <t>S1</t>
  </si>
  <si>
    <t>Phenol:</t>
  </si>
  <si>
    <t>V3</t>
  </si>
  <si>
    <t>S2</t>
  </si>
  <si>
    <t>16:09:55 </t>
  </si>
  <si>
    <t>V3:</t>
  </si>
  <si>
    <t>V4</t>
  </si>
  <si>
    <t>S3</t>
  </si>
  <si>
    <t>Start:</t>
  </si>
  <si>
    <t>S4</t>
  </si>
  <si>
    <t>S1:</t>
  </si>
  <si>
    <t>S5</t>
  </si>
  <si>
    <t>S6</t>
  </si>
  <si>
    <t> 22:02:26</t>
  </si>
  <si>
    <t>S3:</t>
  </si>
  <si>
    <t>S7</t>
  </si>
  <si>
    <t>S8</t>
  </si>
  <si>
    <t>S4:</t>
  </si>
  <si>
    <t>S9</t>
  </si>
  <si>
    <t>S5:</t>
  </si>
  <si>
    <t>S10</t>
  </si>
  <si>
    <t>S11</t>
  </si>
  <si>
    <t>S6:</t>
  </si>
  <si>
    <t>S12</t>
  </si>
  <si>
    <t>S7:</t>
  </si>
  <si>
    <t>S13</t>
  </si>
  <si>
    <t>S8:</t>
  </si>
  <si>
    <t>S14</t>
  </si>
  <si>
    <t>S15</t>
  </si>
  <si>
    <t>S9:</t>
  </si>
  <si>
    <t> 14:04:48</t>
  </si>
  <si>
    <t>S10:</t>
  </si>
  <si>
    <t>S11:</t>
  </si>
  <si>
    <t>S12:</t>
  </si>
  <si>
    <t>S13:</t>
  </si>
  <si>
    <t>S14:</t>
  </si>
  <si>
    <t>S15:</t>
  </si>
  <si>
    <t>Time / min</t>
  </si>
  <si>
    <t>A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</si>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</sst>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33333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21" fontId="0" fillId="0" borderId="0" xfId="0" applyNumberFormat="1"/>
    <xf numFmtId="2" fontId="0" fillId="0" borderId="0" xfId="0" applyNumberFormat="1"/>
    <xf numFmtId="21" fontId="1" fillId="0" borderId="0" xfId="0" applyNumberFormat="1" applyFont="1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22" fontId="0" fillId="0" borderId="0" xfId="0" applyNumberFormat="1"/>
    <xf numFmtId="0" fontId="0" fillId="6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HPLC concentration vs time data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'Concentration vs time HPLC'!$B$1</c:f>
              <c:strCache>
                <c:ptCount val="1"/>
                <c:pt idx="0">
                  <c:v>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'Concentration vs time HPLC'!$A$2:$A$17</c:f>
              <c:numCache>
                <c:formatCode>General</c:formatCode>
                <c:ptCount val="16"/>
                <c:pt idx="0">
                  <c:v>0</c:v>
                </c:pt>
                <c:pt idx="1">
                  <c:v>58.483333331532783</c:v>
                </c:pt>
                <c:pt idx="2">
                  <c:v>300.94999999506399</c:v>
                </c:pt>
                <c:pt idx="3">
                  <c:v>308.48333332920453</c:v>
                </c:pt>
                <c:pt idx="4">
                  <c:v>944.38333332538605</c:v>
                </c:pt>
                <c:pt idx="5">
                  <c:v>959.08333332510665</c:v>
                </c:pt>
                <c:pt idx="6">
                  <c:v>963.94999999785796</c:v>
                </c:pt>
                <c:pt idx="7">
                  <c:v>1063.066666658269</c:v>
                </c:pt>
                <c:pt idx="8">
                  <c:v>1248.56666666572</c:v>
                </c:pt>
                <c:pt idx="9">
                  <c:v>1263.3166666666509</c:v>
                </c:pt>
                <c:pt idx="10">
                  <c:v>1336.1499999999071</c:v>
                </c:pt>
                <c:pt idx="11">
                  <c:v>1451.183333328227</c:v>
                </c:pt>
                <c:pt idx="12">
                  <c:v>1474.1833333298559</c:v>
                </c:pt>
                <c:pt idx="13">
                  <c:v>1633.83333332953</c:v>
                </c:pt>
                <c:pt idx="14">
                  <c:v>1820.8333333313931</c:v>
                </c:pt>
                <c:pt idx="15">
                  <c:v>1827.6333333284131</c:v>
                </c:pt>
              </c:numCache>
            </c:numRef>
          </c:xVal>
          <c:yVal>
            <c:numRef>
              <c:f>'Concentration vs time HPLC'!$B$2:$B$17</c:f>
              <c:numCache>
                <c:formatCode>General</c:formatCode>
                <c:ptCount val="16"/>
                <c:pt idx="0">
                  <c:v>106.5783215988165</c:v>
                </c:pt>
                <c:pt idx="1">
                  <c:v>105.4599330380528</c:v>
                </c:pt>
                <c:pt idx="2">
                  <c:v>99.970299927936367</c:v>
                </c:pt>
                <c:pt idx="3">
                  <c:v>97.888936473296667</c:v>
                </c:pt>
                <c:pt idx="4">
                  <c:v>52.059578584679031</c:v>
                </c:pt>
                <c:pt idx="5">
                  <c:v>51.653899690283943</c:v>
                </c:pt>
                <c:pt idx="6">
                  <c:v>51.301889571892559</c:v>
                </c:pt>
                <c:pt idx="7">
                  <c:v>49.311151752968946</c:v>
                </c:pt>
                <c:pt idx="8">
                  <c:v>46.482741574406681</c:v>
                </c:pt>
                <c:pt idx="9">
                  <c:v>43.133016474657452</c:v>
                </c:pt>
                <c:pt idx="10">
                  <c:v>30.063937557771251</c:v>
                </c:pt>
                <c:pt idx="11">
                  <c:v>18.644931925861702</c:v>
                </c:pt>
                <c:pt idx="12">
                  <c:v>17.20860113601702</c:v>
                </c:pt>
                <c:pt idx="13">
                  <c:v>9.8294105652974828</c:v>
                </c:pt>
                <c:pt idx="14">
                  <c:v>5.4806814532682768</c:v>
                </c:pt>
                <c:pt idx="15">
                  <c:v>5.4132635098112623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86-40D0-8D3E-F6CD6A3F917D}"/>
            </c:ext>
          </c:extLst>
        </c:ser>
        <c:ser>
          <c:idx val="1"/>
          <c:order val="1"/>
          <c:tx>
            <c:strRef>
              <c:f>'Concentration vs time HPLC'!$C$1</c:f>
              <c:strCache>
                <c:ptCount val="1"/>
                <c:pt idx="0">
                  <c:v>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'Concentration vs time HPLC'!$A$2:$A$17</c:f>
              <c:numCache>
                <c:formatCode>General</c:formatCode>
                <c:ptCount val="16"/>
                <c:pt idx="0">
                  <c:v>0</c:v>
                </c:pt>
                <c:pt idx="1">
                  <c:v>58.483333331532783</c:v>
                </c:pt>
                <c:pt idx="2">
                  <c:v>300.94999999506399</c:v>
                </c:pt>
                <c:pt idx="3">
                  <c:v>308.48333332920453</c:v>
                </c:pt>
                <c:pt idx="4">
                  <c:v>944.38333332538605</c:v>
                </c:pt>
                <c:pt idx="5">
                  <c:v>959.08333332510665</c:v>
                </c:pt>
                <c:pt idx="6">
                  <c:v>963.94999999785796</c:v>
                </c:pt>
                <c:pt idx="7">
                  <c:v>1063.066666658269</c:v>
                </c:pt>
                <c:pt idx="8">
                  <c:v>1248.56666666572</c:v>
                </c:pt>
                <c:pt idx="9">
                  <c:v>1263.3166666666509</c:v>
                </c:pt>
                <c:pt idx="10">
                  <c:v>1336.1499999999071</c:v>
                </c:pt>
                <c:pt idx="11">
                  <c:v>1451.183333328227</c:v>
                </c:pt>
                <c:pt idx="12">
                  <c:v>1474.1833333298559</c:v>
                </c:pt>
                <c:pt idx="13">
                  <c:v>1633.83333332953</c:v>
                </c:pt>
                <c:pt idx="14">
                  <c:v>1820.8333333313931</c:v>
                </c:pt>
                <c:pt idx="15">
                  <c:v>1827.6333333284131</c:v>
                </c:pt>
              </c:numCache>
            </c:numRef>
          </c:xVal>
          <c:yVal>
            <c:numRef>
              <c:f>'Concentration vs time HPLC'!$C$2:$C$17</c:f>
              <c:numCache>
                <c:formatCode>General</c:formatCode>
                <c:ptCount val="16"/>
                <c:pt idx="0">
                  <c:v>0</c:v>
                </c:pt>
                <c:pt idx="1">
                  <c:v>2.0602911736388632</c:v>
                </c:pt>
                <c:pt idx="2">
                  <c:v>8.3454619204977529</c:v>
                </c:pt>
                <c:pt idx="3">
                  <c:v>8.7351587663562587</c:v>
                </c:pt>
                <c:pt idx="4">
                  <c:v>55.00743176637323</c:v>
                </c:pt>
                <c:pt idx="5">
                  <c:v>55.513549478041497</c:v>
                </c:pt>
                <c:pt idx="6">
                  <c:v>55.372495306420852</c:v>
                </c:pt>
                <c:pt idx="7">
                  <c:v>56.884248462614863</c:v>
                </c:pt>
                <c:pt idx="8">
                  <c:v>60.021057227343277</c:v>
                </c:pt>
                <c:pt idx="9">
                  <c:v>61.553133258691098</c:v>
                </c:pt>
                <c:pt idx="10">
                  <c:v>74.553694426291543</c:v>
                </c:pt>
                <c:pt idx="11">
                  <c:v>85.494942926289866</c:v>
                </c:pt>
                <c:pt idx="12">
                  <c:v>87.486661822969495</c:v>
                </c:pt>
                <c:pt idx="13">
                  <c:v>94.167882541318548</c:v>
                </c:pt>
                <c:pt idx="14">
                  <c:v>98.568126499867589</c:v>
                </c:pt>
                <c:pt idx="15">
                  <c:v>98.968659238308504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86-40D0-8D3E-F6CD6A3F9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4197919"/>
        <c:axId val="1364195519"/>
      </c:scatterChart>
      <c:valAx>
        <c:axId val="1364197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Time / minutes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195519"/>
        <c:crosses val="autoZero"/>
        <c:crossBetween val="midCat"/>
      </c:valAx>
      <c:valAx>
        <c:axId val="136419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Concentration / mM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1979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475225</xdr:colOff>
      <xdr:row>0</xdr:row>
      <xdr:rowOff>57361</xdr:rowOff>
    </xdr:from>
    <xdr:to>
      <xdr:col>11</xdr:col>
      <xdr:colOff>196645</xdr:colOff>
      <xdr:row>15</xdr:row>
      <xdr:rowOff>96690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5D8505-6AA6-1F52-D93C-5A8CF95568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PLC%20conc%20vs%20time%20CT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LC conc vs time CT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"/>
  <sheetViews>
    <sheetView workbookViewId="0">
      <selection activeCell="A20" sqref="A20:A22"/>
    </sheetView>
  </sheetViews>
  <sheetFormatPr defaultRowHeight="14.4" x14ac:dyDescent="0.3"/>
  <cols>
    <col min="1" max="1" width="10.109375" bestFit="1" customWidth="1"/>
    <col min="13" max="13" width="9.77734375" bestFit="1" customWidth="1"/>
    <col min="14" max="14" width="21.5546875" bestFit="1" customWidth="1"/>
  </cols>
  <sheetData>
    <row r="1" spans="1:14" x14ac:dyDescent="0.3">
      <c r="A1">
        <v>0</v>
      </c>
      <c r="B1">
        <v>1</v>
      </c>
      <c r="C1">
        <v>2</v>
      </c>
      <c r="D1">
        <v>3</v>
      </c>
      <c r="E1">
        <v>4</v>
      </c>
      <c r="G1">
        <v>5</v>
      </c>
      <c r="H1">
        <v>6</v>
      </c>
      <c r="I1">
        <v>7</v>
      </c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5</v>
      </c>
      <c r="H2" t="s">
        <v>3</v>
      </c>
      <c r="I2" t="s">
        <v>4</v>
      </c>
      <c r="M2" t="s">
        <v>6</v>
      </c>
      <c r="N2" t="s">
        <v>7</v>
      </c>
    </row>
    <row r="3" spans="1:14" x14ac:dyDescent="0.3">
      <c r="B3">
        <v>3.9591056798633701</v>
      </c>
      <c r="C3">
        <v>1.5650668395192999</v>
      </c>
      <c r="G3">
        <v>2.4887945024590699</v>
      </c>
      <c r="I3">
        <v>0</v>
      </c>
      <c r="M3" t="s">
        <v>8</v>
      </c>
      <c r="N3">
        <v>29.63240668038134</v>
      </c>
    </row>
    <row r="4" spans="1:14" x14ac:dyDescent="0.3">
      <c r="A4" s="6" t="s">
        <v>9</v>
      </c>
      <c r="B4" s="6">
        <v>271.23208618164102</v>
      </c>
      <c r="C4" s="6">
        <v>1096.98120117188</v>
      </c>
      <c r="D4" s="6">
        <f t="shared" ref="D4:D19" si="0">C4/B4</f>
        <v>4.0444374285321256</v>
      </c>
      <c r="E4" s="6">
        <f t="shared" ref="E4:E19" si="1">D4/$B$20</f>
        <v>6.9468179809895663</v>
      </c>
      <c r="F4" s="6">
        <f>E4*$N$5</f>
        <v>106.57832159881657</v>
      </c>
      <c r="G4" s="6">
        <v>0</v>
      </c>
      <c r="H4" s="6">
        <f t="shared" ref="H4:H19" si="2">G4/B4</f>
        <v>0</v>
      </c>
      <c r="I4" s="6">
        <f t="shared" ref="I4:I19" si="3">H4/$B$21</f>
        <v>0</v>
      </c>
      <c r="J4" s="6">
        <f>I4*$N$5</f>
        <v>0</v>
      </c>
      <c r="K4" s="6">
        <f t="shared" ref="K4:K19" si="4">SUM(F4,J4)</f>
        <v>106.57832159881657</v>
      </c>
      <c r="M4" t="s">
        <v>10</v>
      </c>
      <c r="N4">
        <v>110.49030739218929</v>
      </c>
    </row>
    <row r="5" spans="1:14" x14ac:dyDescent="0.3">
      <c r="A5" s="6" t="s">
        <v>11</v>
      </c>
      <c r="B5" s="6">
        <v>453.97683715820301</v>
      </c>
      <c r="C5" s="6">
        <v>1816.81384277344</v>
      </c>
      <c r="D5" s="6">
        <f t="shared" si="0"/>
        <v>4.0019967850040601</v>
      </c>
      <c r="E5" s="6">
        <f t="shared" si="1"/>
        <v>6.8739209635933696</v>
      </c>
      <c r="F5" s="6">
        <f>E5*$N$5</f>
        <v>105.45993303805285</v>
      </c>
      <c r="G5" s="6">
        <v>38.371261596679702</v>
      </c>
      <c r="H5" s="6">
        <f t="shared" si="2"/>
        <v>8.4522509643609828E-2</v>
      </c>
      <c r="I5" s="6">
        <f t="shared" si="3"/>
        <v>0.13429060953862382</v>
      </c>
      <c r="J5" s="6">
        <f>I5*$N$5</f>
        <v>2.0602911736388632</v>
      </c>
      <c r="K5" s="6">
        <f t="shared" si="4"/>
        <v>107.52022421169171</v>
      </c>
      <c r="M5" t="s">
        <v>1</v>
      </c>
      <c r="N5">
        <v>15.342034567549531</v>
      </c>
    </row>
    <row r="6" spans="1:14" x14ac:dyDescent="0.3">
      <c r="A6" s="6" t="s">
        <v>12</v>
      </c>
      <c r="B6" s="6">
        <v>629.94567871093795</v>
      </c>
      <c r="C6" s="6">
        <v>2389.80981445313</v>
      </c>
      <c r="D6" s="6">
        <f t="shared" si="0"/>
        <v>3.7936760187694496</v>
      </c>
      <c r="E6" s="6">
        <f t="shared" si="1"/>
        <v>6.516104463705684</v>
      </c>
      <c r="F6" s="6">
        <f>E6*$N$5</f>
        <v>99.970299927936395</v>
      </c>
      <c r="G6" s="6">
        <v>215.67373657226599</v>
      </c>
      <c r="H6" s="6">
        <f t="shared" si="2"/>
        <v>0.34236878489840677</v>
      </c>
      <c r="I6" s="6">
        <f t="shared" si="3"/>
        <v>0.54396057340070991</v>
      </c>
      <c r="J6" s="6">
        <f>I6*$N$5</f>
        <v>8.3454619204977547</v>
      </c>
      <c r="K6" s="6">
        <f t="shared" si="4"/>
        <v>108.31576184843415</v>
      </c>
    </row>
    <row r="7" spans="1:14" x14ac:dyDescent="0.3">
      <c r="A7" s="5" t="s">
        <v>13</v>
      </c>
      <c r="B7" s="5">
        <v>508.68063354492199</v>
      </c>
      <c r="C7" s="5">
        <v>1905.7734375</v>
      </c>
      <c r="D7" s="5">
        <f t="shared" si="0"/>
        <v>3.7465028385667836</v>
      </c>
      <c r="E7" s="5">
        <f t="shared" si="1"/>
        <v>6.4350787333678863</v>
      </c>
      <c r="F7" s="6">
        <f>E7*$N$12</f>
        <v>97.888936473296681</v>
      </c>
      <c r="G7" s="5">
        <v>183.84973144531301</v>
      </c>
      <c r="H7" s="5">
        <f t="shared" si="2"/>
        <v>0.36142467261647204</v>
      </c>
      <c r="I7" s="5">
        <f t="shared" si="3"/>
        <v>0.57423684877100745</v>
      </c>
      <c r="J7" s="6">
        <f>I7*$N$12</f>
        <v>8.7351587663562587</v>
      </c>
      <c r="K7" s="5">
        <f t="shared" si="4"/>
        <v>106.62409523965295</v>
      </c>
    </row>
    <row r="8" spans="1:14" x14ac:dyDescent="0.3">
      <c r="A8" s="5" t="s">
        <v>14</v>
      </c>
      <c r="B8" s="5">
        <v>450.98342895507801</v>
      </c>
      <c r="C8" s="5">
        <v>898.57366943359398</v>
      </c>
      <c r="D8" s="5">
        <f t="shared" si="0"/>
        <v>1.9924760240427812</v>
      </c>
      <c r="E8" s="5">
        <f t="shared" si="1"/>
        <v>3.4223222673355909</v>
      </c>
      <c r="F8" s="6">
        <f>E8*$N$12</f>
        <v>52.059578584679038</v>
      </c>
      <c r="G8" s="5">
        <v>1026.42907714844</v>
      </c>
      <c r="H8" s="5">
        <f t="shared" si="2"/>
        <v>2.2759795842757709</v>
      </c>
      <c r="I8" s="5">
        <f t="shared" si="3"/>
        <v>3.6161099209974119</v>
      </c>
      <c r="J8" s="6">
        <f>I8*$N$12</f>
        <v>55.007431766373237</v>
      </c>
      <c r="K8" s="5">
        <f t="shared" si="4"/>
        <v>107.06701035105228</v>
      </c>
    </row>
    <row r="9" spans="1:14" x14ac:dyDescent="0.3">
      <c r="A9" s="5" t="s">
        <v>15</v>
      </c>
      <c r="B9" s="5">
        <v>744.96154785156295</v>
      </c>
      <c r="C9" s="5">
        <v>1472.75134277344</v>
      </c>
      <c r="D9" s="5">
        <f t="shared" si="0"/>
        <v>1.976949477487518</v>
      </c>
      <c r="E9" s="5">
        <f t="shared" si="1"/>
        <v>3.3956535168112638</v>
      </c>
      <c r="F9" s="6">
        <f>E9*$N$12</f>
        <v>51.65389969028395</v>
      </c>
      <c r="G9" s="5">
        <v>1711.11755371094</v>
      </c>
      <c r="H9" s="5">
        <f t="shared" si="2"/>
        <v>2.2969206379117546</v>
      </c>
      <c r="I9" s="5">
        <f t="shared" si="3"/>
        <v>3.6493813757733631</v>
      </c>
      <c r="J9" s="6">
        <f>I9*$N$12</f>
        <v>55.513549478041504</v>
      </c>
      <c r="K9" s="5">
        <f t="shared" si="4"/>
        <v>107.16744916832545</v>
      </c>
    </row>
    <row r="10" spans="1:14" x14ac:dyDescent="0.3">
      <c r="A10" s="8" t="s">
        <v>16</v>
      </c>
      <c r="B10" s="8">
        <v>679.40319824218795</v>
      </c>
      <c r="C10" s="8">
        <v>1347.45861816406</v>
      </c>
      <c r="D10" s="8">
        <f t="shared" si="0"/>
        <v>1.9832974317023</v>
      </c>
      <c r="E10" s="8">
        <f t="shared" si="1"/>
        <v>3.4065569077676052</v>
      </c>
      <c r="F10" s="6">
        <f>E10*$N$20</f>
        <v>51.301889571892552</v>
      </c>
      <c r="G10" s="8">
        <v>1572.28295898438</v>
      </c>
      <c r="H10" s="8">
        <f t="shared" si="2"/>
        <v>2.3142118892762493</v>
      </c>
      <c r="I10" s="8">
        <f t="shared" si="3"/>
        <v>3.6768539708869552</v>
      </c>
      <c r="J10" s="6">
        <f>I10*$N$20</f>
        <v>55.372495306420838</v>
      </c>
      <c r="K10" s="8">
        <f t="shared" si="4"/>
        <v>106.67438487831339</v>
      </c>
      <c r="M10" t="s">
        <v>8</v>
      </c>
      <c r="N10">
        <v>101.1284508850359</v>
      </c>
    </row>
    <row r="11" spans="1:14" x14ac:dyDescent="0.3">
      <c r="A11" s="8" t="s">
        <v>17</v>
      </c>
      <c r="B11" s="8">
        <v>296.55325317382801</v>
      </c>
      <c r="C11" s="8">
        <v>565.33038330078205</v>
      </c>
      <c r="D11" s="8">
        <f t="shared" si="0"/>
        <v>1.9063368121927406</v>
      </c>
      <c r="E11" s="8">
        <f t="shared" si="1"/>
        <v>3.274367592223876</v>
      </c>
      <c r="F11" s="6">
        <f>E11*$N$20</f>
        <v>49.311151752968932</v>
      </c>
      <c r="G11" s="8">
        <v>705.02374267578205</v>
      </c>
      <c r="H11" s="8">
        <f t="shared" si="2"/>
        <v>2.3773933859444951</v>
      </c>
      <c r="I11" s="8">
        <f t="shared" si="3"/>
        <v>3.7772376643541392</v>
      </c>
      <c r="J11" s="6">
        <f>I11*$N$20</f>
        <v>56.884248462614849</v>
      </c>
      <c r="K11" s="8">
        <f t="shared" si="4"/>
        <v>106.19540021558379</v>
      </c>
      <c r="M11" t="s">
        <v>10</v>
      </c>
      <c r="N11">
        <v>109.5521663781624</v>
      </c>
    </row>
    <row r="12" spans="1:14" x14ac:dyDescent="0.3">
      <c r="A12" s="8" t="s">
        <v>18</v>
      </c>
      <c r="B12" s="8">
        <v>560.89068603515705</v>
      </c>
      <c r="C12" s="8">
        <v>1007.91625976563</v>
      </c>
      <c r="D12" s="8">
        <f t="shared" si="0"/>
        <v>1.7969923282028846</v>
      </c>
      <c r="E12" s="8">
        <f t="shared" si="1"/>
        <v>3.0865550123718384</v>
      </c>
      <c r="F12" s="6">
        <f>E12*$N$20</f>
        <v>46.482741574406667</v>
      </c>
      <c r="G12" s="8">
        <v>1406.98962402344</v>
      </c>
      <c r="H12" s="8">
        <f t="shared" si="2"/>
        <v>2.5084916884058384</v>
      </c>
      <c r="I12" s="8">
        <f t="shared" si="3"/>
        <v>3.9855285802444209</v>
      </c>
      <c r="J12" s="6">
        <f>I12*$N$20</f>
        <v>60.02105722734327</v>
      </c>
      <c r="K12" s="8">
        <f t="shared" si="4"/>
        <v>106.50379880174994</v>
      </c>
      <c r="M12" t="s">
        <v>1</v>
      </c>
      <c r="N12">
        <v>15.2117698212008</v>
      </c>
    </row>
    <row r="13" spans="1:14" x14ac:dyDescent="0.3">
      <c r="A13" s="10" t="s">
        <v>19</v>
      </c>
      <c r="B13" s="10">
        <v>290.48709106445301</v>
      </c>
      <c r="C13" s="10">
        <v>492.60455322265602</v>
      </c>
      <c r="D13" s="10">
        <f t="shared" si="0"/>
        <v>1.6957881034147482</v>
      </c>
      <c r="E13" s="10">
        <f t="shared" si="1"/>
        <v>2.9127243274042391</v>
      </c>
      <c r="F13" s="6">
        <f t="shared" ref="F13:F19" si="5">E13*$N$28</f>
        <v>43.133016474657452</v>
      </c>
      <c r="G13" s="10">
        <v>759.96447753906295</v>
      </c>
      <c r="H13" s="10">
        <f t="shared" si="2"/>
        <v>2.6161729760667498</v>
      </c>
      <c r="I13" s="10">
        <f t="shared" si="3"/>
        <v>4.1566141977546076</v>
      </c>
      <c r="J13" s="6">
        <f t="shared" ref="J13:J19" si="6">I13*$N$28</f>
        <v>61.553133258691105</v>
      </c>
      <c r="K13" s="10">
        <f t="shared" si="4"/>
        <v>104.68614973334856</v>
      </c>
      <c r="M13" t="s">
        <v>20</v>
      </c>
      <c r="N13">
        <v>0</v>
      </c>
    </row>
    <row r="14" spans="1:14" x14ac:dyDescent="0.3">
      <c r="A14" s="10" t="s">
        <v>21</v>
      </c>
      <c r="B14" s="10">
        <v>791.79406738281295</v>
      </c>
      <c r="C14" s="10">
        <v>935.87933349609398</v>
      </c>
      <c r="D14" s="10">
        <f t="shared" si="0"/>
        <v>1.1819731569719116</v>
      </c>
      <c r="E14" s="10">
        <f t="shared" si="1"/>
        <v>2.030184055259209</v>
      </c>
      <c r="F14" s="6">
        <f t="shared" si="5"/>
        <v>30.063937557771258</v>
      </c>
      <c r="G14" s="10">
        <v>2508.98291015625</v>
      </c>
      <c r="H14" s="10">
        <f t="shared" si="2"/>
        <v>3.1687316355493964</v>
      </c>
      <c r="I14" s="10">
        <f t="shared" si="3"/>
        <v>5.0345275429764804</v>
      </c>
      <c r="J14" s="6">
        <f t="shared" si="6"/>
        <v>74.553694426291543</v>
      </c>
      <c r="K14" s="10">
        <f t="shared" si="4"/>
        <v>104.6176319840628</v>
      </c>
    </row>
    <row r="15" spans="1:14" x14ac:dyDescent="0.3">
      <c r="A15" s="10" t="s">
        <v>22</v>
      </c>
      <c r="B15" s="10">
        <v>1127.74279785156</v>
      </c>
      <c r="C15" s="10">
        <v>826.67083740234398</v>
      </c>
      <c r="D15" s="10">
        <f t="shared" si="0"/>
        <v>0.73303136049923601</v>
      </c>
      <c r="E15" s="10">
        <f t="shared" si="1"/>
        <v>1.2590713852614839</v>
      </c>
      <c r="F15" s="6">
        <f t="shared" si="5"/>
        <v>18.644931925861705</v>
      </c>
      <c r="G15" s="10">
        <v>4097.951171875</v>
      </c>
      <c r="H15" s="10">
        <f t="shared" si="2"/>
        <v>3.6337639927135195</v>
      </c>
      <c r="I15" s="10">
        <f t="shared" si="3"/>
        <v>5.7733778085693039</v>
      </c>
      <c r="J15" s="6">
        <f t="shared" si="6"/>
        <v>85.49494292628988</v>
      </c>
      <c r="K15" s="10">
        <f t="shared" si="4"/>
        <v>104.13987485215159</v>
      </c>
    </row>
    <row r="16" spans="1:14" x14ac:dyDescent="0.3">
      <c r="A16" s="10" t="s">
        <v>23</v>
      </c>
      <c r="B16" s="10">
        <v>629.51678466796898</v>
      </c>
      <c r="C16" s="10">
        <v>425.90686035156301</v>
      </c>
      <c r="D16" s="10">
        <f t="shared" si="0"/>
        <v>0.67656156392430811</v>
      </c>
      <c r="E16" s="10">
        <f t="shared" si="1"/>
        <v>1.1620775745865821</v>
      </c>
      <c r="F16" s="6">
        <f t="shared" si="5"/>
        <v>17.208601136017027</v>
      </c>
      <c r="G16" s="10">
        <v>2340.80615234375</v>
      </c>
      <c r="H16" s="10">
        <f t="shared" si="2"/>
        <v>3.7184173787810595</v>
      </c>
      <c r="I16" s="10">
        <f t="shared" si="3"/>
        <v>5.9078763564999361</v>
      </c>
      <c r="J16" s="6">
        <f t="shared" si="6"/>
        <v>87.486661822969509</v>
      </c>
      <c r="K16" s="10">
        <f t="shared" si="4"/>
        <v>104.69526295898653</v>
      </c>
    </row>
    <row r="17" spans="1:14" x14ac:dyDescent="0.3">
      <c r="A17" s="10" t="s">
        <v>24</v>
      </c>
      <c r="B17" s="10">
        <v>1547.18444824219</v>
      </c>
      <c r="C17" s="10">
        <v>597.90380859375</v>
      </c>
      <c r="D17" s="10">
        <f t="shared" si="0"/>
        <v>0.38644636667143939</v>
      </c>
      <c r="E17" s="10">
        <f t="shared" si="1"/>
        <v>0.66376909424843589</v>
      </c>
      <c r="F17" s="6">
        <f t="shared" si="5"/>
        <v>9.8294105652974846</v>
      </c>
      <c r="G17" s="10">
        <v>6192.43115234375</v>
      </c>
      <c r="H17" s="10">
        <f t="shared" si="2"/>
        <v>4.0023871487198477</v>
      </c>
      <c r="I17" s="10">
        <f t="shared" si="3"/>
        <v>6.3590517138859992</v>
      </c>
      <c r="J17" s="6">
        <f t="shared" si="6"/>
        <v>94.167882541318562</v>
      </c>
      <c r="K17" s="10">
        <f t="shared" si="4"/>
        <v>103.99729310661604</v>
      </c>
    </row>
    <row r="18" spans="1:14" x14ac:dyDescent="0.3">
      <c r="A18" s="10" t="s">
        <v>25</v>
      </c>
      <c r="B18" s="10">
        <v>1423.43237304688</v>
      </c>
      <c r="C18" s="10">
        <v>306.71368408203102</v>
      </c>
      <c r="D18" s="10">
        <f t="shared" si="0"/>
        <v>0.21547471442250918</v>
      </c>
      <c r="E18" s="10">
        <f t="shared" si="1"/>
        <v>0.37010428447699961</v>
      </c>
      <c r="F18" s="6">
        <f t="shared" si="5"/>
        <v>5.4806814532682777</v>
      </c>
      <c r="G18">
        <v>5963.3408200000003</v>
      </c>
      <c r="H18" s="10">
        <f t="shared" si="2"/>
        <v>4.1894092989014808</v>
      </c>
      <c r="I18" s="10">
        <f t="shared" si="3"/>
        <v>6.656195263586719</v>
      </c>
      <c r="J18" s="6">
        <f t="shared" si="6"/>
        <v>98.568126499867603</v>
      </c>
      <c r="K18" s="10">
        <f t="shared" si="4"/>
        <v>104.04880795313588</v>
      </c>
      <c r="M18" t="s">
        <v>8</v>
      </c>
      <c r="N18">
        <v>100.11780570874549</v>
      </c>
    </row>
    <row r="19" spans="1:14" x14ac:dyDescent="0.3">
      <c r="A19" s="10" t="s">
        <v>26</v>
      </c>
      <c r="B19" s="10">
        <v>467.45568847656301</v>
      </c>
      <c r="C19" s="10">
        <v>99.485862731933594</v>
      </c>
      <c r="D19" s="10">
        <f t="shared" si="0"/>
        <v>0.21282415677977476</v>
      </c>
      <c r="E19" s="10">
        <f t="shared" si="1"/>
        <v>0.36555162621053716</v>
      </c>
      <c r="F19" s="6">
        <f t="shared" si="5"/>
        <v>5.4132635098112631</v>
      </c>
      <c r="G19">
        <v>1966.32104</v>
      </c>
      <c r="H19" s="10">
        <f t="shared" si="2"/>
        <v>4.2064330127380325</v>
      </c>
      <c r="I19" s="10">
        <f t="shared" si="3"/>
        <v>6.6832427911312884</v>
      </c>
      <c r="J19" s="6">
        <f t="shared" si="6"/>
        <v>98.968659238308518</v>
      </c>
      <c r="K19" s="10">
        <f t="shared" si="4"/>
        <v>104.38192274811978</v>
      </c>
      <c r="M19" t="s">
        <v>10</v>
      </c>
      <c r="N19">
        <v>108.4573373015447</v>
      </c>
    </row>
    <row r="20" spans="1:14" x14ac:dyDescent="0.3">
      <c r="A20" t="s">
        <v>27</v>
      </c>
      <c r="B20">
        <v>0.58220000000000005</v>
      </c>
      <c r="M20" t="s">
        <v>1</v>
      </c>
      <c r="N20">
        <v>15.05974829157099</v>
      </c>
    </row>
    <row r="21" spans="1:14" x14ac:dyDescent="0.3">
      <c r="A21" t="s">
        <v>28</v>
      </c>
      <c r="B21">
        <v>0.62939999999999996</v>
      </c>
      <c r="M21" t="s">
        <v>20</v>
      </c>
      <c r="N21">
        <v>113.6248589516467</v>
      </c>
    </row>
    <row r="26" spans="1:14" x14ac:dyDescent="0.3">
      <c r="M26" t="s">
        <v>8</v>
      </c>
      <c r="N26">
        <v>239.43652173883689</v>
      </c>
    </row>
    <row r="27" spans="1:14" x14ac:dyDescent="0.3">
      <c r="M27" t="s">
        <v>10</v>
      </c>
      <c r="N27">
        <v>106.6477440299757</v>
      </c>
    </row>
    <row r="28" spans="1:14" x14ac:dyDescent="0.3">
      <c r="M28" t="s">
        <v>1</v>
      </c>
      <c r="N28">
        <v>14.808478807569379</v>
      </c>
    </row>
    <row r="29" spans="1:14" x14ac:dyDescent="0.3">
      <c r="M29" t="s">
        <v>20</v>
      </c>
      <c r="N29">
        <v>111.72904641044261</v>
      </c>
    </row>
    <row r="41" spans="1:1" x14ac:dyDescent="0.3">
      <c r="A41" t="s">
        <v>6</v>
      </c>
    </row>
    <row r="42" spans="1:1" x14ac:dyDescent="0.3">
      <c r="A42" t="s">
        <v>29</v>
      </c>
    </row>
    <row r="43" spans="1:1" x14ac:dyDescent="0.3">
      <c r="A43" t="s">
        <v>8</v>
      </c>
    </row>
    <row r="44" spans="1:1" x14ac:dyDescent="0.3">
      <c r="A44" t="s">
        <v>10</v>
      </c>
    </row>
    <row r="45" spans="1:1" x14ac:dyDescent="0.3">
      <c r="A45" t="s">
        <v>1</v>
      </c>
    </row>
    <row r="46" spans="1:1" x14ac:dyDescent="0.3">
      <c r="A4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workbookViewId="0">
      <selection activeCell="I10" sqref="I10:I16"/>
    </sheetView>
  </sheetViews>
  <sheetFormatPr defaultRowHeight="14.4" x14ac:dyDescent="0.3"/>
  <cols>
    <col min="2" max="2" width="16.88671875" customWidth="1"/>
  </cols>
  <sheetData>
    <row r="1" spans="1:12" x14ac:dyDescent="0.3">
      <c r="A1" s="1" t="s">
        <v>30</v>
      </c>
      <c r="B1" s="9">
        <v>45658.709363425929</v>
      </c>
      <c r="C1" s="3">
        <f t="shared" ref="C1:C23" si="0">(B1-$B$1)*86400/60</f>
        <v>0</v>
      </c>
      <c r="E1" t="s">
        <v>31</v>
      </c>
      <c r="F1" s="3">
        <f>C1</f>
        <v>0</v>
      </c>
      <c r="G1" t="s">
        <v>32</v>
      </c>
      <c r="H1" s="3">
        <f>C1</f>
        <v>0</v>
      </c>
      <c r="J1" s="1" t="s">
        <v>30</v>
      </c>
      <c r="K1" s="2">
        <v>0.70936342592592594</v>
      </c>
      <c r="L1" s="2"/>
    </row>
    <row r="2" spans="1:12" x14ac:dyDescent="0.3">
      <c r="A2" s="1" t="s">
        <v>33</v>
      </c>
      <c r="B2" s="9">
        <v>45658.9221412037</v>
      </c>
      <c r="C2" s="3">
        <f t="shared" si="0"/>
        <v>306.39999999082647</v>
      </c>
      <c r="E2" t="s">
        <v>34</v>
      </c>
      <c r="F2" s="3">
        <f>C2</f>
        <v>306.39999999082647</v>
      </c>
      <c r="G2" t="s">
        <v>35</v>
      </c>
      <c r="H2" s="3">
        <f>C6</f>
        <v>58.483333321055397</v>
      </c>
      <c r="J2" s="1" t="s">
        <v>33</v>
      </c>
      <c r="K2" s="2">
        <v>0.92214120370370367</v>
      </c>
      <c r="L2" s="2"/>
    </row>
    <row r="3" spans="1:12" x14ac:dyDescent="0.3">
      <c r="A3" s="1" t="s">
        <v>36</v>
      </c>
      <c r="B3" s="9">
        <v>45659.377696759257</v>
      </c>
      <c r="C3" s="3">
        <f t="shared" si="0"/>
        <v>962.3999999917578</v>
      </c>
      <c r="E3" t="s">
        <v>37</v>
      </c>
      <c r="F3" s="3">
        <f>C3</f>
        <v>962.3999999917578</v>
      </c>
      <c r="G3" t="s">
        <v>38</v>
      </c>
      <c r="H3" s="3">
        <f>C7</f>
        <v>300.94999999506399</v>
      </c>
      <c r="J3" s="1" t="s">
        <v>36</v>
      </c>
      <c r="K3" s="2">
        <v>0.37769675925925927</v>
      </c>
      <c r="L3" s="2" t="s">
        <v>39</v>
      </c>
    </row>
    <row r="4" spans="1:12" x14ac:dyDescent="0.3">
      <c r="A4" s="1" t="s">
        <v>40</v>
      </c>
      <c r="B4" s="9">
        <v>45659.579351851848</v>
      </c>
      <c r="C4" s="3">
        <f t="shared" si="0"/>
        <v>1252.7833333227318</v>
      </c>
      <c r="E4" t="s">
        <v>41</v>
      </c>
      <c r="F4" s="3">
        <f>C4</f>
        <v>1252.7833333227318</v>
      </c>
      <c r="G4" t="s">
        <v>42</v>
      </c>
      <c r="H4" s="3">
        <f>C9</f>
        <v>308.48333332920447</v>
      </c>
      <c r="J4" s="1" t="s">
        <v>40</v>
      </c>
      <c r="K4" s="2">
        <v>0.5793518518518519</v>
      </c>
      <c r="L4" s="2"/>
    </row>
    <row r="5" spans="1:12" x14ac:dyDescent="0.3">
      <c r="A5" s="1" t="s">
        <v>43</v>
      </c>
      <c r="B5" s="2">
        <v>0.69143518518518521</v>
      </c>
      <c r="C5" s="3">
        <f t="shared" si="0"/>
        <v>-65747545.81666667</v>
      </c>
      <c r="G5" t="s">
        <v>44</v>
      </c>
      <c r="H5" s="3">
        <f>C10</f>
        <v>944.38333332538605</v>
      </c>
      <c r="J5" s="1" t="s">
        <v>43</v>
      </c>
      <c r="K5" s="2">
        <v>0.69143518518518521</v>
      </c>
      <c r="L5" s="2"/>
    </row>
    <row r="6" spans="1:12" x14ac:dyDescent="0.3">
      <c r="A6" s="1" t="s">
        <v>45</v>
      </c>
      <c r="B6" s="9">
        <v>45658.749976851846</v>
      </c>
      <c r="C6" s="3">
        <f t="shared" si="0"/>
        <v>58.483333321055397</v>
      </c>
      <c r="G6" t="s">
        <v>46</v>
      </c>
      <c r="H6" s="3">
        <f>C11</f>
        <v>959.08333333558403</v>
      </c>
      <c r="J6" s="1" t="s">
        <v>45</v>
      </c>
      <c r="K6" s="2">
        <v>0.74997685185185181</v>
      </c>
      <c r="L6" s="2"/>
    </row>
    <row r="7" spans="1:12" x14ac:dyDescent="0.3">
      <c r="A7" s="1" t="s">
        <v>38</v>
      </c>
      <c r="B7" s="9">
        <v>45658.918356481481</v>
      </c>
      <c r="C7" s="3">
        <f t="shared" si="0"/>
        <v>300.94999999506399</v>
      </c>
      <c r="G7" t="s">
        <v>47</v>
      </c>
      <c r="H7" s="3">
        <f>C13</f>
        <v>963.94999999785796</v>
      </c>
      <c r="J7" s="1" t="s">
        <v>38</v>
      </c>
      <c r="K7" s="2" t="s">
        <v>48</v>
      </c>
      <c r="L7" s="2"/>
    </row>
    <row r="8" spans="1:12" x14ac:dyDescent="0.3">
      <c r="A8" s="1" t="s">
        <v>49</v>
      </c>
      <c r="B8" s="2"/>
      <c r="C8" s="3">
        <f t="shared" si="0"/>
        <v>-65748541.483333342</v>
      </c>
      <c r="G8" t="s">
        <v>50</v>
      </c>
      <c r="H8" s="3">
        <f>C14</f>
        <v>1063.0666666477919</v>
      </c>
      <c r="K8" s="2"/>
      <c r="L8" s="2"/>
    </row>
    <row r="9" spans="1:12" x14ac:dyDescent="0.3">
      <c r="B9" s="9">
        <v>45658.923587962963</v>
      </c>
      <c r="C9" s="3">
        <f t="shared" si="0"/>
        <v>308.48333332920447</v>
      </c>
      <c r="G9" t="s">
        <v>51</v>
      </c>
      <c r="H9" s="3">
        <f>C15</f>
        <v>1248.5666666657198</v>
      </c>
      <c r="J9" s="1" t="s">
        <v>49</v>
      </c>
      <c r="K9" s="2">
        <v>0.92358796296296297</v>
      </c>
    </row>
    <row r="10" spans="1:12" x14ac:dyDescent="0.3">
      <c r="A10" s="1" t="s">
        <v>52</v>
      </c>
      <c r="B10" s="9">
        <v>45659.365185185183</v>
      </c>
      <c r="C10" s="3">
        <f t="shared" si="0"/>
        <v>944.38333332538605</v>
      </c>
      <c r="G10" t="s">
        <v>53</v>
      </c>
      <c r="H10" s="3">
        <f t="shared" ref="H10:H16" si="1">C17</f>
        <v>1263.3166666666511</v>
      </c>
      <c r="I10" s="3">
        <f t="shared" ref="I10:I16" si="2">H10-$F$4</f>
        <v>10.533333343919367</v>
      </c>
      <c r="J10" s="1" t="s">
        <v>52</v>
      </c>
      <c r="K10" s="2">
        <v>0.36518518518518522</v>
      </c>
      <c r="L10" s="2"/>
    </row>
    <row r="11" spans="1:12" x14ac:dyDescent="0.3">
      <c r="A11" s="1" t="s">
        <v>54</v>
      </c>
      <c r="B11" s="9">
        <v>45659.375393518523</v>
      </c>
      <c r="C11" s="3">
        <f t="shared" si="0"/>
        <v>959.08333333558403</v>
      </c>
      <c r="G11" t="s">
        <v>55</v>
      </c>
      <c r="H11" s="3">
        <f t="shared" si="1"/>
        <v>1336.1499999999069</v>
      </c>
      <c r="I11" s="3">
        <f t="shared" si="2"/>
        <v>83.36666667717509</v>
      </c>
      <c r="J11" s="1" t="s">
        <v>54</v>
      </c>
      <c r="K11" s="2">
        <v>0.37539351851851849</v>
      </c>
      <c r="L11" s="2"/>
    </row>
    <row r="12" spans="1:12" x14ac:dyDescent="0.3">
      <c r="B12" s="2"/>
      <c r="C12" s="3">
        <f t="shared" si="0"/>
        <v>-65748541.483333342</v>
      </c>
      <c r="G12" t="s">
        <v>56</v>
      </c>
      <c r="H12" s="3">
        <f t="shared" si="1"/>
        <v>1451.1833333282266</v>
      </c>
      <c r="I12" s="3">
        <f t="shared" si="2"/>
        <v>198.4000000054948</v>
      </c>
      <c r="K12" s="2"/>
      <c r="L12" s="2"/>
    </row>
    <row r="13" spans="1:12" x14ac:dyDescent="0.3">
      <c r="A13" s="1" t="s">
        <v>57</v>
      </c>
      <c r="B13" s="9">
        <v>45659.37877314815</v>
      </c>
      <c r="C13" s="3">
        <f t="shared" si="0"/>
        <v>963.94999999785796</v>
      </c>
      <c r="G13" t="s">
        <v>58</v>
      </c>
      <c r="H13" s="3">
        <f t="shared" si="1"/>
        <v>1474.1833333298564</v>
      </c>
      <c r="I13" s="3">
        <f t="shared" si="2"/>
        <v>221.40000000712462</v>
      </c>
      <c r="J13" s="1" t="s">
        <v>57</v>
      </c>
      <c r="K13" s="2">
        <v>0.37877314814814822</v>
      </c>
    </row>
    <row r="14" spans="1:12" x14ac:dyDescent="0.3">
      <c r="A14" s="1" t="s">
        <v>59</v>
      </c>
      <c r="B14" s="9">
        <v>45659.447604166657</v>
      </c>
      <c r="C14" s="3">
        <f t="shared" si="0"/>
        <v>1063.0666666477919</v>
      </c>
      <c r="G14" t="s">
        <v>60</v>
      </c>
      <c r="H14" s="3">
        <f t="shared" si="1"/>
        <v>1633.8333333295304</v>
      </c>
      <c r="I14" s="3">
        <f t="shared" si="2"/>
        <v>381.05000000679865</v>
      </c>
      <c r="J14" s="1" t="s">
        <v>59</v>
      </c>
      <c r="K14" s="2">
        <v>0.44760416666666669</v>
      </c>
      <c r="L14" s="2"/>
    </row>
    <row r="15" spans="1:12" x14ac:dyDescent="0.3">
      <c r="A15" s="1" t="s">
        <v>61</v>
      </c>
      <c r="B15" s="9">
        <v>45659.576423611114</v>
      </c>
      <c r="C15" s="3">
        <f t="shared" si="0"/>
        <v>1248.5666666657198</v>
      </c>
      <c r="G15" t="s">
        <v>62</v>
      </c>
      <c r="H15" s="3">
        <f t="shared" si="1"/>
        <v>1820.8333333313931</v>
      </c>
      <c r="I15" s="3">
        <f t="shared" si="2"/>
        <v>568.0500000086613</v>
      </c>
      <c r="J15" s="1" t="s">
        <v>61</v>
      </c>
      <c r="K15" s="2">
        <v>0.57642361111111107</v>
      </c>
      <c r="L15" s="2"/>
    </row>
    <row r="16" spans="1:12" x14ac:dyDescent="0.3">
      <c r="C16" s="3">
        <f t="shared" si="0"/>
        <v>-65748541.483333342</v>
      </c>
      <c r="G16" t="s">
        <v>63</v>
      </c>
      <c r="H16" s="3">
        <f t="shared" si="1"/>
        <v>1827.6333333284128</v>
      </c>
      <c r="I16" s="3">
        <f t="shared" si="2"/>
        <v>574.85000000568107</v>
      </c>
      <c r="L16" s="2"/>
    </row>
    <row r="17" spans="1:12" x14ac:dyDescent="0.3">
      <c r="A17" s="1" t="s">
        <v>64</v>
      </c>
      <c r="B17" s="9">
        <v>45659.58666666667</v>
      </c>
      <c r="C17" s="3">
        <f t="shared" si="0"/>
        <v>1263.3166666666511</v>
      </c>
      <c r="J17" s="1" t="s">
        <v>64</v>
      </c>
      <c r="K17" s="2" t="s">
        <v>65</v>
      </c>
    </row>
    <row r="18" spans="1:12" x14ac:dyDescent="0.3">
      <c r="A18" s="1" t="s">
        <v>66</v>
      </c>
      <c r="B18" s="9">
        <v>45659.637245370373</v>
      </c>
      <c r="C18" s="3">
        <f t="shared" si="0"/>
        <v>1336.1499999999069</v>
      </c>
      <c r="J18" s="1" t="s">
        <v>66</v>
      </c>
      <c r="K18" s="2">
        <v>0.63724537037037032</v>
      </c>
      <c r="L18" s="2"/>
    </row>
    <row r="19" spans="1:12" x14ac:dyDescent="0.3">
      <c r="A19" s="1" t="s">
        <v>67</v>
      </c>
      <c r="B19" s="9">
        <v>45659.717129629629</v>
      </c>
      <c r="C19" s="3">
        <f t="shared" si="0"/>
        <v>1451.1833333282266</v>
      </c>
      <c r="J19" s="1" t="s">
        <v>67</v>
      </c>
      <c r="K19" s="2">
        <v>0.71712962962962967</v>
      </c>
      <c r="L19" s="2"/>
    </row>
    <row r="20" spans="1:12" x14ac:dyDescent="0.3">
      <c r="A20" s="1"/>
      <c r="B20" s="9">
        <v>45659.733101851853</v>
      </c>
      <c r="C20" s="3">
        <f t="shared" si="0"/>
        <v>1474.1833333298564</v>
      </c>
      <c r="K20" s="4"/>
      <c r="L20" s="2"/>
    </row>
    <row r="21" spans="1:12" x14ac:dyDescent="0.3">
      <c r="B21" s="9">
        <v>45659.843969907408</v>
      </c>
      <c r="C21" s="3">
        <f t="shared" si="0"/>
        <v>1633.8333333295304</v>
      </c>
      <c r="J21" s="1" t="s">
        <v>68</v>
      </c>
      <c r="K21" s="2">
        <v>0.73310185185185184</v>
      </c>
    </row>
    <row r="22" spans="1:12" x14ac:dyDescent="0.3">
      <c r="B22" s="9">
        <v>45659.97383101852</v>
      </c>
      <c r="C22" s="3">
        <f t="shared" si="0"/>
        <v>1820.8333333313931</v>
      </c>
      <c r="J22" s="1" t="s">
        <v>69</v>
      </c>
      <c r="K22" s="2">
        <v>0.8439699074074074</v>
      </c>
    </row>
    <row r="23" spans="1:12" x14ac:dyDescent="0.3">
      <c r="B23" s="9">
        <v>45659.97855324074</v>
      </c>
      <c r="C23" s="3">
        <f t="shared" si="0"/>
        <v>1827.6333333284128</v>
      </c>
      <c r="J23" s="1" t="s">
        <v>70</v>
      </c>
      <c r="K23" s="2">
        <v>0.9738310185185185</v>
      </c>
    </row>
    <row r="24" spans="1:12" x14ac:dyDescent="0.3">
      <c r="J24" s="1" t="s">
        <v>71</v>
      </c>
      <c r="K24" s="2">
        <v>0.97855324074074079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tabSelected="1" zoomScale="93" zoomScaleNormal="160" workbookViewId="0">
      <selection activeCell="M6" sqref="M6"/>
    </sheetView>
  </sheetViews>
  <sheetFormatPr defaultRowHeight="14.4" x14ac:dyDescent="0.3"/>
  <sheetData>
    <row r="1" spans="1:8" x14ac:dyDescent="0.3">
      <c r="A1" t="s">
        <v>72</v>
      </c>
      <c r="B1" t="s">
        <v>73</v>
      </c>
      <c r="C1" t="s">
        <v>74</v>
      </c>
    </row>
    <row r="2" spans="1:8" x14ac:dyDescent="0.3">
      <c r="A2">
        <v>0</v>
      </c>
      <c r="B2" s="5">
        <v>106.5783215988165</v>
      </c>
      <c r="C2">
        <v>0</v>
      </c>
      <c r="E2" s="11"/>
      <c r="F2" s="11"/>
      <c r="G2" s="11"/>
      <c r="H2" s="11"/>
    </row>
    <row r="3" spans="1:8" x14ac:dyDescent="0.3">
      <c r="A3">
        <v>58.483333331532783</v>
      </c>
      <c r="B3" s="5">
        <v>105.4599330380528</v>
      </c>
      <c r="C3">
        <v>2.0602911736388632</v>
      </c>
      <c r="E3" s="11"/>
      <c r="F3" s="11"/>
      <c r="G3" s="11"/>
      <c r="H3" s="11"/>
    </row>
    <row r="4" spans="1:8" x14ac:dyDescent="0.3">
      <c r="A4">
        <v>300.94999999506399</v>
      </c>
      <c r="B4" s="5">
        <v>99.970299927936367</v>
      </c>
      <c r="C4">
        <v>8.3454619204977529</v>
      </c>
      <c r="E4" s="11"/>
      <c r="F4" s="11"/>
      <c r="G4" s="11"/>
      <c r="H4" s="11"/>
    </row>
    <row r="5" spans="1:8" x14ac:dyDescent="0.3">
      <c r="A5">
        <v>308.48333332920453</v>
      </c>
      <c r="B5" s="5">
        <v>97.888936473296667</v>
      </c>
      <c r="C5">
        <v>8.7351587663562587</v>
      </c>
      <c r="E5" s="11"/>
      <c r="F5" s="11"/>
      <c r="G5" s="11"/>
      <c r="H5" s="11"/>
    </row>
    <row r="6" spans="1:8" x14ac:dyDescent="0.3">
      <c r="A6">
        <v>944.38333332538605</v>
      </c>
      <c r="B6" s="6">
        <v>52.059578584679031</v>
      </c>
      <c r="C6">
        <v>55.00743176637323</v>
      </c>
      <c r="E6" s="11"/>
      <c r="F6" s="11"/>
      <c r="G6" s="11"/>
      <c r="H6" s="11"/>
    </row>
    <row r="7" spans="1:8" x14ac:dyDescent="0.3">
      <c r="A7">
        <v>959.08333332510665</v>
      </c>
      <c r="B7" s="6">
        <v>51.653899690283943</v>
      </c>
      <c r="C7">
        <v>55.513549478041497</v>
      </c>
      <c r="E7" s="11"/>
      <c r="F7" s="11"/>
      <c r="G7" s="11"/>
      <c r="H7" s="11"/>
    </row>
    <row r="8" spans="1:8" x14ac:dyDescent="0.3">
      <c r="A8">
        <v>963.94999999785796</v>
      </c>
      <c r="B8" s="6">
        <v>51.301889571892559</v>
      </c>
      <c r="C8">
        <v>55.372495306420852</v>
      </c>
      <c r="E8" s="11"/>
      <c r="F8" s="11"/>
      <c r="G8" s="11"/>
      <c r="H8" s="11"/>
    </row>
    <row r="9" spans="1:8" x14ac:dyDescent="0.3">
      <c r="A9">
        <v>1063.066666658269</v>
      </c>
      <c r="B9" s="7">
        <v>49.311151752968946</v>
      </c>
      <c r="C9">
        <v>56.884248462614863</v>
      </c>
      <c r="E9" s="11"/>
      <c r="F9" s="11"/>
      <c r="G9" s="11"/>
      <c r="H9" s="11"/>
    </row>
    <row r="10" spans="1:8" x14ac:dyDescent="0.3">
      <c r="A10">
        <v>1248.56666666572</v>
      </c>
      <c r="B10" s="7">
        <v>46.482741574406681</v>
      </c>
      <c r="C10">
        <v>60.021057227343277</v>
      </c>
      <c r="E10" s="11"/>
      <c r="F10" s="11"/>
      <c r="G10" s="11"/>
      <c r="H10" s="11"/>
    </row>
    <row r="11" spans="1:8" x14ac:dyDescent="0.3">
      <c r="A11">
        <v>1263.3166666666509</v>
      </c>
      <c r="B11" s="7">
        <v>43.133016474657452</v>
      </c>
      <c r="C11">
        <v>61.553133258691098</v>
      </c>
      <c r="E11" s="11"/>
      <c r="F11" s="11"/>
      <c r="G11" s="11"/>
      <c r="H11" s="11"/>
    </row>
    <row r="12" spans="1:8" x14ac:dyDescent="0.3">
      <c r="A12">
        <v>1336.1499999999071</v>
      </c>
      <c r="B12" s="7">
        <v>30.063937557771251</v>
      </c>
      <c r="C12">
        <v>74.553694426291543</v>
      </c>
      <c r="E12" s="11"/>
      <c r="F12" s="11"/>
      <c r="G12" s="11"/>
      <c r="H12" s="11"/>
    </row>
    <row r="13" spans="1:8" x14ac:dyDescent="0.3">
      <c r="A13">
        <v>1451.183333328227</v>
      </c>
      <c r="B13" s="7">
        <v>18.644931925861702</v>
      </c>
      <c r="C13">
        <v>85.494942926289866</v>
      </c>
      <c r="E13" s="11"/>
      <c r="F13" s="11"/>
      <c r="G13" s="11"/>
      <c r="H13" s="11"/>
    </row>
    <row r="14" spans="1:8" x14ac:dyDescent="0.3">
      <c r="A14">
        <v>1474.1833333298559</v>
      </c>
      <c r="B14" s="8">
        <v>17.20860113601702</v>
      </c>
      <c r="C14">
        <v>87.486661822969495</v>
      </c>
      <c r="E14" s="11"/>
      <c r="F14" s="11"/>
      <c r="G14" s="11"/>
      <c r="H14" s="11"/>
    </row>
    <row r="15" spans="1:8" x14ac:dyDescent="0.3">
      <c r="A15">
        <v>1633.83333332953</v>
      </c>
      <c r="B15">
        <v>9.8294105652974828</v>
      </c>
      <c r="C15">
        <v>94.167882541318548</v>
      </c>
      <c r="E15" s="11"/>
      <c r="F15" s="11"/>
      <c r="G15" s="11"/>
      <c r="H15" s="11"/>
    </row>
    <row r="16" spans="1:8" x14ac:dyDescent="0.3">
      <c r="A16">
        <v>1820.8333333313931</v>
      </c>
      <c r="B16">
        <v>5.4806814532682768</v>
      </c>
      <c r="C16">
        <v>98.568126499867589</v>
      </c>
      <c r="E16" s="11"/>
      <c r="F16" s="11"/>
      <c r="G16" s="11"/>
      <c r="H16" s="11"/>
    </row>
    <row r="17" spans="1:8" x14ac:dyDescent="0.3">
      <c r="A17">
        <v>1827.6333333284131</v>
      </c>
      <c r="B17">
        <v>5.4132635098112623</v>
      </c>
      <c r="C17">
        <v>98.968659238308504</v>
      </c>
      <c r="E17" s="11"/>
      <c r="F17" s="11"/>
      <c r="G17" s="11"/>
      <c r="H17" s="11"/>
    </row>
    <row r="18" spans="1:8" x14ac:dyDescent="0.3">
      <c r="E18" s="11"/>
      <c r="F18" s="11"/>
      <c r="G18" s="11"/>
      <c r="H18" s="1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C4_E6 HPLC 254 nm</vt:lpstr>
      <vt:lpstr>Sample and addition times</vt:lpstr>
      <vt:lpstr>Concentration vs time HPLC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Dalland, Daniel</cp:lastModifiedBy>
  <dcterms:created xsi:type="dcterms:W3CDTF">2025-03-06T08:01:39Z</dcterms:created>
  <dcterms:modified xsi:type="dcterms:W3CDTF">2026-01-12T11:21:47Z</dcterms:modified>
</cp:coreProperties>
</file>
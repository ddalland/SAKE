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270EE61CF9A78DB6580494EC0329BFDF4AD20B0E" xr6:coauthVersionLast="47" xr6:coauthVersionMax="47" xr10:uidLastSave="{C76B88C2-7A26-4661-91AD-0262B0943DC4}"/>
  <bookViews>
    <workbookView xWindow="31020" yWindow="2220" windowWidth="17280" windowHeight="8880" firstSheet="2" activeTab="2" xr2:uid="{00000000-000D-0000-FFFF-FFFF00000000}"/>
  </bookViews>
  <sheets>
    <sheet name="C2_E3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  <c r="C17" i="2"/>
  <c r="G13" i="2" s="1"/>
  <c r="C16" i="2"/>
  <c r="G12" i="2" s="1"/>
  <c r="C15" i="2"/>
  <c r="G11" i="2" s="1"/>
  <c r="C14" i="2"/>
  <c r="C13" i="2"/>
  <c r="C12" i="2"/>
  <c r="C11" i="2"/>
  <c r="G7" i="2" s="1"/>
  <c r="G10" i="2"/>
  <c r="C10" i="2"/>
  <c r="G9" i="2"/>
  <c r="C9" i="2"/>
  <c r="G5" i="2" s="1"/>
  <c r="G8" i="2"/>
  <c r="C8" i="2"/>
  <c r="G4" i="2" s="1"/>
  <c r="C7" i="2"/>
  <c r="G3" i="2" s="1"/>
  <c r="G6" i="2"/>
  <c r="C6" i="2"/>
  <c r="C5" i="2"/>
  <c r="J4" i="2"/>
  <c r="C4" i="2"/>
  <c r="C3" i="2"/>
  <c r="J3" i="2" s="1"/>
  <c r="G2" i="2"/>
  <c r="C2" i="2"/>
  <c r="J2" i="2" s="1"/>
  <c r="J1" i="2"/>
  <c r="C1" i="2"/>
  <c r="G1" i="2" s="1"/>
  <c r="I16" i="1"/>
  <c r="J16" i="1" s="1"/>
  <c r="K16" i="1" s="1"/>
  <c r="L16" i="1" s="1"/>
  <c r="F16" i="1"/>
  <c r="E16" i="1"/>
  <c r="I15" i="1"/>
  <c r="J15" i="1" s="1"/>
  <c r="K15" i="1" s="1"/>
  <c r="E15" i="1"/>
  <c r="F15" i="1" s="1"/>
  <c r="L15" i="1" s="1"/>
  <c r="I14" i="1"/>
  <c r="J14" i="1" s="1"/>
  <c r="K14" i="1" s="1"/>
  <c r="L14" i="1" s="1"/>
  <c r="F14" i="1"/>
  <c r="E14" i="1"/>
  <c r="K13" i="1"/>
  <c r="J13" i="1"/>
  <c r="I13" i="1"/>
  <c r="E13" i="1"/>
  <c r="F13" i="1" s="1"/>
  <c r="L13" i="1" s="1"/>
  <c r="I12" i="1"/>
  <c r="J12" i="1" s="1"/>
  <c r="K12" i="1" s="1"/>
  <c r="E12" i="1"/>
  <c r="F12" i="1" s="1"/>
  <c r="L12" i="1" s="1"/>
  <c r="J11" i="1"/>
  <c r="K11" i="1" s="1"/>
  <c r="I11" i="1"/>
  <c r="E11" i="1"/>
  <c r="F11" i="1" s="1"/>
  <c r="I10" i="1"/>
  <c r="J10" i="1" s="1"/>
  <c r="K10" i="1" s="1"/>
  <c r="E10" i="1"/>
  <c r="F10" i="1" s="1"/>
  <c r="L10" i="1" s="1"/>
  <c r="I9" i="1"/>
  <c r="J9" i="1" s="1"/>
  <c r="K9" i="1" s="1"/>
  <c r="E9" i="1"/>
  <c r="F9" i="1" s="1"/>
  <c r="L9" i="1" s="1"/>
  <c r="I8" i="1"/>
  <c r="J8" i="1" s="1"/>
  <c r="K8" i="1" s="1"/>
  <c r="L8" i="1" s="1"/>
  <c r="F8" i="1"/>
  <c r="E8" i="1"/>
  <c r="I7" i="1"/>
  <c r="J7" i="1" s="1"/>
  <c r="K7" i="1" s="1"/>
  <c r="E7" i="1"/>
  <c r="F7" i="1" s="1"/>
  <c r="L7" i="1" s="1"/>
  <c r="I6" i="1"/>
  <c r="J6" i="1" s="1"/>
  <c r="K6" i="1" s="1"/>
  <c r="F6" i="1"/>
  <c r="E6" i="1"/>
  <c r="K5" i="1"/>
  <c r="J5" i="1"/>
  <c r="I5" i="1"/>
  <c r="E5" i="1"/>
  <c r="F5" i="1" s="1"/>
  <c r="L5" i="1" s="1"/>
  <c r="K4" i="1"/>
  <c r="I4" i="1"/>
  <c r="E4" i="1"/>
  <c r="F4" i="1" s="1"/>
  <c r="L4" i="1" s="1"/>
  <c r="L11" i="1" l="1"/>
  <c r="L6" i="1"/>
</calcChain>
</file>

<file path=xl/sharedStrings.xml><?xml version="1.0" encoding="utf-8"?>
<sst xmlns="http://schemas.openxmlformats.org/spreadsheetml/2006/main" count="85" uniqueCount="62">
  <si>
    <t>filename</t>
  </si>
  <si>
    <t>Biphenyl</t>
  </si>
  <si>
    <t>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</si>
  <si>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</si>
  <si>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</si>
  <si>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</si>
  <si>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</si>
  <si>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</si>
  <si>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</si>
  <si>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C2_E3-S41</t>
  </si>
  <si>
    <t>nan</t>
  </si>
  <si>
    <t>C2_E3-S1</t>
  </si>
  <si>
    <t>C2_E3-S2</t>
  </si>
  <si>
    <t>C2_E3-S3</t>
  </si>
  <si>
    <t>C2_E3-S4</t>
  </si>
  <si>
    <t>C2_E3-S5</t>
  </si>
  <si>
    <t>MeCN</t>
  </si>
  <si>
    <t>C2_E3-S6</t>
  </si>
  <si>
    <t>C2_E3-S7</t>
  </si>
  <si>
    <t>C2_E3-S8</t>
  </si>
  <si>
    <t>C2_E3-S9</t>
  </si>
  <si>
    <t>Phenol</t>
  </si>
  <si>
    <t>C2_E3-S10</t>
  </si>
  <si>
    <t>C2_E3-S11</t>
  </si>
  <si>
    <t>C2_E3-S12</t>
  </si>
  <si>
    <t>CC 4CF3-ArOPh 254 nm</t>
  </si>
  <si>
    <t>CC Product 254 nm</t>
  </si>
  <si>
    <t>V1</t>
  </si>
  <si>
    <t>S0</t>
  </si>
  <si>
    <t>V2:</t>
  </si>
  <si>
    <t>S1</t>
  </si>
  <si>
    <t>V2</t>
  </si>
  <si>
    <t>Phenol:</t>
  </si>
  <si>
    <t>S2</t>
  </si>
  <si>
    <t>V3</t>
  </si>
  <si>
    <t>V3:</t>
  </si>
  <si>
    <t>S3</t>
  </si>
  <si>
    <t>V4</t>
  </si>
  <si>
    <t>Start:</t>
  </si>
  <si>
    <t>S4</t>
  </si>
  <si>
    <t>S1:</t>
  </si>
  <si>
    <t>S5</t>
  </si>
  <si>
    <t>S2:</t>
  </si>
  <si>
    <t>S6</t>
  </si>
  <si>
    <t>S3:</t>
  </si>
  <si>
    <t>S7</t>
  </si>
  <si>
    <t>S4:</t>
  </si>
  <si>
    <t>S8</t>
  </si>
  <si>
    <t>S5:</t>
  </si>
  <si>
    <t>S9</t>
  </si>
  <si>
    <t>S6:</t>
  </si>
  <si>
    <t>S10</t>
  </si>
  <si>
    <t>S7:</t>
  </si>
  <si>
    <t>S11</t>
  </si>
  <si>
    <t>S8:</t>
  </si>
  <si>
    <t>S12</t>
  </si>
  <si>
    <t>S9: </t>
  </si>
  <si>
    <t>S10:</t>
  </si>
  <si>
    <t>S11:</t>
  </si>
  <si>
    <t>S12:</t>
  </si>
  <si>
    <t>Time / min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</si>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</sst>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1" fontId="0" fillId="0" borderId="0" xfId="0" applyNumberFormat="1"/>
    <xf numFmtId="2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21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60.099999999999959</c:v>
                </c:pt>
                <c:pt idx="2">
                  <c:v>89.283333333333445</c:v>
                </c:pt>
                <c:pt idx="3">
                  <c:v>157.91666666666671</c:v>
                </c:pt>
                <c:pt idx="4">
                  <c:v>201.6</c:v>
                </c:pt>
                <c:pt idx="5">
                  <c:v>220.11666666666659</c:v>
                </c:pt>
                <c:pt idx="6">
                  <c:v>240.15</c:v>
                </c:pt>
                <c:pt idx="7">
                  <c:v>245.35</c:v>
                </c:pt>
                <c:pt idx="8">
                  <c:v>255.9166666666666</c:v>
                </c:pt>
                <c:pt idx="9">
                  <c:v>295.25000000000011</c:v>
                </c:pt>
                <c:pt idx="10">
                  <c:v>319.88333333333333</c:v>
                </c:pt>
                <c:pt idx="11">
                  <c:v>337.48333333333341</c:v>
                </c:pt>
                <c:pt idx="12">
                  <c:v>521.75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130.06466720072439</c:v>
                </c:pt>
                <c:pt idx="1">
                  <c:v>116.6495315890207</c:v>
                </c:pt>
                <c:pt idx="2">
                  <c:v>111.0081348747795</c:v>
                </c:pt>
                <c:pt idx="3">
                  <c:v>106.53074344510959</c:v>
                </c:pt>
                <c:pt idx="4">
                  <c:v>97.605587378475988</c:v>
                </c:pt>
                <c:pt idx="5">
                  <c:v>90.973753678240342</c:v>
                </c:pt>
                <c:pt idx="6">
                  <c:v>82.450500798636767</c:v>
                </c:pt>
                <c:pt idx="7">
                  <c:v>80.496900294275605</c:v>
                </c:pt>
                <c:pt idx="8">
                  <c:v>76.596939654359119</c:v>
                </c:pt>
                <c:pt idx="9">
                  <c:v>69.963662746204591</c:v>
                </c:pt>
                <c:pt idx="10">
                  <c:v>62.426097487883958</c:v>
                </c:pt>
                <c:pt idx="11">
                  <c:v>49.792378748731828</c:v>
                </c:pt>
                <c:pt idx="12">
                  <c:v>11.98383111289886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7-4794-A015-DB21F893BCC8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60.099999999999959</c:v>
                </c:pt>
                <c:pt idx="2">
                  <c:v>89.283333333333445</c:v>
                </c:pt>
                <c:pt idx="3">
                  <c:v>157.91666666666671</c:v>
                </c:pt>
                <c:pt idx="4">
                  <c:v>201.6</c:v>
                </c:pt>
                <c:pt idx="5">
                  <c:v>220.11666666666659</c:v>
                </c:pt>
                <c:pt idx="6">
                  <c:v>240.15</c:v>
                </c:pt>
                <c:pt idx="7">
                  <c:v>245.35</c:v>
                </c:pt>
                <c:pt idx="8">
                  <c:v>255.9166666666666</c:v>
                </c:pt>
                <c:pt idx="9">
                  <c:v>295.25000000000011</c:v>
                </c:pt>
                <c:pt idx="10">
                  <c:v>319.88333333333333</c:v>
                </c:pt>
                <c:pt idx="11">
                  <c:v>337.48333333333341</c:v>
                </c:pt>
                <c:pt idx="12">
                  <c:v>521.75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14.88064787387234</c:v>
                </c:pt>
                <c:pt idx="2">
                  <c:v>19.188678253179631</c:v>
                </c:pt>
                <c:pt idx="3">
                  <c:v>25.417508725046261</c:v>
                </c:pt>
                <c:pt idx="4">
                  <c:v>31.831500770715209</c:v>
                </c:pt>
                <c:pt idx="5">
                  <c:v>40.937290365835551</c:v>
                </c:pt>
                <c:pt idx="6">
                  <c:v>49.159155034555049</c:v>
                </c:pt>
                <c:pt idx="7">
                  <c:v>49.819520578719377</c:v>
                </c:pt>
                <c:pt idx="8">
                  <c:v>53.197369007452153</c:v>
                </c:pt>
                <c:pt idx="9">
                  <c:v>59.94827531927853</c:v>
                </c:pt>
                <c:pt idx="10">
                  <c:v>67.5303785393628</c:v>
                </c:pt>
                <c:pt idx="11">
                  <c:v>72.731074567038874</c:v>
                </c:pt>
                <c:pt idx="12">
                  <c:v>116.89102061742059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7-4794-A015-DB21F893BCC8}"/>
            </c:ext>
          </c:extLst>
        </c:ser>
        <c:ser>
          <c:idx val="2"/>
          <c:order val="2"/>
          <c:tx>
            <c:strRef>
              <c:f>'Concentration vs time HPLC'!$D$1</c:f>
              <c:strCache>
                <c:ptCount val="1"/>
                <c:pt idx="0">
                  <c:v>MB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60.099999999999959</c:v>
                </c:pt>
                <c:pt idx="2">
                  <c:v>89.283333333333445</c:v>
                </c:pt>
                <c:pt idx="3">
                  <c:v>157.91666666666671</c:v>
                </c:pt>
                <c:pt idx="4">
                  <c:v>201.6</c:v>
                </c:pt>
                <c:pt idx="5">
                  <c:v>220.11666666666659</c:v>
                </c:pt>
                <c:pt idx="6">
                  <c:v>240.15</c:v>
                </c:pt>
                <c:pt idx="7">
                  <c:v>245.35</c:v>
                </c:pt>
                <c:pt idx="8">
                  <c:v>255.9166666666666</c:v>
                </c:pt>
                <c:pt idx="9">
                  <c:v>295.25000000000011</c:v>
                </c:pt>
                <c:pt idx="10">
                  <c:v>319.88333333333333</c:v>
                </c:pt>
                <c:pt idx="11">
                  <c:v>337.48333333333341</c:v>
                </c:pt>
                <c:pt idx="12">
                  <c:v>521.75</c:v>
                </c:pt>
              </c:numCache>
            </c:numRef>
          </c:xVal>
          <c:yVal>
            <c:numRef>
              <c:f>'Concentration vs time HPLC'!$D$2:$D$14</c:f>
              <c:numCache>
                <c:formatCode>General</c:formatCode>
                <c:ptCount val="13"/>
                <c:pt idx="0">
                  <c:v>130.06466720072439</c:v>
                </c:pt>
                <c:pt idx="1">
                  <c:v>131.53017946289305</c:v>
                </c:pt>
                <c:pt idx="2">
                  <c:v>130.19681312795913</c:v>
                </c:pt>
                <c:pt idx="3">
                  <c:v>131.94825217015585</c:v>
                </c:pt>
                <c:pt idx="4">
                  <c:v>129.4370881491912</c:v>
                </c:pt>
                <c:pt idx="5">
                  <c:v>131.91104404407588</c:v>
                </c:pt>
                <c:pt idx="6">
                  <c:v>131.60965583319182</c:v>
                </c:pt>
                <c:pt idx="7">
                  <c:v>130.31642087299497</c:v>
                </c:pt>
                <c:pt idx="8">
                  <c:v>129.79430866181127</c:v>
                </c:pt>
                <c:pt idx="9">
                  <c:v>129.91193806548313</c:v>
                </c:pt>
                <c:pt idx="10">
                  <c:v>129.95647602724677</c:v>
                </c:pt>
                <c:pt idx="11">
                  <c:v>122.52345331577069</c:v>
                </c:pt>
                <c:pt idx="12">
                  <c:v>128.87485173031945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07-4794-A015-DB21F893B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699456"/>
        <c:axId val="1769694176"/>
      </c:scatterChart>
      <c:valAx>
        <c:axId val="17696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694176"/>
        <c:crosses val="autoZero"/>
        <c:crossBetween val="midCat"/>
      </c:valAx>
      <c:valAx>
        <c:axId val="17696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69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224818</xdr:colOff>
      <xdr:row>0</xdr:row>
      <xdr:rowOff>91052</xdr:rowOff>
    </xdr:from>
    <xdr:to>
      <xdr:col>11</xdr:col>
      <xdr:colOff>531579</xdr:colOff>
      <xdr:row>15</xdr:row>
      <xdr:rowOff>106628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5CAE5-6055-7895-1A5B-7CFD832DD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M30" sqref="M30:M32"/>
    </sheetView>
  </sheetViews>
  <sheetFormatPr defaultRowHeight="14.4" x14ac:dyDescent="0.3"/>
  <cols>
    <col min="1" max="1" width="20.55468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2.9915045670100602</v>
      </c>
      <c r="C3">
        <v>3.6182697159903401</v>
      </c>
      <c r="G3">
        <v>4.61625541278294</v>
      </c>
      <c r="M3" t="s">
        <v>8</v>
      </c>
      <c r="N3">
        <v>37.071086927825348</v>
      </c>
    </row>
    <row r="4" spans="1:14" x14ac:dyDescent="0.3">
      <c r="A4" t="s">
        <v>9</v>
      </c>
      <c r="B4">
        <v>424.759857177735</v>
      </c>
      <c r="C4">
        <v>1488.38647460938</v>
      </c>
      <c r="D4">
        <v>3.5040657667105801</v>
      </c>
      <c r="E4">
        <f t="shared" ref="E4:E16" si="0">D4/$B$19</f>
        <v>9.8594984994670227</v>
      </c>
      <c r="F4">
        <f>E4*$N$5</f>
        <v>130.06466720072444</v>
      </c>
      <c r="G4" t="s">
        <v>10</v>
      </c>
      <c r="H4">
        <v>0</v>
      </c>
      <c r="I4">
        <f t="shared" ref="I4:I16" si="1">H4/$B$20</f>
        <v>0</v>
      </c>
      <c r="J4">
        <v>0</v>
      </c>
      <c r="K4" s="1">
        <f>J4*$N$5</f>
        <v>0</v>
      </c>
      <c r="L4">
        <f t="shared" ref="L4:L16" si="2">SUM(F4,K4)</f>
        <v>130.06466720072444</v>
      </c>
      <c r="M4" t="s">
        <v>2</v>
      </c>
      <c r="N4">
        <v>131.77777363611241</v>
      </c>
    </row>
    <row r="5" spans="1:14" x14ac:dyDescent="0.3">
      <c r="A5" t="s">
        <v>11</v>
      </c>
      <c r="B5">
        <v>553.992431640625</v>
      </c>
      <c r="C5">
        <v>1741.00390625</v>
      </c>
      <c r="D5">
        <v>3.1426492616407899</v>
      </c>
      <c r="E5">
        <f t="shared" si="0"/>
        <v>8.8425696725964826</v>
      </c>
      <c r="F5">
        <f>E5*$N$5</f>
        <v>116.64953158902067</v>
      </c>
      <c r="G5">
        <v>419.50564575195301</v>
      </c>
      <c r="H5">
        <v>0.75724075238646205</v>
      </c>
      <c r="I5">
        <f t="shared" si="1"/>
        <v>1.1280213799887711</v>
      </c>
      <c r="J5">
        <f t="shared" ref="J5:J16" si="3">I5</f>
        <v>1.1280213799887711</v>
      </c>
      <c r="K5" s="1">
        <f>J5*$N$5</f>
        <v>14.880647873872334</v>
      </c>
      <c r="L5">
        <f t="shared" si="2"/>
        <v>131.53017946289299</v>
      </c>
      <c r="M5" t="s">
        <v>1</v>
      </c>
      <c r="N5">
        <v>13.19181368177655</v>
      </c>
    </row>
    <row r="6" spans="1:14" x14ac:dyDescent="0.3">
      <c r="A6" t="s">
        <v>12</v>
      </c>
      <c r="B6">
        <v>953.34967041015705</v>
      </c>
      <c r="C6">
        <v>2876.6943359375</v>
      </c>
      <c r="D6">
        <v>3.0174598316060299</v>
      </c>
      <c r="E6">
        <f t="shared" si="0"/>
        <v>8.4903202915194989</v>
      </c>
      <c r="F6">
        <f>E6*$N$12</f>
        <v>111.00813487477957</v>
      </c>
      <c r="G6">
        <v>930.91369628906295</v>
      </c>
      <c r="H6">
        <v>0.97646616470592396</v>
      </c>
      <c r="I6">
        <f t="shared" si="1"/>
        <v>1.4545898476179413</v>
      </c>
      <c r="J6">
        <f t="shared" si="3"/>
        <v>1.4545898476179413</v>
      </c>
      <c r="K6" s="1">
        <f>J6*$N$5</f>
        <v>19.188678253179624</v>
      </c>
      <c r="L6">
        <f t="shared" si="2"/>
        <v>130.19681312795919</v>
      </c>
    </row>
    <row r="7" spans="1:14" x14ac:dyDescent="0.3">
      <c r="A7" t="s">
        <v>13</v>
      </c>
      <c r="B7">
        <v>740.35748291015705</v>
      </c>
      <c r="C7">
        <v>2143.89306640625</v>
      </c>
      <c r="D7">
        <v>2.8957538971297301</v>
      </c>
      <c r="E7">
        <f t="shared" si="0"/>
        <v>8.1478725299092005</v>
      </c>
      <c r="F7">
        <f>E7*$N$12</f>
        <v>106.53074344510961</v>
      </c>
      <c r="G7">
        <v>957.60540771484398</v>
      </c>
      <c r="H7">
        <v>1.29343652197684</v>
      </c>
      <c r="I7">
        <f t="shared" si="1"/>
        <v>1.9267637747308803</v>
      </c>
      <c r="J7">
        <f t="shared" si="3"/>
        <v>1.9267637747308803</v>
      </c>
      <c r="K7" s="1">
        <f>J7*$N$5</f>
        <v>25.417508725046257</v>
      </c>
      <c r="L7">
        <f t="shared" si="2"/>
        <v>131.94825217015585</v>
      </c>
    </row>
    <row r="8" spans="1:14" x14ac:dyDescent="0.3">
      <c r="A8" t="s">
        <v>14</v>
      </c>
      <c r="B8">
        <v>617.82574462890602</v>
      </c>
      <c r="C8">
        <v>1639.18273925781</v>
      </c>
      <c r="D8">
        <v>2.6531473534538002</v>
      </c>
      <c r="E8">
        <f t="shared" si="0"/>
        <v>7.465242975390546</v>
      </c>
      <c r="F8">
        <f>E8*$N$12</f>
        <v>97.605587378476017</v>
      </c>
      <c r="G8">
        <v>1009.73876953125</v>
      </c>
      <c r="H8">
        <v>1.63434233407956</v>
      </c>
      <c r="I8">
        <f t="shared" si="1"/>
        <v>2.4345930792187693</v>
      </c>
      <c r="J8">
        <f t="shared" si="3"/>
        <v>2.4345930792187693</v>
      </c>
      <c r="K8" s="2">
        <f>J8*$N$12</f>
        <v>31.831500770715223</v>
      </c>
      <c r="L8">
        <f t="shared" si="2"/>
        <v>129.43708814919125</v>
      </c>
      <c r="M8" t="s">
        <v>6</v>
      </c>
    </row>
    <row r="9" spans="1:14" x14ac:dyDescent="0.3">
      <c r="A9" t="s">
        <v>15</v>
      </c>
      <c r="B9">
        <v>373.12506103515602</v>
      </c>
      <c r="C9">
        <v>933.33770751953102</v>
      </c>
      <c r="D9">
        <v>2.5014071821661701</v>
      </c>
      <c r="E9">
        <f t="shared" si="0"/>
        <v>7.0382869503831458</v>
      </c>
      <c r="F9">
        <f>E9*$N$20</f>
        <v>90.973753678240357</v>
      </c>
      <c r="G9">
        <v>784.25885009765705</v>
      </c>
      <c r="H9">
        <v>2.1018659210986699</v>
      </c>
      <c r="I9">
        <f t="shared" si="1"/>
        <v>3.1310381663915834</v>
      </c>
      <c r="J9">
        <f t="shared" si="3"/>
        <v>3.1310381663915834</v>
      </c>
      <c r="K9" s="2">
        <f>J9*$N$12</f>
        <v>40.937290365835565</v>
      </c>
      <c r="L9">
        <f t="shared" si="2"/>
        <v>131.91104404407594</v>
      </c>
      <c r="M9" t="s">
        <v>16</v>
      </c>
    </row>
    <row r="10" spans="1:14" x14ac:dyDescent="0.3">
      <c r="A10" t="s">
        <v>17</v>
      </c>
      <c r="B10">
        <v>580.15106201171898</v>
      </c>
      <c r="C10">
        <v>1315.23291015625</v>
      </c>
      <c r="D10">
        <v>2.2670524907695202</v>
      </c>
      <c r="E10">
        <f t="shared" si="0"/>
        <v>6.3788758884904899</v>
      </c>
      <c r="F10">
        <f>E10*$N$20</f>
        <v>82.450500798636796</v>
      </c>
      <c r="G10">
        <v>1464.30456542969</v>
      </c>
      <c r="H10">
        <v>2.5240056621668501</v>
      </c>
      <c r="I10">
        <f t="shared" si="1"/>
        <v>3.7598773456976762</v>
      </c>
      <c r="J10">
        <f t="shared" si="3"/>
        <v>3.7598773456976762</v>
      </c>
      <c r="K10" s="2">
        <f>J10*$N$12</f>
        <v>49.15915503455507</v>
      </c>
      <c r="L10">
        <f t="shared" si="2"/>
        <v>131.60965583319188</v>
      </c>
      <c r="M10" t="s">
        <v>8</v>
      </c>
      <c r="N10">
        <v>111.77942944841929</v>
      </c>
    </row>
    <row r="11" spans="1:14" x14ac:dyDescent="0.3">
      <c r="A11" t="s">
        <v>18</v>
      </c>
      <c r="B11">
        <v>974.52630615234398</v>
      </c>
      <c r="C11">
        <v>2156.95458984375</v>
      </c>
      <c r="D11">
        <v>2.2133364448209698</v>
      </c>
      <c r="E11">
        <f t="shared" si="0"/>
        <v>6.227733384414659</v>
      </c>
      <c r="F11">
        <f>E11*$N$20</f>
        <v>80.496900294275633</v>
      </c>
      <c r="G11">
        <v>2521.50952148438</v>
      </c>
      <c r="H11">
        <v>2.5874206838395999</v>
      </c>
      <c r="I11">
        <f t="shared" si="1"/>
        <v>3.8543433395495303</v>
      </c>
      <c r="J11">
        <f t="shared" si="3"/>
        <v>3.8543433395495303</v>
      </c>
      <c r="K11" s="3">
        <f>J11*$N$20</f>
        <v>49.819520578719398</v>
      </c>
      <c r="L11">
        <f t="shared" si="2"/>
        <v>130.31642087299502</v>
      </c>
      <c r="M11" t="s">
        <v>2</v>
      </c>
      <c r="N11">
        <v>130.60758191654909</v>
      </c>
    </row>
    <row r="12" spans="1:14" x14ac:dyDescent="0.3">
      <c r="A12" t="s">
        <v>19</v>
      </c>
      <c r="B12">
        <v>775.85095214843795</v>
      </c>
      <c r="C12">
        <v>1661.86901855469</v>
      </c>
      <c r="D12">
        <v>2.14199520404369</v>
      </c>
      <c r="E12">
        <f t="shared" si="0"/>
        <v>6.0269983231392521</v>
      </c>
      <c r="F12">
        <f>E12*$N$28</f>
        <v>76.596939654359119</v>
      </c>
      <c r="G12">
        <v>2143.5615234375</v>
      </c>
      <c r="H12">
        <v>2.7628522172998302</v>
      </c>
      <c r="I12">
        <f t="shared" si="1"/>
        <v>4.1156743889465668</v>
      </c>
      <c r="J12">
        <f t="shared" si="3"/>
        <v>4.1156743889465668</v>
      </c>
      <c r="K12" s="3">
        <f>J12*$N$20</f>
        <v>53.197369007452167</v>
      </c>
      <c r="L12">
        <f t="shared" si="2"/>
        <v>129.79430866181127</v>
      </c>
      <c r="M12" t="s">
        <v>1</v>
      </c>
      <c r="N12">
        <v>13.074669866772791</v>
      </c>
    </row>
    <row r="13" spans="1:14" x14ac:dyDescent="0.3">
      <c r="A13" t="s">
        <v>20</v>
      </c>
      <c r="B13">
        <v>456.83193969726602</v>
      </c>
      <c r="C13">
        <v>893.79119873046898</v>
      </c>
      <c r="D13">
        <v>1.95649892457775</v>
      </c>
      <c r="E13">
        <f t="shared" si="0"/>
        <v>5.5050616898642373</v>
      </c>
      <c r="F13">
        <f>E13*$N$28</f>
        <v>69.963662746204591</v>
      </c>
      <c r="G13">
        <v>1422.33093261719</v>
      </c>
      <c r="H13">
        <v>3.1134664830128602</v>
      </c>
      <c r="I13">
        <f t="shared" si="1"/>
        <v>4.6379658617799198</v>
      </c>
      <c r="J13">
        <f t="shared" si="3"/>
        <v>4.6379658617799198</v>
      </c>
      <c r="K13" s="3">
        <f>J13*$N$20</f>
        <v>59.948275319278544</v>
      </c>
      <c r="L13">
        <f t="shared" si="2"/>
        <v>129.91193806548313</v>
      </c>
      <c r="M13" t="s">
        <v>21</v>
      </c>
      <c r="N13">
        <v>0</v>
      </c>
    </row>
    <row r="14" spans="1:14" x14ac:dyDescent="0.3">
      <c r="A14" t="s">
        <v>22</v>
      </c>
      <c r="B14">
        <v>510.77252197265602</v>
      </c>
      <c r="C14">
        <v>891.6630859375</v>
      </c>
      <c r="D14">
        <v>1.7457146725391599</v>
      </c>
      <c r="E14">
        <f t="shared" si="0"/>
        <v>4.9119715040494087</v>
      </c>
      <c r="F14">
        <f>E14*$N$28</f>
        <v>62.426097487883965</v>
      </c>
      <c r="G14">
        <v>1821.935546875</v>
      </c>
      <c r="H14">
        <v>3.5670195018293001</v>
      </c>
      <c r="I14">
        <f t="shared" si="1"/>
        <v>5.3135997345885597</v>
      </c>
      <c r="J14">
        <f t="shared" si="3"/>
        <v>5.3135997345885597</v>
      </c>
      <c r="K14" s="4">
        <f>J14*$N$28</f>
        <v>67.5303785393628</v>
      </c>
      <c r="L14">
        <f t="shared" si="2"/>
        <v>129.95647602724677</v>
      </c>
    </row>
    <row r="15" spans="1:14" x14ac:dyDescent="0.3">
      <c r="A15" t="s">
        <v>23</v>
      </c>
      <c r="B15">
        <v>723.8359375</v>
      </c>
      <c r="C15">
        <v>1007.88293457031</v>
      </c>
      <c r="D15">
        <v>1.3924190308253499</v>
      </c>
      <c r="E15">
        <f t="shared" si="0"/>
        <v>3.9178926022097635</v>
      </c>
      <c r="F15">
        <f>E15*$N$28</f>
        <v>49.792378748731828</v>
      </c>
      <c r="G15">
        <v>2780.77880859375</v>
      </c>
      <c r="H15">
        <v>3.8417252647030198</v>
      </c>
      <c r="I15">
        <f t="shared" si="1"/>
        <v>5.7228143374095337</v>
      </c>
      <c r="J15">
        <f t="shared" si="3"/>
        <v>5.7228143374095337</v>
      </c>
      <c r="K15" s="4">
        <f>J15*$N$28</f>
        <v>72.731074567038874</v>
      </c>
      <c r="L15">
        <f t="shared" si="2"/>
        <v>122.52345331577069</v>
      </c>
    </row>
    <row r="16" spans="1:14" x14ac:dyDescent="0.3">
      <c r="A16" t="s">
        <v>24</v>
      </c>
      <c r="B16">
        <v>933.86950683593795</v>
      </c>
      <c r="C16">
        <v>301.50518798828102</v>
      </c>
      <c r="D16">
        <v>0.322855801352607</v>
      </c>
      <c r="E16">
        <f t="shared" si="0"/>
        <v>0.90842937915758859</v>
      </c>
      <c r="F16">
        <f>E16*$N$5</f>
        <v>11.983831112898853</v>
      </c>
      <c r="G16">
        <v>5765.98681640625</v>
      </c>
      <c r="H16">
        <v>6.1742960597804499</v>
      </c>
      <c r="I16">
        <f t="shared" si="1"/>
        <v>9.197521316520854</v>
      </c>
      <c r="J16">
        <f t="shared" si="3"/>
        <v>9.197521316520854</v>
      </c>
      <c r="K16" s="4">
        <f>J16*$N$28</f>
        <v>116.89102061742057</v>
      </c>
      <c r="L16">
        <f t="shared" si="2"/>
        <v>128.87485173031942</v>
      </c>
      <c r="M16" t="s">
        <v>6</v>
      </c>
    </row>
    <row r="17" spans="1:14" x14ac:dyDescent="0.3">
      <c r="M17" t="s">
        <v>16</v>
      </c>
    </row>
    <row r="18" spans="1:14" x14ac:dyDescent="0.3">
      <c r="M18" t="s">
        <v>8</v>
      </c>
      <c r="N18">
        <v>110.5045861043464</v>
      </c>
    </row>
    <row r="19" spans="1:14" x14ac:dyDescent="0.3">
      <c r="A19" t="s">
        <v>25</v>
      </c>
      <c r="B19">
        <v>0.35539999999999999</v>
      </c>
      <c r="M19" t="s">
        <v>2</v>
      </c>
      <c r="N19">
        <v>129.11800367023491</v>
      </c>
    </row>
    <row r="20" spans="1:14" x14ac:dyDescent="0.3">
      <c r="A20" t="s">
        <v>26</v>
      </c>
      <c r="B20">
        <v>0.67130000000000001</v>
      </c>
      <c r="M20" t="s">
        <v>1</v>
      </c>
      <c r="N20">
        <v>12.925553379617179</v>
      </c>
    </row>
    <row r="21" spans="1:14" x14ac:dyDescent="0.3">
      <c r="M21" t="s">
        <v>21</v>
      </c>
      <c r="N21">
        <v>129.67102285170611</v>
      </c>
    </row>
    <row r="24" spans="1:14" x14ac:dyDescent="0.3">
      <c r="M24" t="s">
        <v>6</v>
      </c>
    </row>
    <row r="25" spans="1:14" x14ac:dyDescent="0.3">
      <c r="M25" t="s">
        <v>16</v>
      </c>
    </row>
    <row r="26" spans="1:14" x14ac:dyDescent="0.3">
      <c r="M26" t="s">
        <v>8</v>
      </c>
      <c r="N26">
        <v>250.24539454602879</v>
      </c>
    </row>
    <row r="27" spans="1:14" x14ac:dyDescent="0.3">
      <c r="M27" t="s">
        <v>2</v>
      </c>
      <c r="N27">
        <v>126.9544723292459</v>
      </c>
    </row>
    <row r="28" spans="1:14" x14ac:dyDescent="0.3">
      <c r="M28" t="s">
        <v>1</v>
      </c>
      <c r="N28">
        <v>12.70896979683619</v>
      </c>
    </row>
    <row r="29" spans="1:14" x14ac:dyDescent="0.3">
      <c r="M29" t="s">
        <v>21</v>
      </c>
      <c r="N29">
        <v>127.49822499251459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G1" sqref="G1:G13"/>
    </sheetView>
  </sheetViews>
  <sheetFormatPr defaultRowHeight="14.4" x14ac:dyDescent="0.3"/>
  <cols>
    <col min="1" max="1" width="15" customWidth="1"/>
    <col min="2" max="2" width="10.109375" bestFit="1" customWidth="1"/>
    <col min="3" max="3" width="17.44140625" customWidth="1"/>
  </cols>
  <sheetData>
    <row r="1" spans="1:10" ht="15.6" customHeight="1" x14ac:dyDescent="0.3">
      <c r="A1" s="6" t="s">
        <v>27</v>
      </c>
      <c r="B1" s="8">
        <v>0.56020833333333331</v>
      </c>
      <c r="C1" s="9">
        <f t="shared" ref="C1:C17" si="0">(B1-$B$1)*86400/60</f>
        <v>0</v>
      </c>
      <c r="F1" t="s">
        <v>28</v>
      </c>
      <c r="G1" s="9">
        <f>C1</f>
        <v>0</v>
      </c>
      <c r="I1" t="s">
        <v>27</v>
      </c>
      <c r="J1" s="9">
        <f>C1</f>
        <v>0</v>
      </c>
    </row>
    <row r="2" spans="1:10" ht="15" customHeight="1" x14ac:dyDescent="0.3">
      <c r="A2" s="7" t="s">
        <v>29</v>
      </c>
      <c r="B2" s="5">
        <v>0.69440972222222219</v>
      </c>
      <c r="C2" s="9">
        <f t="shared" si="0"/>
        <v>193.25</v>
      </c>
      <c r="F2" t="s">
        <v>30</v>
      </c>
      <c r="G2" s="9">
        <f t="shared" ref="G2:G13" si="1">C6</f>
        <v>60.099999999999959</v>
      </c>
      <c r="I2" t="s">
        <v>31</v>
      </c>
      <c r="J2" s="9">
        <f>C2</f>
        <v>193.25</v>
      </c>
    </row>
    <row r="3" spans="1:10" ht="15" customHeight="1" x14ac:dyDescent="0.3">
      <c r="A3" s="7" t="s">
        <v>32</v>
      </c>
      <c r="B3" s="5">
        <v>0.72924768518518523</v>
      </c>
      <c r="C3" s="9">
        <f t="shared" si="0"/>
        <v>243.4166666666668</v>
      </c>
      <c r="F3" t="s">
        <v>33</v>
      </c>
      <c r="G3" s="9">
        <f t="shared" si="1"/>
        <v>89.283333333333445</v>
      </c>
      <c r="I3" t="s">
        <v>34</v>
      </c>
      <c r="J3" s="9">
        <f>C3</f>
        <v>243.4166666666668</v>
      </c>
    </row>
    <row r="4" spans="1:10" ht="15" customHeight="1" x14ac:dyDescent="0.3">
      <c r="A4" s="7" t="s">
        <v>35</v>
      </c>
      <c r="B4" s="5">
        <v>0.78101851851851856</v>
      </c>
      <c r="C4" s="9">
        <f t="shared" si="0"/>
        <v>317.96666666666675</v>
      </c>
      <c r="F4" t="s">
        <v>36</v>
      </c>
      <c r="G4" s="9">
        <f t="shared" si="1"/>
        <v>157.91666666666666</v>
      </c>
      <c r="I4" t="s">
        <v>37</v>
      </c>
      <c r="J4" s="9">
        <f>C4</f>
        <v>317.96666666666675</v>
      </c>
    </row>
    <row r="5" spans="1:10" ht="15" customHeight="1" x14ac:dyDescent="0.3">
      <c r="A5" s="7" t="s">
        <v>38</v>
      </c>
      <c r="B5" s="5">
        <v>0.54196759259259264</v>
      </c>
      <c r="C5" s="9">
        <f t="shared" si="0"/>
        <v>-26.266666666666563</v>
      </c>
      <c r="F5" t="s">
        <v>39</v>
      </c>
      <c r="G5" s="9">
        <f t="shared" si="1"/>
        <v>201.60000000000002</v>
      </c>
    </row>
    <row r="6" spans="1:10" ht="15" customHeight="1" x14ac:dyDescent="0.3">
      <c r="A6" s="7" t="s">
        <v>40</v>
      </c>
      <c r="B6" s="5">
        <v>0.60194444444444439</v>
      </c>
      <c r="C6" s="9">
        <f t="shared" si="0"/>
        <v>60.099999999999959</v>
      </c>
      <c r="F6" t="s">
        <v>41</v>
      </c>
      <c r="G6" s="9">
        <f t="shared" si="1"/>
        <v>220.11666666666665</v>
      </c>
    </row>
    <row r="7" spans="1:10" ht="15" customHeight="1" x14ac:dyDescent="0.3">
      <c r="A7" s="7" t="s">
        <v>42</v>
      </c>
      <c r="B7" s="5">
        <v>0.62221064814814819</v>
      </c>
      <c r="C7" s="9">
        <f t="shared" si="0"/>
        <v>89.283333333333445</v>
      </c>
      <c r="F7" t="s">
        <v>43</v>
      </c>
      <c r="G7" s="9">
        <f t="shared" si="1"/>
        <v>240.14999999999998</v>
      </c>
    </row>
    <row r="8" spans="1:10" ht="15" customHeight="1" x14ac:dyDescent="0.3">
      <c r="A8" s="7" t="s">
        <v>44</v>
      </c>
      <c r="B8" s="5">
        <v>0.66987268518518517</v>
      </c>
      <c r="C8" s="9">
        <f t="shared" si="0"/>
        <v>157.91666666666666</v>
      </c>
      <c r="F8" t="s">
        <v>45</v>
      </c>
      <c r="G8" s="9">
        <f t="shared" si="1"/>
        <v>245.34999999999997</v>
      </c>
    </row>
    <row r="9" spans="1:10" ht="15" customHeight="1" x14ac:dyDescent="0.3">
      <c r="A9" s="7" t="s">
        <v>46</v>
      </c>
      <c r="B9" s="5">
        <v>0.70020833333333332</v>
      </c>
      <c r="C9" s="9">
        <f t="shared" si="0"/>
        <v>201.60000000000002</v>
      </c>
      <c r="F9" t="s">
        <v>47</v>
      </c>
      <c r="G9" s="9">
        <f t="shared" si="1"/>
        <v>255.91666666666663</v>
      </c>
    </row>
    <row r="10" spans="1:10" ht="15" customHeight="1" x14ac:dyDescent="0.3">
      <c r="A10" s="7" t="s">
        <v>48</v>
      </c>
      <c r="B10" s="5">
        <v>0.71306712962962959</v>
      </c>
      <c r="C10" s="9">
        <f t="shared" si="0"/>
        <v>220.11666666666665</v>
      </c>
      <c r="F10" t="s">
        <v>49</v>
      </c>
      <c r="G10" s="9">
        <f t="shared" si="1"/>
        <v>295.25000000000011</v>
      </c>
    </row>
    <row r="11" spans="1:10" ht="15" customHeight="1" x14ac:dyDescent="0.3">
      <c r="A11" s="7" t="s">
        <v>50</v>
      </c>
      <c r="B11" s="5">
        <v>0.72697916666666662</v>
      </c>
      <c r="C11" s="9">
        <f t="shared" si="0"/>
        <v>240.14999999999998</v>
      </c>
      <c r="F11" t="s">
        <v>51</v>
      </c>
      <c r="G11" s="9">
        <f t="shared" si="1"/>
        <v>319.88333333333333</v>
      </c>
    </row>
    <row r="12" spans="1:10" ht="15" customHeight="1" x14ac:dyDescent="0.3">
      <c r="A12" s="7" t="s">
        <v>52</v>
      </c>
      <c r="B12" s="5">
        <v>0.73059027777777774</v>
      </c>
      <c r="C12" s="9">
        <f t="shared" si="0"/>
        <v>245.34999999999997</v>
      </c>
      <c r="F12" t="s">
        <v>53</v>
      </c>
      <c r="G12" s="9">
        <f t="shared" si="1"/>
        <v>337.48333333333341</v>
      </c>
    </row>
    <row r="13" spans="1:10" ht="15" customHeight="1" x14ac:dyDescent="0.3">
      <c r="A13" s="7" t="s">
        <v>54</v>
      </c>
      <c r="B13" s="5">
        <v>0.7379282407407407</v>
      </c>
      <c r="C13" s="9">
        <f t="shared" si="0"/>
        <v>255.91666666666663</v>
      </c>
      <c r="F13" t="s">
        <v>55</v>
      </c>
      <c r="G13" s="9">
        <f t="shared" si="1"/>
        <v>521.75</v>
      </c>
    </row>
    <row r="14" spans="1:10" ht="15" customHeight="1" x14ac:dyDescent="0.3">
      <c r="A14" s="7" t="s">
        <v>56</v>
      </c>
      <c r="B14" s="5">
        <v>0.76524305555555561</v>
      </c>
      <c r="C14" s="9">
        <f t="shared" si="0"/>
        <v>295.25000000000011</v>
      </c>
    </row>
    <row r="15" spans="1:10" ht="15" customHeight="1" x14ac:dyDescent="0.3">
      <c r="A15" s="7" t="s">
        <v>57</v>
      </c>
      <c r="B15" s="5">
        <v>0.78234953703703702</v>
      </c>
      <c r="C15" s="9">
        <f t="shared" si="0"/>
        <v>319.88333333333333</v>
      </c>
    </row>
    <row r="16" spans="1:10" ht="15" customHeight="1" x14ac:dyDescent="0.3">
      <c r="A16" s="7" t="s">
        <v>58</v>
      </c>
      <c r="B16" s="5">
        <v>0.79457175925925927</v>
      </c>
      <c r="C16" s="9">
        <f t="shared" si="0"/>
        <v>337.48333333333341</v>
      </c>
    </row>
    <row r="17" spans="1:3" ht="15" customHeight="1" x14ac:dyDescent="0.3">
      <c r="A17" s="7" t="s">
        <v>59</v>
      </c>
      <c r="B17" s="5">
        <v>0.92253472222222221</v>
      </c>
      <c r="C17" s="9">
        <f t="shared" si="0"/>
        <v>521.75</v>
      </c>
    </row>
    <row r="18" spans="1:3" ht="15" customHeight="1" x14ac:dyDescent="0.3">
      <c r="A18" s="7"/>
      <c r="B18" s="5"/>
      <c r="C1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zoomScale="85" zoomScaleNormal="85" workbookViewId="0">
      <selection activeCell="N10" sqref="N10"/>
    </sheetView>
  </sheetViews>
  <sheetFormatPr defaultRowHeight="14.4" x14ac:dyDescent="0.3"/>
  <sheetData>
    <row r="1" spans="1:4" x14ac:dyDescent="0.3">
      <c r="A1" t="s">
        <v>60</v>
      </c>
      <c r="B1" t="s">
        <v>2</v>
      </c>
      <c r="C1" t="s">
        <v>5</v>
      </c>
      <c r="D1" t="s">
        <v>61</v>
      </c>
    </row>
    <row r="2" spans="1:4" x14ac:dyDescent="0.3">
      <c r="A2">
        <v>0</v>
      </c>
      <c r="B2">
        <v>130.06466720072439</v>
      </c>
      <c r="C2">
        <v>0</v>
      </c>
      <c r="D2">
        <f t="shared" ref="D2:D14" si="0">SUM(B2:C2)</f>
        <v>130.06466720072439</v>
      </c>
    </row>
    <row r="3" spans="1:4" x14ac:dyDescent="0.3">
      <c r="A3">
        <v>60.099999999999959</v>
      </c>
      <c r="B3">
        <v>116.6495315890207</v>
      </c>
      <c r="C3">
        <v>14.88064787387234</v>
      </c>
      <c r="D3">
        <f t="shared" si="0"/>
        <v>131.53017946289305</v>
      </c>
    </row>
    <row r="4" spans="1:4" x14ac:dyDescent="0.3">
      <c r="A4">
        <v>89.283333333333445</v>
      </c>
      <c r="B4">
        <v>111.0081348747795</v>
      </c>
      <c r="C4">
        <v>19.188678253179631</v>
      </c>
      <c r="D4">
        <f t="shared" si="0"/>
        <v>130.19681312795913</v>
      </c>
    </row>
    <row r="5" spans="1:4" x14ac:dyDescent="0.3">
      <c r="A5">
        <v>157.91666666666671</v>
      </c>
      <c r="B5">
        <v>106.53074344510959</v>
      </c>
      <c r="C5">
        <v>25.417508725046261</v>
      </c>
      <c r="D5">
        <f t="shared" si="0"/>
        <v>131.94825217015585</v>
      </c>
    </row>
    <row r="6" spans="1:4" x14ac:dyDescent="0.3">
      <c r="A6">
        <v>201.6</v>
      </c>
      <c r="B6">
        <v>97.605587378475988</v>
      </c>
      <c r="C6">
        <v>31.831500770715209</v>
      </c>
      <c r="D6">
        <f t="shared" si="0"/>
        <v>129.4370881491912</v>
      </c>
    </row>
    <row r="7" spans="1:4" x14ac:dyDescent="0.3">
      <c r="A7">
        <v>220.11666666666659</v>
      </c>
      <c r="B7">
        <v>90.973753678240342</v>
      </c>
      <c r="C7">
        <v>40.937290365835551</v>
      </c>
      <c r="D7">
        <f t="shared" si="0"/>
        <v>131.91104404407588</v>
      </c>
    </row>
    <row r="8" spans="1:4" x14ac:dyDescent="0.3">
      <c r="A8">
        <v>240.15</v>
      </c>
      <c r="B8">
        <v>82.450500798636767</v>
      </c>
      <c r="C8">
        <v>49.159155034555049</v>
      </c>
      <c r="D8">
        <f t="shared" si="0"/>
        <v>131.60965583319182</v>
      </c>
    </row>
    <row r="9" spans="1:4" x14ac:dyDescent="0.3">
      <c r="A9">
        <v>245.35</v>
      </c>
      <c r="B9">
        <v>80.496900294275605</v>
      </c>
      <c r="C9">
        <v>49.819520578719377</v>
      </c>
      <c r="D9">
        <f t="shared" si="0"/>
        <v>130.31642087299497</v>
      </c>
    </row>
    <row r="10" spans="1:4" x14ac:dyDescent="0.3">
      <c r="A10">
        <v>255.9166666666666</v>
      </c>
      <c r="B10">
        <v>76.596939654359119</v>
      </c>
      <c r="C10">
        <v>53.197369007452153</v>
      </c>
      <c r="D10">
        <f t="shared" si="0"/>
        <v>129.79430866181127</v>
      </c>
    </row>
    <row r="11" spans="1:4" x14ac:dyDescent="0.3">
      <c r="A11">
        <v>295.25000000000011</v>
      </c>
      <c r="B11">
        <v>69.963662746204591</v>
      </c>
      <c r="C11">
        <v>59.94827531927853</v>
      </c>
      <c r="D11">
        <f t="shared" si="0"/>
        <v>129.91193806548313</v>
      </c>
    </row>
    <row r="12" spans="1:4" x14ac:dyDescent="0.3">
      <c r="A12">
        <v>319.88333333333333</v>
      </c>
      <c r="B12">
        <v>62.426097487883958</v>
      </c>
      <c r="C12">
        <v>67.5303785393628</v>
      </c>
      <c r="D12">
        <f t="shared" si="0"/>
        <v>129.95647602724677</v>
      </c>
    </row>
    <row r="13" spans="1:4" x14ac:dyDescent="0.3">
      <c r="A13">
        <v>337.48333333333341</v>
      </c>
      <c r="B13">
        <v>49.792378748731828</v>
      </c>
      <c r="C13">
        <v>72.731074567038874</v>
      </c>
      <c r="D13">
        <f t="shared" si="0"/>
        <v>122.52345331577069</v>
      </c>
    </row>
    <row r="14" spans="1:4" x14ac:dyDescent="0.3">
      <c r="A14">
        <v>521.75</v>
      </c>
      <c r="B14">
        <v>11.98383111289886</v>
      </c>
      <c r="C14">
        <v>116.89102061742059</v>
      </c>
      <c r="D14">
        <f t="shared" si="0"/>
        <v>128.87485173031945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C2_E3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2025-01-15T21:04:21Z</dcterms:created>
  <dcterms:modified xsi:type="dcterms:W3CDTF">2026-01-12T10:59:41Z</dcterms:modified>
</cp:coreProperties>
</file>
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5" documentId="11_B58CDE055716F1BC550E847668B0B51E45D246A0" xr6:coauthVersionLast="47" xr6:coauthVersionMax="47" xr10:uidLastSave="{1742BD6A-7FD9-4A05-957B-8843A734AAAF}"/>
  <bookViews>
    <workbookView xWindow="-108" yWindow="-108" windowWidth="23256" windowHeight="12456" activeTab="2" xr2:uid="{00000000-000D-0000-FFFF-FFFF00000000}"/>
  </bookViews>
  <sheets>
    <sheet name="C1_E2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" l="1"/>
  <c r="C22" i="2"/>
  <c r="C21" i="2"/>
  <c r="C20" i="2"/>
  <c r="C19" i="2"/>
  <c r="C18" i="2"/>
  <c r="H11" i="2" s="1"/>
  <c r="C17" i="2"/>
  <c r="H16" i="2"/>
  <c r="C16" i="2"/>
  <c r="H10" i="2" s="1"/>
  <c r="H15" i="2"/>
  <c r="C15" i="2"/>
  <c r="H9" i="2" s="1"/>
  <c r="H14" i="2"/>
  <c r="C14" i="2"/>
  <c r="H8" i="2" s="1"/>
  <c r="H13" i="2"/>
  <c r="C13" i="2"/>
  <c r="H12" i="2"/>
  <c r="C12" i="2"/>
  <c r="C11" i="2"/>
  <c r="C10" i="2"/>
  <c r="C9" i="2"/>
  <c r="C8" i="2"/>
  <c r="H4" i="2" s="1"/>
  <c r="H7" i="2"/>
  <c r="C7" i="2"/>
  <c r="H3" i="2" s="1"/>
  <c r="H6" i="2"/>
  <c r="C6" i="2"/>
  <c r="J5" i="2"/>
  <c r="K5" i="2" s="1"/>
  <c r="H5" i="2"/>
  <c r="C5" i="2"/>
  <c r="J4" i="2"/>
  <c r="K4" i="2" s="1"/>
  <c r="C4" i="2"/>
  <c r="F4" i="2" s="1"/>
  <c r="J3" i="2"/>
  <c r="K3" i="2" s="1"/>
  <c r="C3" i="2"/>
  <c r="F3" i="2" s="1"/>
  <c r="J2" i="2"/>
  <c r="K2" i="2" s="1"/>
  <c r="H2" i="2"/>
  <c r="C2" i="2"/>
  <c r="F2" i="2" s="1"/>
  <c r="C1" i="2"/>
  <c r="H1" i="2" s="1"/>
  <c r="H18" i="1"/>
  <c r="I18" i="1" s="1"/>
  <c r="J18" i="1" s="1"/>
  <c r="D18" i="1"/>
  <c r="E18" i="1" s="1"/>
  <c r="F18" i="1" s="1"/>
  <c r="H17" i="1"/>
  <c r="I17" i="1" s="1"/>
  <c r="J17" i="1" s="1"/>
  <c r="E17" i="1"/>
  <c r="F17" i="1" s="1"/>
  <c r="K17" i="1" s="1"/>
  <c r="D17" i="1"/>
  <c r="H16" i="1"/>
  <c r="I16" i="1" s="1"/>
  <c r="J16" i="1" s="1"/>
  <c r="D16" i="1"/>
  <c r="E16" i="1" s="1"/>
  <c r="F16" i="1" s="1"/>
  <c r="K16" i="1" s="1"/>
  <c r="H15" i="1"/>
  <c r="I15" i="1" s="1"/>
  <c r="J15" i="1" s="1"/>
  <c r="D15" i="1"/>
  <c r="E15" i="1" s="1"/>
  <c r="F15" i="1" s="1"/>
  <c r="K15" i="1" s="1"/>
  <c r="H14" i="1"/>
  <c r="I14" i="1" s="1"/>
  <c r="J14" i="1" s="1"/>
  <c r="D14" i="1"/>
  <c r="E14" i="1" s="1"/>
  <c r="F14" i="1" s="1"/>
  <c r="H13" i="1"/>
  <c r="I13" i="1" s="1"/>
  <c r="J13" i="1" s="1"/>
  <c r="D13" i="1"/>
  <c r="E13" i="1" s="1"/>
  <c r="F13" i="1" s="1"/>
  <c r="I12" i="1"/>
  <c r="J12" i="1" s="1"/>
  <c r="H12" i="1"/>
  <c r="D12" i="1"/>
  <c r="E12" i="1" s="1"/>
  <c r="F12" i="1" s="1"/>
  <c r="K12" i="1" s="1"/>
  <c r="H11" i="1"/>
  <c r="I11" i="1" s="1"/>
  <c r="J11" i="1" s="1"/>
  <c r="D11" i="1"/>
  <c r="E11" i="1" s="1"/>
  <c r="F11" i="1" s="1"/>
  <c r="K11" i="1" s="1"/>
  <c r="H10" i="1"/>
  <c r="I10" i="1" s="1"/>
  <c r="J10" i="1" s="1"/>
  <c r="D10" i="1"/>
  <c r="E10" i="1" s="1"/>
  <c r="F10" i="1" s="1"/>
  <c r="K10" i="1" s="1"/>
  <c r="H9" i="1"/>
  <c r="I9" i="1" s="1"/>
  <c r="J9" i="1" s="1"/>
  <c r="E9" i="1"/>
  <c r="F9" i="1" s="1"/>
  <c r="K9" i="1" s="1"/>
  <c r="D9" i="1"/>
  <c r="H8" i="1"/>
  <c r="I8" i="1" s="1"/>
  <c r="J8" i="1" s="1"/>
  <c r="D8" i="1"/>
  <c r="E8" i="1" s="1"/>
  <c r="F8" i="1" s="1"/>
  <c r="K8" i="1" s="1"/>
  <c r="H7" i="1"/>
  <c r="I7" i="1" s="1"/>
  <c r="J7" i="1" s="1"/>
  <c r="D7" i="1"/>
  <c r="E7" i="1" s="1"/>
  <c r="F7" i="1" s="1"/>
  <c r="K7" i="1" s="1"/>
  <c r="H6" i="1"/>
  <c r="I6" i="1" s="1"/>
  <c r="J6" i="1" s="1"/>
  <c r="D6" i="1"/>
  <c r="E6" i="1" s="1"/>
  <c r="F6" i="1" s="1"/>
  <c r="H5" i="1"/>
  <c r="I5" i="1" s="1"/>
  <c r="J5" i="1" s="1"/>
  <c r="D5" i="1"/>
  <c r="E5" i="1" s="1"/>
  <c r="F5" i="1" s="1"/>
  <c r="K5" i="1" s="1"/>
  <c r="I4" i="1"/>
  <c r="J4" i="1" s="1"/>
  <c r="H4" i="1"/>
  <c r="D4" i="1"/>
  <c r="E4" i="1" s="1"/>
  <c r="F4" i="1" s="1"/>
  <c r="K4" i="1" s="1"/>
  <c r="J3" i="1"/>
  <c r="F3" i="1"/>
  <c r="K3" i="1" s="1"/>
  <c r="K14" i="1" l="1"/>
  <c r="K18" i="1"/>
  <c r="K6" i="1"/>
  <c r="K13" i="1"/>
  <c r="F1" i="2"/>
</calcChain>
</file>

<file path=xl/sharedStrings.xml><?xml version="1.0" encoding="utf-8"?>
<sst xmlns="http://schemas.openxmlformats.org/spreadsheetml/2006/main" count="114" uniqueCount="73">
  <si>
    <t>Compound</t>
  </si>
  <si>
    <t>initial conc. / mM</t>
  </si>
  <si>
    <t>filename</t>
  </si>
  <si>
    <t>Biphenyl</t>
  </si>
  <si>
    <t>4-SO2Me-ArOPh</t>
  </si>
  <si>
    <t>Ratio of integral with IS</t>
  </si>
  <si>
    <t>concentrations</t>
  </si>
  <si>
    <t>Product</t>
  </si>
  <si>
    <t>4-Me-piperidine</t>
  </si>
  <si>
    <t>Ar-4SO2Me-Oph</t>
  </si>
  <si>
    <t>C1_E2-S02</t>
  </si>
  <si>
    <t>C1_E2-S1</t>
  </si>
  <si>
    <t>SUM</t>
  </si>
  <si>
    <t>C1_E2-S2</t>
  </si>
  <si>
    <t>C1_E2-S3</t>
  </si>
  <si>
    <t>C1_E2-S4</t>
  </si>
  <si>
    <t>C1_E2-S5</t>
  </si>
  <si>
    <t>C1_E2-S6</t>
  </si>
  <si>
    <t>C1_E2-S7</t>
  </si>
  <si>
    <t>C1_E2-S8</t>
  </si>
  <si>
    <t>Phenol</t>
  </si>
  <si>
    <t>C1_E2-S9</t>
  </si>
  <si>
    <t>C1_E2-S10</t>
  </si>
  <si>
    <t>C1_E2-S11</t>
  </si>
  <si>
    <t>C1_E2-S12</t>
  </si>
  <si>
    <t>C1_E2-S13</t>
  </si>
  <si>
    <t>C1_E2-S14</t>
  </si>
  <si>
    <t>CC ArOPh</t>
  </si>
  <si>
    <t>CC Product</t>
  </si>
  <si>
    <t>V1:</t>
  </si>
  <si>
    <t>V1</t>
  </si>
  <si>
    <t>S0</t>
  </si>
  <si>
    <t>V2:</t>
  </si>
  <si>
    <t>V2</t>
  </si>
  <si>
    <t>S1</t>
  </si>
  <si>
    <t>Phenol:</t>
  </si>
  <si>
    <t>V3</t>
  </si>
  <si>
    <t>S2</t>
  </si>
  <si>
    <t>V3:</t>
  </si>
  <si>
    <t>V4</t>
  </si>
  <si>
    <t>S3</t>
  </si>
  <si>
    <t>Start:</t>
  </si>
  <si>
    <t>S4</t>
  </si>
  <si>
    <t>S1:</t>
  </si>
  <si>
    <t>S5</t>
  </si>
  <si>
    <t>S2:</t>
  </si>
  <si>
    <t>S6</t>
  </si>
  <si>
    <t>16:08:45 </t>
  </si>
  <si>
    <t>S3:</t>
  </si>
  <si>
    <t>S7</t>
  </si>
  <si>
    <t>S8</t>
  </si>
  <si>
    <t>S4:</t>
  </si>
  <si>
    <t>S9</t>
  </si>
  <si>
    <t>S5:</t>
  </si>
  <si>
    <t>S10</t>
  </si>
  <si>
    <t>S6:</t>
  </si>
  <si>
    <t>S11</t>
  </si>
  <si>
    <t>S7:</t>
  </si>
  <si>
    <t>S12</t>
  </si>
  <si>
    <t>S8:</t>
  </si>
  <si>
    <t>S13</t>
  </si>
  <si>
    <t>S9:</t>
  </si>
  <si>
    <t> 23:05:20</t>
  </si>
  <si>
    <t>S14</t>
  </si>
  <si>
    <t>S10:</t>
  </si>
  <si>
    <t>S15</t>
  </si>
  <si>
    <t>S11:</t>
  </si>
  <si>
    <t>S12:</t>
  </si>
  <si>
    <t>S13:</t>
  </si>
  <si>
    <t>S14:</t>
  </si>
  <si>
    <t>S15:</t>
  </si>
  <si>
    <t>Time / min</t>
  </si>
  <si>
    <t>4SO2MeArOPh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</si>
</sst>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21" fontId="0" fillId="0" borderId="0" xfId="0" applyNumberFormat="1"/>
    <xf numFmtId="2" fontId="0" fillId="0" borderId="0" xfId="0" applyNumberFormat="1"/>
    <xf numFmtId="0" fontId="2" fillId="0" borderId="0" xfId="0" applyFont="1" applyAlignment="1">
      <alignment vertical="center" wrapText="1"/>
    </xf>
    <xf numFmtId="2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4SO2MeArOPh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HPLC'!$A$2:$A$16</c:f>
              <c:numCache>
                <c:formatCode>General</c:formatCode>
                <c:ptCount val="15"/>
                <c:pt idx="0">
                  <c:v>0</c:v>
                </c:pt>
                <c:pt idx="1">
                  <c:v>13.050000001676381</c:v>
                </c:pt>
                <c:pt idx="2">
                  <c:v>20.716666668886319</c:v>
                </c:pt>
                <c:pt idx="3">
                  <c:v>61.650000005029142</c:v>
                </c:pt>
                <c:pt idx="4">
                  <c:v>154.4833333406132</c:v>
                </c:pt>
                <c:pt idx="5">
                  <c:v>302.39999999874271</c:v>
                </c:pt>
                <c:pt idx="6">
                  <c:v>309.93333333288319</c:v>
                </c:pt>
                <c:pt idx="7">
                  <c:v>315.60000000405131</c:v>
                </c:pt>
                <c:pt idx="8">
                  <c:v>432.06666666548699</c:v>
                </c:pt>
                <c:pt idx="9">
                  <c:v>437.30000000679871</c:v>
                </c:pt>
                <c:pt idx="10">
                  <c:v>456.55000000144349</c:v>
                </c:pt>
                <c:pt idx="11">
                  <c:v>1014.266666671028</c:v>
                </c:pt>
                <c:pt idx="12">
                  <c:v>1021.666666672099</c:v>
                </c:pt>
                <c:pt idx="13">
                  <c:v>1043.383333333768</c:v>
                </c:pt>
                <c:pt idx="14">
                  <c:v>1116.2333333375859</c:v>
                </c:pt>
              </c:numCache>
            </c:numRef>
          </c:xVal>
          <c:yVal>
            <c:numRef>
              <c:f>'Concentration vs time HPLC'!$B$2:$B$16</c:f>
              <c:numCache>
                <c:formatCode>General</c:formatCode>
                <c:ptCount val="15"/>
                <c:pt idx="0">
                  <c:v>123.4081208617618</c:v>
                </c:pt>
                <c:pt idx="1">
                  <c:v>119.5888254170798</c:v>
                </c:pt>
                <c:pt idx="2">
                  <c:v>118.1265311480453</c:v>
                </c:pt>
                <c:pt idx="3">
                  <c:v>110.6449698667506</c:v>
                </c:pt>
                <c:pt idx="4">
                  <c:v>99.259626806008953</c:v>
                </c:pt>
                <c:pt idx="5">
                  <c:v>91.927911993925832</c:v>
                </c:pt>
                <c:pt idx="6">
                  <c:v>88.933579214280897</c:v>
                </c:pt>
                <c:pt idx="7">
                  <c:v>86.994142765718905</c:v>
                </c:pt>
                <c:pt idx="8">
                  <c:v>50.981498886431879</c:v>
                </c:pt>
                <c:pt idx="9">
                  <c:v>50.965435749392263</c:v>
                </c:pt>
                <c:pt idx="10">
                  <c:v>48.502919485683577</c:v>
                </c:pt>
                <c:pt idx="11">
                  <c:v>21.64943640776394</c:v>
                </c:pt>
                <c:pt idx="12">
                  <c:v>19.530249984803181</c:v>
                </c:pt>
                <c:pt idx="13">
                  <c:v>14.057774822255739</c:v>
                </c:pt>
                <c:pt idx="14">
                  <c:v>5.3408604397129036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C0-457D-8D20-CCAB6AE3C309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HPLC'!$A$2:$A$16</c:f>
              <c:numCache>
                <c:formatCode>General</c:formatCode>
                <c:ptCount val="15"/>
                <c:pt idx="0">
                  <c:v>0</c:v>
                </c:pt>
                <c:pt idx="1">
                  <c:v>13.050000001676381</c:v>
                </c:pt>
                <c:pt idx="2">
                  <c:v>20.716666668886319</c:v>
                </c:pt>
                <c:pt idx="3">
                  <c:v>61.650000005029142</c:v>
                </c:pt>
                <c:pt idx="4">
                  <c:v>154.4833333406132</c:v>
                </c:pt>
                <c:pt idx="5">
                  <c:v>302.39999999874271</c:v>
                </c:pt>
                <c:pt idx="6">
                  <c:v>309.93333333288319</c:v>
                </c:pt>
                <c:pt idx="7">
                  <c:v>315.60000000405131</c:v>
                </c:pt>
                <c:pt idx="8">
                  <c:v>432.06666666548699</c:v>
                </c:pt>
                <c:pt idx="9">
                  <c:v>437.30000000679871</c:v>
                </c:pt>
                <c:pt idx="10">
                  <c:v>456.55000000144349</c:v>
                </c:pt>
                <c:pt idx="11">
                  <c:v>1014.266666671028</c:v>
                </c:pt>
                <c:pt idx="12">
                  <c:v>1021.666666672099</c:v>
                </c:pt>
                <c:pt idx="13">
                  <c:v>1043.383333333768</c:v>
                </c:pt>
                <c:pt idx="14">
                  <c:v>1116.2333333375859</c:v>
                </c:pt>
              </c:numCache>
            </c:numRef>
          </c:xVal>
          <c:yVal>
            <c:numRef>
              <c:f>'Concentration vs time HPLC'!$C$2:$C$16</c:f>
              <c:numCache>
                <c:formatCode>General</c:formatCode>
                <c:ptCount val="15"/>
                <c:pt idx="0">
                  <c:v>0</c:v>
                </c:pt>
                <c:pt idx="1">
                  <c:v>3.90693670709644</c:v>
                </c:pt>
                <c:pt idx="2">
                  <c:v>5.6907849799636194</c:v>
                </c:pt>
                <c:pt idx="3">
                  <c:v>13.373248825444479</c:v>
                </c:pt>
                <c:pt idx="4">
                  <c:v>23.593446397799891</c:v>
                </c:pt>
                <c:pt idx="5">
                  <c:v>32.091053367177487</c:v>
                </c:pt>
                <c:pt idx="6">
                  <c:v>32.637008436513042</c:v>
                </c:pt>
                <c:pt idx="7">
                  <c:v>36.189137844812983</c:v>
                </c:pt>
                <c:pt idx="8">
                  <c:v>67.56807399656455</c:v>
                </c:pt>
                <c:pt idx="9">
                  <c:v>69.0681983686856</c:v>
                </c:pt>
                <c:pt idx="10">
                  <c:v>71.968086248699848</c:v>
                </c:pt>
                <c:pt idx="11">
                  <c:v>98.481585752733793</c:v>
                </c:pt>
                <c:pt idx="12">
                  <c:v>98.408439082129817</c:v>
                </c:pt>
                <c:pt idx="13">
                  <c:v>104.0102937108951</c:v>
                </c:pt>
                <c:pt idx="14">
                  <c:v>113.11792349305669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C0-457D-8D20-CCAB6AE3C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599568"/>
        <c:axId val="1699595248"/>
      </c:scatterChart>
      <c:valAx>
        <c:axId val="169959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/ 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595248"/>
        <c:crosses val="autoZero"/>
        <c:crossBetween val="midCat"/>
      </c:valAx>
      <c:valAx>
        <c:axId val="169959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599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1</xdr:row>
      <xdr:rowOff>125730</xdr:rowOff>
    </xdr:from>
    <xdr:to>
      <xdr:col>11</xdr:col>
      <xdr:colOff>205740</xdr:colOff>
      <xdr:row>16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E02B3F-FEF2-C9A0-567E-3DCC32CF5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c%20vs%20time%20HPL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vs time HPL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workbookViewId="0">
      <selection activeCell="D11" sqref="D11"/>
    </sheetView>
  </sheetViews>
  <sheetFormatPr defaultRowHeight="14.4" x14ac:dyDescent="0.3"/>
  <cols>
    <col min="1" max="1" width="10" bestFit="1" customWidth="1"/>
    <col min="3" max="3" width="14.33203125" bestFit="1" customWidth="1"/>
    <col min="4" max="4" width="19.109375" bestFit="1" customWidth="1"/>
    <col min="5" max="5" width="13.33203125" bestFit="1" customWidth="1"/>
    <col min="6" max="6" width="11.6640625" bestFit="1" customWidth="1"/>
    <col min="7" max="7" width="19.109375" bestFit="1" customWidth="1"/>
    <col min="8" max="8" width="13.33203125" bestFit="1" customWidth="1"/>
    <col min="13" max="13" width="14.6640625" bestFit="1" customWidth="1"/>
  </cols>
  <sheetData>
    <row r="1" spans="1:1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5</v>
      </c>
      <c r="H1">
        <v>6</v>
      </c>
      <c r="I1">
        <v>7</v>
      </c>
      <c r="M1" t="s">
        <v>0</v>
      </c>
      <c r="N1" t="s">
        <v>1</v>
      </c>
    </row>
    <row r="2" spans="1:14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 t="s">
        <v>5</v>
      </c>
      <c r="I2" t="s">
        <v>6</v>
      </c>
      <c r="M2" t="s">
        <v>8</v>
      </c>
      <c r="N2">
        <v>43.604039462882596</v>
      </c>
    </row>
    <row r="3" spans="1:14" x14ac:dyDescent="0.3">
      <c r="B3">
        <v>4.0568166573842399</v>
      </c>
      <c r="C3">
        <v>1.69308692614237</v>
      </c>
      <c r="F3">
        <f>N3</f>
        <v>124.5646823248826</v>
      </c>
      <c r="G3">
        <v>2.6448655573526998</v>
      </c>
      <c r="J3">
        <f t="shared" ref="J3:J9" si="0">I3*$N$4</f>
        <v>0</v>
      </c>
      <c r="K3">
        <f t="shared" ref="K3:K18" si="1">SUM(F3,J3)</f>
        <v>124.5646823248826</v>
      </c>
      <c r="M3" t="s">
        <v>9</v>
      </c>
      <c r="N3">
        <v>124.5646823248826</v>
      </c>
    </row>
    <row r="4" spans="1:14" x14ac:dyDescent="0.3">
      <c r="A4" s="6" t="s">
        <v>10</v>
      </c>
      <c r="B4" s="6">
        <v>155.35823059082099</v>
      </c>
      <c r="C4" s="6">
        <v>1133.39086914063</v>
      </c>
      <c r="D4" s="6">
        <f t="shared" ref="D4:D18" si="2">C4/B4</f>
        <v>7.2953384241722556</v>
      </c>
      <c r="E4" s="6">
        <f t="shared" ref="E4:E18" si="3">D4/$B$21</f>
        <v>12.530639684253272</v>
      </c>
      <c r="F4" s="6">
        <f t="shared" ref="F4:F9" si="4">E4*$N$4</f>
        <v>123.40812086176177</v>
      </c>
      <c r="G4" s="6">
        <v>0</v>
      </c>
      <c r="H4" s="6">
        <f t="shared" ref="H4:H18" si="5">G4/B4</f>
        <v>0</v>
      </c>
      <c r="I4" s="6">
        <f t="shared" ref="I4:I18" si="6">H4/$B$22</f>
        <v>0</v>
      </c>
      <c r="J4" s="6">
        <f t="shared" si="0"/>
        <v>0</v>
      </c>
      <c r="K4" s="6">
        <f t="shared" si="1"/>
        <v>123.40812086176177</v>
      </c>
      <c r="M4" t="s">
        <v>3</v>
      </c>
      <c r="N4">
        <v>9.8485092518336135</v>
      </c>
    </row>
    <row r="5" spans="1:14" x14ac:dyDescent="0.3">
      <c r="A5" s="6" t="s">
        <v>11</v>
      </c>
      <c r="B5" s="6">
        <v>274.83755493164102</v>
      </c>
      <c r="C5" s="6">
        <v>1942.98022460938</v>
      </c>
      <c r="D5" s="6">
        <f t="shared" si="2"/>
        <v>7.0695586892870148</v>
      </c>
      <c r="E5" s="6">
        <f t="shared" si="3"/>
        <v>12.142835261571649</v>
      </c>
      <c r="F5" s="6">
        <f t="shared" si="4"/>
        <v>119.58882541707983</v>
      </c>
      <c r="G5" s="6">
        <v>68.622840881347699</v>
      </c>
      <c r="H5" s="6">
        <f t="shared" si="5"/>
        <v>0.2496850945221657</v>
      </c>
      <c r="I5" s="6">
        <f t="shared" si="6"/>
        <v>0.39670335958399383</v>
      </c>
      <c r="J5" s="6">
        <f t="shared" si="0"/>
        <v>3.90693670709644</v>
      </c>
      <c r="K5" s="6">
        <f t="shared" si="1"/>
        <v>123.49576212417627</v>
      </c>
      <c r="M5" t="s">
        <v>12</v>
      </c>
      <c r="N5">
        <v>0</v>
      </c>
    </row>
    <row r="6" spans="1:14" x14ac:dyDescent="0.3">
      <c r="A6" s="6" t="s">
        <v>13</v>
      </c>
      <c r="B6" s="6">
        <v>697.39398193359398</v>
      </c>
      <c r="C6" s="6">
        <v>4869.98193359375</v>
      </c>
      <c r="D6" s="6">
        <f t="shared" si="2"/>
        <v>6.9831143654139973</v>
      </c>
      <c r="E6" s="6">
        <f t="shared" si="3"/>
        <v>11.994356519089655</v>
      </c>
      <c r="F6" s="6">
        <f t="shared" si="4"/>
        <v>118.12653114804527</v>
      </c>
      <c r="G6" s="6">
        <v>253.63349914550801</v>
      </c>
      <c r="H6" s="6">
        <f t="shared" si="5"/>
        <v>0.36368753633675471</v>
      </c>
      <c r="I6" s="6">
        <f t="shared" si="6"/>
        <v>0.5778321200139096</v>
      </c>
      <c r="J6" s="6">
        <f t="shared" si="0"/>
        <v>5.6907849799636194</v>
      </c>
      <c r="K6" s="6">
        <f t="shared" si="1"/>
        <v>123.8173161280089</v>
      </c>
    </row>
    <row r="7" spans="1:14" x14ac:dyDescent="0.3">
      <c r="A7" s="6" t="s">
        <v>14</v>
      </c>
      <c r="B7" s="6">
        <v>380.952728271485</v>
      </c>
      <c r="C7" s="6">
        <v>2491.75</v>
      </c>
      <c r="D7" s="6">
        <f t="shared" si="2"/>
        <v>6.5408377866354606</v>
      </c>
      <c r="E7" s="6">
        <f t="shared" si="3"/>
        <v>11.234692179037204</v>
      </c>
      <c r="F7" s="6">
        <f t="shared" si="4"/>
        <v>110.64496986675064</v>
      </c>
      <c r="G7" s="6">
        <v>325.58489990234398</v>
      </c>
      <c r="H7" s="6">
        <f t="shared" si="5"/>
        <v>0.85465958303970124</v>
      </c>
      <c r="I7" s="6">
        <f t="shared" si="6"/>
        <v>1.3578957468060078</v>
      </c>
      <c r="J7" s="6">
        <f t="shared" si="0"/>
        <v>13.373248825444481</v>
      </c>
      <c r="K7" s="6">
        <f t="shared" si="1"/>
        <v>124.01821869219512</v>
      </c>
    </row>
    <row r="8" spans="1:14" x14ac:dyDescent="0.3">
      <c r="A8" s="6" t="s">
        <v>15</v>
      </c>
      <c r="B8" s="6">
        <v>536.345703125</v>
      </c>
      <c r="C8" s="6">
        <v>3147.16235351563</v>
      </c>
      <c r="D8" s="6">
        <f t="shared" si="2"/>
        <v>5.8677870171771591</v>
      </c>
      <c r="E8" s="6">
        <f t="shared" si="3"/>
        <v>10.078644825106766</v>
      </c>
      <c r="F8" s="6">
        <f t="shared" si="4"/>
        <v>99.259626806008953</v>
      </c>
      <c r="G8" s="6">
        <v>808.70928955078205</v>
      </c>
      <c r="H8" s="6">
        <f t="shared" si="5"/>
        <v>1.507813495733936</v>
      </c>
      <c r="I8" s="6">
        <f t="shared" si="6"/>
        <v>2.3956363135270671</v>
      </c>
      <c r="J8" s="6">
        <f t="shared" si="0"/>
        <v>23.593446397799891</v>
      </c>
      <c r="K8" s="6">
        <f t="shared" si="1"/>
        <v>122.85307320380885</v>
      </c>
    </row>
    <row r="9" spans="1:14" x14ac:dyDescent="0.3">
      <c r="A9" s="6" t="s">
        <v>16</v>
      </c>
      <c r="B9" s="6">
        <v>365.10372924804699</v>
      </c>
      <c r="C9" s="6">
        <v>1984.10827636719</v>
      </c>
      <c r="D9" s="6">
        <f t="shared" si="2"/>
        <v>5.4343686942162437</v>
      </c>
      <c r="E9" s="6">
        <f t="shared" si="3"/>
        <v>9.3341956273037496</v>
      </c>
      <c r="F9" s="6">
        <f t="shared" si="4"/>
        <v>91.927911993925832</v>
      </c>
      <c r="G9" s="6">
        <v>748.78387451171898</v>
      </c>
      <c r="H9" s="6">
        <f t="shared" si="5"/>
        <v>2.0508798309288272</v>
      </c>
      <c r="I9" s="6">
        <f t="shared" si="6"/>
        <v>3.2584681139638185</v>
      </c>
      <c r="J9" s="6">
        <f t="shared" si="0"/>
        <v>32.091053367177494</v>
      </c>
      <c r="K9" s="6">
        <f t="shared" si="1"/>
        <v>124.01896536110333</v>
      </c>
      <c r="M9" t="s">
        <v>8</v>
      </c>
      <c r="N9">
        <v>127.9576259533747</v>
      </c>
    </row>
    <row r="10" spans="1:14" x14ac:dyDescent="0.3">
      <c r="A10" s="7" t="s">
        <v>17</v>
      </c>
      <c r="B10" s="7">
        <v>653.76220703125</v>
      </c>
      <c r="C10" s="7">
        <v>3471.8994140625</v>
      </c>
      <c r="D10" s="7">
        <f t="shared" si="2"/>
        <v>5.3106456395337984</v>
      </c>
      <c r="E10" s="7">
        <f t="shared" si="3"/>
        <v>9.1216860864544795</v>
      </c>
      <c r="F10" s="7">
        <f>E10*$N$11</f>
        <v>88.933579214280897</v>
      </c>
      <c r="G10" s="7">
        <v>1377.41955566406</v>
      </c>
      <c r="H10" s="7">
        <f t="shared" si="5"/>
        <v>2.1069121782351958</v>
      </c>
      <c r="I10" s="7">
        <f t="shared" si="6"/>
        <v>3.3474931335163585</v>
      </c>
      <c r="J10" s="7">
        <f>I10*$N$11</f>
        <v>32.637008436513035</v>
      </c>
      <c r="K10" s="7">
        <f t="shared" si="1"/>
        <v>121.57058765079393</v>
      </c>
      <c r="M10" t="s">
        <v>9</v>
      </c>
      <c r="N10">
        <v>123.3147640956841</v>
      </c>
    </row>
    <row r="11" spans="1:14" x14ac:dyDescent="0.3">
      <c r="A11" s="7" t="s">
        <v>18</v>
      </c>
      <c r="B11" s="7">
        <v>393.56903076171898</v>
      </c>
      <c r="C11" s="7">
        <v>2044.52526855469</v>
      </c>
      <c r="D11" s="7">
        <f t="shared" si="2"/>
        <v>5.1948326945280412</v>
      </c>
      <c r="E11" s="7">
        <f t="shared" si="3"/>
        <v>8.9227631304157349</v>
      </c>
      <c r="F11" s="7">
        <f>E11*$N$11</f>
        <v>86.994142765718905</v>
      </c>
      <c r="G11" s="7">
        <v>919.465087890625</v>
      </c>
      <c r="H11" s="7">
        <f t="shared" si="5"/>
        <v>2.3362231680452079</v>
      </c>
      <c r="I11" s="7">
        <f t="shared" si="6"/>
        <v>3.7118258151337908</v>
      </c>
      <c r="J11" s="7">
        <f>I11*$N$11</f>
        <v>36.189137844812976</v>
      </c>
      <c r="K11" s="7">
        <f t="shared" si="1"/>
        <v>123.18328061053188</v>
      </c>
      <c r="M11" t="s">
        <v>3</v>
      </c>
      <c r="N11">
        <v>9.7496864473713334</v>
      </c>
    </row>
    <row r="12" spans="1:14" x14ac:dyDescent="0.3">
      <c r="A12" s="7" t="s">
        <v>19</v>
      </c>
      <c r="B12" s="7">
        <v>491.55484008789102</v>
      </c>
      <c r="C12" s="7">
        <v>1496.46350097656</v>
      </c>
      <c r="D12" s="7">
        <f t="shared" si="2"/>
        <v>3.0443469963778389</v>
      </c>
      <c r="E12" s="7">
        <f t="shared" si="3"/>
        <v>5.2290398426276861</v>
      </c>
      <c r="F12" s="7">
        <f>E12*$N$11</f>
        <v>50.981498886431879</v>
      </c>
      <c r="G12" s="7">
        <v>2144.12255859375</v>
      </c>
      <c r="H12" s="7">
        <f t="shared" si="5"/>
        <v>4.3619193297138041</v>
      </c>
      <c r="I12" s="7">
        <f t="shared" si="6"/>
        <v>6.9302817440638771</v>
      </c>
      <c r="J12" s="7">
        <f>I12*$N$11</f>
        <v>67.56807399656455</v>
      </c>
      <c r="K12" s="7">
        <f t="shared" si="1"/>
        <v>118.54957288299643</v>
      </c>
      <c r="M12" t="s">
        <v>20</v>
      </c>
      <c r="N12">
        <v>0</v>
      </c>
    </row>
    <row r="13" spans="1:14" x14ac:dyDescent="0.3">
      <c r="A13" s="8" t="s">
        <v>21</v>
      </c>
      <c r="B13" s="8">
        <v>493.76226806640602</v>
      </c>
      <c r="C13" s="8">
        <v>1525.38366699219</v>
      </c>
      <c r="D13" s="8">
        <f t="shared" si="2"/>
        <v>3.089307882851513</v>
      </c>
      <c r="E13" s="8">
        <f t="shared" si="3"/>
        <v>5.3062656867940792</v>
      </c>
      <c r="F13" s="8">
        <f>E13*$N$19</f>
        <v>50.965435749392256</v>
      </c>
      <c r="G13" s="8">
        <v>2234.78637695313</v>
      </c>
      <c r="H13" s="8">
        <f t="shared" si="5"/>
        <v>4.526037167045283</v>
      </c>
      <c r="I13" s="8">
        <f t="shared" si="6"/>
        <v>7.1910345838024838</v>
      </c>
      <c r="J13" s="8">
        <f>I13*$N$19</f>
        <v>69.0681983686856</v>
      </c>
      <c r="K13" s="8">
        <f t="shared" si="1"/>
        <v>120.03363411807786</v>
      </c>
      <c r="M13" t="s">
        <v>12</v>
      </c>
    </row>
    <row r="14" spans="1:14" x14ac:dyDescent="0.3">
      <c r="A14" s="8" t="s">
        <v>22</v>
      </c>
      <c r="B14" s="8">
        <v>296.26840209961</v>
      </c>
      <c r="C14" s="8">
        <v>871.04113769531295</v>
      </c>
      <c r="D14" s="8">
        <f t="shared" si="2"/>
        <v>2.9400406237127359</v>
      </c>
      <c r="E14" s="8">
        <f t="shared" si="3"/>
        <v>5.0498808377065192</v>
      </c>
      <c r="F14" s="8">
        <f>E14*$N$19</f>
        <v>48.502919485683584</v>
      </c>
      <c r="G14" s="8">
        <v>1397.22155761719</v>
      </c>
      <c r="H14" s="8">
        <f t="shared" si="5"/>
        <v>4.7160667412227868</v>
      </c>
      <c r="I14" s="8">
        <f t="shared" si="6"/>
        <v>7.492956373089906</v>
      </c>
      <c r="J14" s="8">
        <f>I14*$N$19</f>
        <v>71.968086248699848</v>
      </c>
      <c r="K14" s="8">
        <f t="shared" si="1"/>
        <v>120.47100573438343</v>
      </c>
    </row>
    <row r="15" spans="1:14" x14ac:dyDescent="0.3">
      <c r="A15" s="8" t="s">
        <v>23</v>
      </c>
      <c r="B15" s="8">
        <v>195.35852050781301</v>
      </c>
      <c r="C15" s="8">
        <v>256.36834716796898</v>
      </c>
      <c r="D15" s="8">
        <f t="shared" si="2"/>
        <v>1.3122967275835609</v>
      </c>
      <c r="E15" s="8">
        <f t="shared" si="3"/>
        <v>2.2540307928264527</v>
      </c>
      <c r="F15" s="8">
        <f>E15*$N$19</f>
        <v>21.64943640776394</v>
      </c>
      <c r="G15" s="8">
        <v>1260.74536132813</v>
      </c>
      <c r="H15" s="8">
        <f t="shared" si="5"/>
        <v>6.4534956450886343</v>
      </c>
      <c r="I15" s="8">
        <f t="shared" si="6"/>
        <v>10.253409032552645</v>
      </c>
      <c r="J15" s="8">
        <f>I15*$N$19</f>
        <v>98.481585752733793</v>
      </c>
      <c r="K15" s="8">
        <f t="shared" si="1"/>
        <v>120.13102216049774</v>
      </c>
    </row>
    <row r="16" spans="1:14" x14ac:dyDescent="0.3">
      <c r="A16" s="9" t="s">
        <v>24</v>
      </c>
      <c r="B16" s="9">
        <v>339.59002685546898</v>
      </c>
      <c r="C16" s="9">
        <v>409.47418212890602</v>
      </c>
      <c r="D16" s="9">
        <f t="shared" si="2"/>
        <v>1.2057897751608002</v>
      </c>
      <c r="E16" s="9">
        <f t="shared" si="3"/>
        <v>2.0710920219182412</v>
      </c>
      <c r="F16" s="9">
        <f>E16*$N$27</f>
        <v>19.530249984803181</v>
      </c>
      <c r="G16" s="9">
        <v>2230.51733398438</v>
      </c>
      <c r="H16" s="9">
        <f t="shared" si="5"/>
        <v>6.5682651361657864</v>
      </c>
      <c r="I16" s="9">
        <f t="shared" si="6"/>
        <v>10.435756492160449</v>
      </c>
      <c r="J16" s="9">
        <f>I16*$N$27</f>
        <v>98.408439082129817</v>
      </c>
      <c r="K16" s="9">
        <f t="shared" si="1"/>
        <v>117.93868906693299</v>
      </c>
    </row>
    <row r="17" spans="1:14" x14ac:dyDescent="0.3">
      <c r="A17" s="9" t="s">
        <v>25</v>
      </c>
      <c r="B17" s="9">
        <v>179.326583862305</v>
      </c>
      <c r="C17" s="9">
        <v>155.64137268066401</v>
      </c>
      <c r="D17" s="9">
        <f t="shared" si="2"/>
        <v>0.86792136072905079</v>
      </c>
      <c r="E17" s="9">
        <f t="shared" si="3"/>
        <v>1.4907615265012895</v>
      </c>
      <c r="F17" s="9">
        <f>E17*$N$27</f>
        <v>14.057774822255737</v>
      </c>
      <c r="G17" s="9">
        <v>1244.91394042969</v>
      </c>
      <c r="H17" s="9">
        <f t="shared" si="5"/>
        <v>6.9421605743942054</v>
      </c>
      <c r="I17" s="9">
        <f t="shared" si="6"/>
        <v>11.02980707720719</v>
      </c>
      <c r="J17" s="9">
        <f>I17*$N$27</f>
        <v>104.01029371089506</v>
      </c>
      <c r="K17" s="9">
        <f t="shared" si="1"/>
        <v>118.06806853315079</v>
      </c>
      <c r="M17" t="s">
        <v>8</v>
      </c>
      <c r="N17">
        <v>126.05563811409669</v>
      </c>
    </row>
    <row r="18" spans="1:14" x14ac:dyDescent="0.3">
      <c r="A18" s="9" t="s">
        <v>26</v>
      </c>
      <c r="B18" s="9">
        <v>139.01544189453099</v>
      </c>
      <c r="C18" s="9">
        <v>45.839309692382798</v>
      </c>
      <c r="D18" s="9">
        <f t="shared" si="2"/>
        <v>0.32974257440522631</v>
      </c>
      <c r="E18" s="9">
        <f t="shared" si="3"/>
        <v>0.56637336723673359</v>
      </c>
      <c r="F18" s="9">
        <f>E18*$N$27</f>
        <v>5.3408604397129036</v>
      </c>
      <c r="G18" s="9">
        <v>1049.57336425781</v>
      </c>
      <c r="H18" s="9">
        <f t="shared" si="5"/>
        <v>7.5500487568431867</v>
      </c>
      <c r="I18" s="9">
        <f t="shared" si="6"/>
        <v>11.995628784307574</v>
      </c>
      <c r="J18" s="9">
        <f>I18*$N$27</f>
        <v>113.11792349305665</v>
      </c>
      <c r="K18" s="9">
        <f t="shared" si="1"/>
        <v>118.45878393276955</v>
      </c>
      <c r="M18" t="s">
        <v>9</v>
      </c>
      <c r="N18">
        <v>121.4817886870992</v>
      </c>
    </row>
    <row r="19" spans="1:14" x14ac:dyDescent="0.3">
      <c r="M19" t="s">
        <v>3</v>
      </c>
      <c r="N19">
        <v>9.6047651507974852</v>
      </c>
    </row>
    <row r="20" spans="1:14" x14ac:dyDescent="0.3">
      <c r="M20" t="s">
        <v>20</v>
      </c>
      <c r="N20">
        <v>169.00111358272079</v>
      </c>
    </row>
    <row r="21" spans="1:14" x14ac:dyDescent="0.3">
      <c r="A21" s="9" t="s">
        <v>27</v>
      </c>
      <c r="B21">
        <v>0.58220000000000005</v>
      </c>
      <c r="M21" t="s">
        <v>12</v>
      </c>
    </row>
    <row r="22" spans="1:14" x14ac:dyDescent="0.3">
      <c r="A22" s="9" t="s">
        <v>28</v>
      </c>
      <c r="B22">
        <v>0.62939999999999996</v>
      </c>
    </row>
    <row r="25" spans="1:14" x14ac:dyDescent="0.3">
      <c r="M25" t="s">
        <v>8</v>
      </c>
      <c r="N25">
        <v>277.57971192006778</v>
      </c>
    </row>
    <row r="26" spans="1:14" x14ac:dyDescent="0.3">
      <c r="M26" t="s">
        <v>9</v>
      </c>
      <c r="N26">
        <v>119.27044347806159</v>
      </c>
    </row>
    <row r="27" spans="1:14" x14ac:dyDescent="0.3">
      <c r="M27" t="s">
        <v>3</v>
      </c>
      <c r="N27">
        <v>9.4299286454275002</v>
      </c>
    </row>
    <row r="28" spans="1:14" x14ac:dyDescent="0.3">
      <c r="M28" t="s">
        <v>20</v>
      </c>
      <c r="N28">
        <v>165.92476932666321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workbookViewId="0">
      <selection activeCell="H1" sqref="H1:H17"/>
    </sheetView>
  </sheetViews>
  <sheetFormatPr defaultRowHeight="14.4" x14ac:dyDescent="0.3"/>
  <cols>
    <col min="2" max="2" width="19.88671875" customWidth="1"/>
  </cols>
  <sheetData>
    <row r="1" spans="1:14" x14ac:dyDescent="0.3">
      <c r="A1" s="4" t="s">
        <v>29</v>
      </c>
      <c r="B1" s="5">
        <v>45658.658356481479</v>
      </c>
      <c r="C1" s="3">
        <f t="shared" ref="C1:C23" si="0">(B1-$B$1)*86400/60</f>
        <v>0</v>
      </c>
      <c r="E1" t="s">
        <v>30</v>
      </c>
      <c r="F1" s="3">
        <f>C1</f>
        <v>0</v>
      </c>
      <c r="G1" t="s">
        <v>31</v>
      </c>
      <c r="H1" s="3">
        <f>C1</f>
        <v>0</v>
      </c>
      <c r="M1" s="4" t="s">
        <v>29</v>
      </c>
      <c r="N1" s="2">
        <v>0.65835648148148151</v>
      </c>
    </row>
    <row r="2" spans="1:14" x14ac:dyDescent="0.3">
      <c r="A2" s="4" t="s">
        <v>32</v>
      </c>
      <c r="B2" s="5">
        <v>45658.872627314813</v>
      </c>
      <c r="C2" s="3">
        <f t="shared" si="0"/>
        <v>308.55000000097789</v>
      </c>
      <c r="E2" t="s">
        <v>33</v>
      </c>
      <c r="F2" s="3">
        <f>C2</f>
        <v>308.55000000097789</v>
      </c>
      <c r="G2" t="s">
        <v>34</v>
      </c>
      <c r="H2" s="3">
        <f>C6</f>
        <v>13.050000001676381</v>
      </c>
      <c r="I2" t="s">
        <v>30</v>
      </c>
      <c r="J2" s="3" t="str">
        <f>E3</f>
        <v>V3</v>
      </c>
      <c r="K2" s="3" t="e">
        <f>J2-$J$2</f>
        <v>#VALUE!</v>
      </c>
      <c r="M2" s="4" t="s">
        <v>32</v>
      </c>
      <c r="N2" s="2">
        <v>0.87262731481481481</v>
      </c>
    </row>
    <row r="3" spans="1:14" x14ac:dyDescent="0.3">
      <c r="A3" s="4" t="s">
        <v>35</v>
      </c>
      <c r="B3" s="5">
        <v>45658.959687499999</v>
      </c>
      <c r="C3" s="3">
        <f t="shared" si="0"/>
        <v>433.91666666837409</v>
      </c>
      <c r="E3" t="s">
        <v>36</v>
      </c>
      <c r="F3" s="3">
        <f>C3</f>
        <v>433.91666666837409</v>
      </c>
      <c r="G3" t="s">
        <v>37</v>
      </c>
      <c r="H3" s="3">
        <f>C7</f>
        <v>20.71666665840894</v>
      </c>
      <c r="I3" s="1" t="s">
        <v>32</v>
      </c>
      <c r="J3" s="3">
        <f>E7</f>
        <v>0</v>
      </c>
      <c r="K3" s="3" t="e">
        <f>J3-$J$2</f>
        <v>#VALUE!</v>
      </c>
      <c r="M3" s="4" t="s">
        <v>35</v>
      </c>
      <c r="N3" s="2">
        <v>0.95968750000000003</v>
      </c>
    </row>
    <row r="4" spans="1:14" x14ac:dyDescent="0.3">
      <c r="A4" s="4" t="s">
        <v>38</v>
      </c>
      <c r="B4" s="5">
        <v>45659.364282407398</v>
      </c>
      <c r="C4" s="3">
        <f t="shared" si="0"/>
        <v>1016.5333333227318</v>
      </c>
      <c r="E4" t="s">
        <v>39</v>
      </c>
      <c r="F4" s="3">
        <f>C4</f>
        <v>1016.5333333227318</v>
      </c>
      <c r="G4" t="s">
        <v>40</v>
      </c>
      <c r="H4" s="3">
        <f>C8</f>
        <v>61.650000005029142</v>
      </c>
      <c r="I4" s="1" t="s">
        <v>35</v>
      </c>
      <c r="J4" s="3">
        <f>E10</f>
        <v>0</v>
      </c>
      <c r="K4" s="3" t="e">
        <f>J4-$J$2</f>
        <v>#VALUE!</v>
      </c>
      <c r="M4" s="4" t="s">
        <v>38</v>
      </c>
      <c r="N4" s="2">
        <v>0.36428240740740742</v>
      </c>
    </row>
    <row r="5" spans="1:14" x14ac:dyDescent="0.3">
      <c r="A5" s="4" t="s">
        <v>41</v>
      </c>
      <c r="B5" s="5">
        <v>45658.64502314815</v>
      </c>
      <c r="C5" s="3">
        <f t="shared" si="0"/>
        <v>-19.199999993434176</v>
      </c>
      <c r="G5" t="s">
        <v>42</v>
      </c>
      <c r="H5" s="3">
        <f>C10</f>
        <v>154.48333334061317</v>
      </c>
      <c r="I5" t="s">
        <v>36</v>
      </c>
      <c r="J5" s="3">
        <f>E13</f>
        <v>0</v>
      </c>
      <c r="K5" s="3" t="e">
        <f>J5-$J$2</f>
        <v>#VALUE!</v>
      </c>
      <c r="M5" s="4" t="s">
        <v>41</v>
      </c>
      <c r="N5" s="2">
        <v>0.6450231481481481</v>
      </c>
    </row>
    <row r="6" spans="1:14" x14ac:dyDescent="0.3">
      <c r="A6" s="4" t="s">
        <v>43</v>
      </c>
      <c r="B6" s="5">
        <v>45658.66741898148</v>
      </c>
      <c r="C6" s="3">
        <f t="shared" si="0"/>
        <v>13.050000001676381</v>
      </c>
      <c r="G6" t="s">
        <v>44</v>
      </c>
      <c r="H6" s="3">
        <f>C11</f>
        <v>302.39999999874271</v>
      </c>
      <c r="J6" s="3"/>
      <c r="M6" s="4" t="s">
        <v>43</v>
      </c>
      <c r="N6" s="2">
        <v>0.66741898148148149</v>
      </c>
    </row>
    <row r="7" spans="1:14" x14ac:dyDescent="0.3">
      <c r="A7" s="4" t="s">
        <v>45</v>
      </c>
      <c r="B7" s="5">
        <v>45658.672743055547</v>
      </c>
      <c r="C7" s="3">
        <f t="shared" si="0"/>
        <v>20.71666665840894</v>
      </c>
      <c r="G7" t="s">
        <v>46</v>
      </c>
      <c r="H7" s="3">
        <f>C12</f>
        <v>309.93333333288319</v>
      </c>
      <c r="M7" s="4" t="s">
        <v>37</v>
      </c>
      <c r="N7" t="s">
        <v>47</v>
      </c>
    </row>
    <row r="8" spans="1:14" x14ac:dyDescent="0.3">
      <c r="A8" s="4" t="s">
        <v>48</v>
      </c>
      <c r="B8" s="5">
        <v>45658.701168981483</v>
      </c>
      <c r="C8" s="3">
        <f t="shared" si="0"/>
        <v>61.650000005029142</v>
      </c>
      <c r="G8" t="s">
        <v>49</v>
      </c>
      <c r="H8" s="3">
        <f>C14</f>
        <v>315.60000000405125</v>
      </c>
      <c r="M8" s="4" t="s">
        <v>48</v>
      </c>
      <c r="N8" s="2">
        <v>0.70116898148148143</v>
      </c>
    </row>
    <row r="9" spans="1:14" x14ac:dyDescent="0.3">
      <c r="B9" s="5">
        <v>45658.765636574077</v>
      </c>
      <c r="C9" s="3">
        <f t="shared" si="0"/>
        <v>154.48333334061317</v>
      </c>
      <c r="G9" t="s">
        <v>50</v>
      </c>
      <c r="H9" s="3">
        <f>C15</f>
        <v>432.06666665500961</v>
      </c>
      <c r="M9" s="4" t="s">
        <v>51</v>
      </c>
      <c r="N9" s="2">
        <v>0.76563657407407404</v>
      </c>
    </row>
    <row r="10" spans="1:14" x14ac:dyDescent="0.3">
      <c r="A10" s="4" t="s">
        <v>51</v>
      </c>
      <c r="B10" s="5">
        <v>45658.765636574077</v>
      </c>
      <c r="C10" s="3">
        <f t="shared" si="0"/>
        <v>154.48333334061317</v>
      </c>
      <c r="G10" t="s">
        <v>52</v>
      </c>
      <c r="H10" s="3">
        <f>C16</f>
        <v>437.30000000679865</v>
      </c>
      <c r="M10" s="4" t="s">
        <v>53</v>
      </c>
      <c r="N10" s="2">
        <v>0.86835648148148148</v>
      </c>
    </row>
    <row r="11" spans="1:14" x14ac:dyDescent="0.3">
      <c r="A11" s="4" t="s">
        <v>53</v>
      </c>
      <c r="B11" s="5">
        <v>45658.868356481478</v>
      </c>
      <c r="C11" s="3">
        <f t="shared" si="0"/>
        <v>302.39999999874271</v>
      </c>
      <c r="G11" t="s">
        <v>54</v>
      </c>
      <c r="H11" s="3">
        <f t="shared" ref="H11:H16" si="1">C18</f>
        <v>456.55000000144355</v>
      </c>
      <c r="M11" s="4" t="s">
        <v>55</v>
      </c>
      <c r="N11" s="2">
        <v>0.87358796296296293</v>
      </c>
    </row>
    <row r="12" spans="1:14" x14ac:dyDescent="0.3">
      <c r="A12" s="4" t="s">
        <v>55</v>
      </c>
      <c r="B12" s="5">
        <v>45658.87358796296</v>
      </c>
      <c r="C12" s="3">
        <f t="shared" si="0"/>
        <v>309.93333333288319</v>
      </c>
      <c r="G12" t="s">
        <v>56</v>
      </c>
      <c r="H12" s="3">
        <f t="shared" si="1"/>
        <v>1014.266666660551</v>
      </c>
      <c r="M12" s="4" t="s">
        <v>57</v>
      </c>
      <c r="N12" s="2">
        <v>0.87752314814814814</v>
      </c>
    </row>
    <row r="13" spans="1:14" x14ac:dyDescent="0.3">
      <c r="B13" s="5">
        <v>45658.877523148149</v>
      </c>
      <c r="C13" s="3">
        <f t="shared" si="0"/>
        <v>315.60000000405125</v>
      </c>
      <c r="G13" t="s">
        <v>58</v>
      </c>
      <c r="H13" s="3">
        <f t="shared" si="1"/>
        <v>1021.666666661622</v>
      </c>
      <c r="M13" s="4" t="s">
        <v>59</v>
      </c>
      <c r="N13" s="2">
        <v>0.95840277777777783</v>
      </c>
    </row>
    <row r="14" spans="1:14" x14ac:dyDescent="0.3">
      <c r="A14" s="4" t="s">
        <v>57</v>
      </c>
      <c r="B14" s="5">
        <v>45658.877523148149</v>
      </c>
      <c r="C14" s="3">
        <f t="shared" si="0"/>
        <v>315.60000000405125</v>
      </c>
      <c r="G14" t="s">
        <v>60</v>
      </c>
      <c r="H14" s="3">
        <f t="shared" si="1"/>
        <v>1043.383333333768</v>
      </c>
      <c r="M14" s="4" t="s">
        <v>61</v>
      </c>
      <c r="N14" t="s">
        <v>62</v>
      </c>
    </row>
    <row r="15" spans="1:14" x14ac:dyDescent="0.3">
      <c r="A15" s="4" t="s">
        <v>59</v>
      </c>
      <c r="B15" s="5">
        <v>45658.958402777767</v>
      </c>
      <c r="C15" s="3">
        <f t="shared" si="0"/>
        <v>432.06666665500961</v>
      </c>
      <c r="G15" t="s">
        <v>63</v>
      </c>
      <c r="H15" s="3">
        <f t="shared" si="1"/>
        <v>1116.2333333375864</v>
      </c>
      <c r="M15" s="4" t="s">
        <v>64</v>
      </c>
      <c r="N15" s="2">
        <v>0.97540509259259256</v>
      </c>
    </row>
    <row r="16" spans="1:14" x14ac:dyDescent="0.3">
      <c r="A16" s="4" t="s">
        <v>61</v>
      </c>
      <c r="B16" s="5">
        <v>45658.962037037039</v>
      </c>
      <c r="C16" s="3">
        <f t="shared" si="0"/>
        <v>437.30000000679865</v>
      </c>
      <c r="G16" t="s">
        <v>65</v>
      </c>
      <c r="H16" s="3">
        <f t="shared" si="1"/>
        <v>1276.2500000162981</v>
      </c>
      <c r="M16" s="4" t="s">
        <v>66</v>
      </c>
      <c r="N16" s="2">
        <v>0.36270833333333341</v>
      </c>
    </row>
    <row r="17" spans="1:14" x14ac:dyDescent="0.3">
      <c r="B17" s="5">
        <v>45658.975405092591</v>
      </c>
      <c r="C17" s="3">
        <f t="shared" si="0"/>
        <v>456.55000000144355</v>
      </c>
      <c r="M17" s="4" t="s">
        <v>67</v>
      </c>
      <c r="N17" s="2">
        <v>0.36784722222222221</v>
      </c>
    </row>
    <row r="18" spans="1:14" x14ac:dyDescent="0.3">
      <c r="A18" s="4" t="s">
        <v>64</v>
      </c>
      <c r="B18" s="5">
        <v>45658.975405092591</v>
      </c>
      <c r="C18" s="3">
        <f t="shared" si="0"/>
        <v>456.55000000144355</v>
      </c>
      <c r="M18" s="4" t="s">
        <v>68</v>
      </c>
      <c r="N18" s="2">
        <v>0.38292824074074072</v>
      </c>
    </row>
    <row r="19" spans="1:14" x14ac:dyDescent="0.3">
      <c r="A19" s="4" t="s">
        <v>66</v>
      </c>
      <c r="B19" s="5">
        <v>45659.362708333327</v>
      </c>
      <c r="C19" s="3">
        <f t="shared" si="0"/>
        <v>1014.266666660551</v>
      </c>
      <c r="M19" s="4" t="s">
        <v>69</v>
      </c>
      <c r="N19" s="2">
        <v>0.43351851851851853</v>
      </c>
    </row>
    <row r="20" spans="1:14" x14ac:dyDescent="0.3">
      <c r="A20" s="4" t="s">
        <v>67</v>
      </c>
      <c r="B20" s="5">
        <v>45659.367847222216</v>
      </c>
      <c r="C20" s="3">
        <f t="shared" si="0"/>
        <v>1021.666666661622</v>
      </c>
      <c r="M20" s="4" t="s">
        <v>70</v>
      </c>
      <c r="N20" s="2">
        <v>0.54464120370370372</v>
      </c>
    </row>
    <row r="21" spans="1:14" x14ac:dyDescent="0.3">
      <c r="A21" s="4" t="s">
        <v>68</v>
      </c>
      <c r="B21" s="5">
        <v>45659.382928240739</v>
      </c>
      <c r="C21" s="3">
        <f t="shared" si="0"/>
        <v>1043.383333333768</v>
      </c>
    </row>
    <row r="22" spans="1:14" x14ac:dyDescent="0.3">
      <c r="A22" s="4" t="s">
        <v>69</v>
      </c>
      <c r="B22" s="5">
        <v>45659.433518518519</v>
      </c>
      <c r="C22" s="3">
        <f t="shared" si="0"/>
        <v>1116.2333333375864</v>
      </c>
    </row>
    <row r="23" spans="1:14" x14ac:dyDescent="0.3">
      <c r="A23" s="4" t="s">
        <v>70</v>
      </c>
      <c r="B23" s="5">
        <v>45659.544641203713</v>
      </c>
      <c r="C23" s="3">
        <f t="shared" si="0"/>
        <v>1276.2500000162981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tabSelected="1" workbookViewId="0">
      <selection activeCell="N10" sqref="N10"/>
    </sheetView>
  </sheetViews>
  <sheetFormatPr defaultRowHeight="14.4" x14ac:dyDescent="0.3"/>
  <cols>
    <col min="2" max="2" width="12.88671875" bestFit="1" customWidth="1"/>
  </cols>
  <sheetData>
    <row r="1" spans="1:3" x14ac:dyDescent="0.3">
      <c r="A1" t="s">
        <v>71</v>
      </c>
      <c r="B1" t="s">
        <v>72</v>
      </c>
      <c r="C1" t="s">
        <v>7</v>
      </c>
    </row>
    <row r="2" spans="1:3" x14ac:dyDescent="0.3">
      <c r="A2">
        <v>0</v>
      </c>
      <c r="B2">
        <v>123.4081208617618</v>
      </c>
      <c r="C2">
        <v>0</v>
      </c>
    </row>
    <row r="3" spans="1:3" x14ac:dyDescent="0.3">
      <c r="A3">
        <v>13.050000001676381</v>
      </c>
      <c r="B3">
        <v>119.5888254170798</v>
      </c>
      <c r="C3">
        <v>3.90693670709644</v>
      </c>
    </row>
    <row r="4" spans="1:3" x14ac:dyDescent="0.3">
      <c r="A4">
        <v>20.716666668886319</v>
      </c>
      <c r="B4">
        <v>118.1265311480453</v>
      </c>
      <c r="C4">
        <v>5.6907849799636194</v>
      </c>
    </row>
    <row r="5" spans="1:3" x14ac:dyDescent="0.3">
      <c r="A5">
        <v>61.650000005029142</v>
      </c>
      <c r="B5">
        <v>110.6449698667506</v>
      </c>
      <c r="C5">
        <v>13.373248825444479</v>
      </c>
    </row>
    <row r="6" spans="1:3" x14ac:dyDescent="0.3">
      <c r="A6">
        <v>154.4833333406132</v>
      </c>
      <c r="B6">
        <v>99.259626806008953</v>
      </c>
      <c r="C6">
        <v>23.593446397799891</v>
      </c>
    </row>
    <row r="7" spans="1:3" x14ac:dyDescent="0.3">
      <c r="A7">
        <v>302.39999999874271</v>
      </c>
      <c r="B7">
        <v>91.927911993925832</v>
      </c>
      <c r="C7">
        <v>32.091053367177487</v>
      </c>
    </row>
    <row r="8" spans="1:3" x14ac:dyDescent="0.3">
      <c r="A8">
        <v>309.93333333288319</v>
      </c>
      <c r="B8">
        <v>88.933579214280897</v>
      </c>
      <c r="C8">
        <v>32.637008436513042</v>
      </c>
    </row>
    <row r="9" spans="1:3" x14ac:dyDescent="0.3">
      <c r="A9">
        <v>315.60000000405131</v>
      </c>
      <c r="B9">
        <v>86.994142765718905</v>
      </c>
      <c r="C9">
        <v>36.189137844812983</v>
      </c>
    </row>
    <row r="10" spans="1:3" x14ac:dyDescent="0.3">
      <c r="A10">
        <v>432.06666666548699</v>
      </c>
      <c r="B10">
        <v>50.981498886431879</v>
      </c>
      <c r="C10">
        <v>67.56807399656455</v>
      </c>
    </row>
    <row r="11" spans="1:3" x14ac:dyDescent="0.3">
      <c r="A11">
        <v>437.30000000679871</v>
      </c>
      <c r="B11">
        <v>50.965435749392263</v>
      </c>
      <c r="C11">
        <v>69.0681983686856</v>
      </c>
    </row>
    <row r="12" spans="1:3" x14ac:dyDescent="0.3">
      <c r="A12">
        <v>456.55000000144349</v>
      </c>
      <c r="B12">
        <v>48.502919485683577</v>
      </c>
      <c r="C12">
        <v>71.968086248699848</v>
      </c>
    </row>
    <row r="13" spans="1:3" x14ac:dyDescent="0.3">
      <c r="A13">
        <v>1014.266666671028</v>
      </c>
      <c r="B13">
        <v>21.64943640776394</v>
      </c>
      <c r="C13">
        <v>98.481585752733793</v>
      </c>
    </row>
    <row r="14" spans="1:3" x14ac:dyDescent="0.3">
      <c r="A14">
        <v>1021.666666672099</v>
      </c>
      <c r="B14">
        <v>19.530249984803181</v>
      </c>
      <c r="C14">
        <v>98.408439082129817</v>
      </c>
    </row>
    <row r="15" spans="1:3" x14ac:dyDescent="0.3">
      <c r="A15">
        <v>1043.383333333768</v>
      </c>
      <c r="B15">
        <v>14.057774822255739</v>
      </c>
      <c r="C15">
        <v>104.0102937108951</v>
      </c>
    </row>
    <row r="16" spans="1:3" x14ac:dyDescent="0.3">
      <c r="A16">
        <v>1116.2333333375859</v>
      </c>
      <c r="B16">
        <v>5.3408604397129036</v>
      </c>
      <c r="C16">
        <v>113.11792349305669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C1_E2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2024-12-16T19:00:24Z</dcterms:created>
  <dcterms:modified xsi:type="dcterms:W3CDTF">2026-01-12T10:48:44Z</dcterms:modified>
</cp:coreProperties>
</file>
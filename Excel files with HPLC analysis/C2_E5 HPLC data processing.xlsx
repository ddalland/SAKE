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0DFA3429558FCA205F3B2F26908C2FFC4BD23924" xr6:coauthVersionLast="47" xr6:coauthVersionMax="47" xr10:uidLastSave="{A3C5C108-2DB8-43EE-A88C-3BFFA15B5D08}"/>
  <bookViews>
    <workbookView xWindow="31890" yWindow="3090" windowWidth="17280" windowHeight="8880" firstSheet="1" activeTab="2" xr2:uid="{00000000-000D-0000-FFFF-FFFF00000000}"/>
  </bookViews>
  <sheets>
    <sheet name="C2_E5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H13" i="2" s="1"/>
  <c r="C19" i="2"/>
  <c r="C18" i="2"/>
  <c r="C16" i="2"/>
  <c r="C15" i="2"/>
  <c r="C14" i="2"/>
  <c r="H12" i="2"/>
  <c r="C12" i="2"/>
  <c r="H7" i="2" s="1"/>
  <c r="H11" i="2"/>
  <c r="C11" i="2"/>
  <c r="H6" i="2" s="1"/>
  <c r="H10" i="2"/>
  <c r="C10" i="2"/>
  <c r="H5" i="2" s="1"/>
  <c r="H9" i="2"/>
  <c r="H8" i="2"/>
  <c r="C8" i="2"/>
  <c r="H4" i="2" s="1"/>
  <c r="C7" i="2"/>
  <c r="C6" i="2"/>
  <c r="C4" i="2"/>
  <c r="F4" i="2" s="1"/>
  <c r="H3" i="2"/>
  <c r="C3" i="2"/>
  <c r="F3" i="2" s="1"/>
  <c r="H2" i="2"/>
  <c r="C2" i="2"/>
  <c r="F2" i="2" s="1"/>
  <c r="H1" i="2"/>
  <c r="F1" i="2"/>
  <c r="C1" i="2"/>
  <c r="H15" i="1"/>
  <c r="I15" i="1" s="1"/>
  <c r="J15" i="1" s="1"/>
  <c r="D15" i="1"/>
  <c r="E15" i="1" s="1"/>
  <c r="F15" i="1" s="1"/>
  <c r="K15" i="1" s="1"/>
  <c r="H14" i="1"/>
  <c r="I14" i="1" s="1"/>
  <c r="J14" i="1" s="1"/>
  <c r="D14" i="1"/>
  <c r="E14" i="1" s="1"/>
  <c r="F14" i="1" s="1"/>
  <c r="K14" i="1" s="1"/>
  <c r="I13" i="1"/>
  <c r="J13" i="1" s="1"/>
  <c r="H13" i="1"/>
  <c r="D13" i="1"/>
  <c r="E13" i="1" s="1"/>
  <c r="F13" i="1" s="1"/>
  <c r="K13" i="1" s="1"/>
  <c r="H12" i="1"/>
  <c r="I12" i="1" s="1"/>
  <c r="J12" i="1" s="1"/>
  <c r="D12" i="1"/>
  <c r="E12" i="1" s="1"/>
  <c r="F12" i="1" s="1"/>
  <c r="K12" i="1" s="1"/>
  <c r="I11" i="1"/>
  <c r="J11" i="1" s="1"/>
  <c r="K11" i="1" s="1"/>
  <c r="H11" i="1"/>
  <c r="F11" i="1"/>
  <c r="E11" i="1"/>
  <c r="D11" i="1"/>
  <c r="H10" i="1"/>
  <c r="I10" i="1" s="1"/>
  <c r="J10" i="1" s="1"/>
  <c r="D10" i="1"/>
  <c r="E10" i="1" s="1"/>
  <c r="F10" i="1" s="1"/>
  <c r="K10" i="1" s="1"/>
  <c r="H9" i="1"/>
  <c r="I9" i="1" s="1"/>
  <c r="J9" i="1" s="1"/>
  <c r="D9" i="1"/>
  <c r="E9" i="1" s="1"/>
  <c r="F9" i="1" s="1"/>
  <c r="K9" i="1" s="1"/>
  <c r="H8" i="1"/>
  <c r="I8" i="1" s="1"/>
  <c r="J8" i="1" s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J6" i="1"/>
  <c r="I6" i="1"/>
  <c r="H6" i="1"/>
  <c r="E6" i="1"/>
  <c r="F6" i="1" s="1"/>
  <c r="K6" i="1" s="1"/>
  <c r="D6" i="1"/>
  <c r="H5" i="1"/>
  <c r="I5" i="1" s="1"/>
  <c r="J5" i="1" s="1"/>
  <c r="D5" i="1"/>
  <c r="E5" i="1" s="1"/>
  <c r="F5" i="1" s="1"/>
  <c r="H4" i="1"/>
  <c r="I4" i="1" s="1"/>
  <c r="J4" i="1" s="1"/>
  <c r="D4" i="1"/>
  <c r="E4" i="1" s="1"/>
  <c r="F4" i="1" s="1"/>
  <c r="K4" i="1" s="1"/>
  <c r="K5" i="1" l="1"/>
</calcChain>
</file>

<file path=xl/sharedStrings.xml><?xml version="1.0" encoding="utf-8"?>
<sst xmlns="http://schemas.openxmlformats.org/spreadsheetml/2006/main" count="76" uniqueCount="61">
  <si>
    <t>filename</t>
  </si>
  <si>
    <t>Biphenyl</t>
  </si>
  <si>
    <t>4-COPh-ArOPh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</si>
  <si>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</si>
  <si>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</si>
  <si>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</si>
  <si>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</si>
  <si>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</si>
  <si>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</si>
  <si>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C2_E5-S0</t>
  </si>
  <si>
    <t>Ar-COPh-Oph</t>
  </si>
  <si>
    <t>C2_E5-S1</t>
  </si>
  <si>
    <t>C2_E5-S2</t>
  </si>
  <si>
    <t>C2_E5-S3</t>
  </si>
  <si>
    <t>C2_E5-S4</t>
  </si>
  <si>
    <t>C2_E5-S5</t>
  </si>
  <si>
    <t>C2_E5-S6</t>
  </si>
  <si>
    <t>C2_E5-S7</t>
  </si>
  <si>
    <t>C2_E5-S8</t>
  </si>
  <si>
    <t>C2_E5-S9</t>
  </si>
  <si>
    <t>Phenol</t>
  </si>
  <si>
    <t>C2_E5-S10</t>
  </si>
  <si>
    <t>C2_E5-S11</t>
  </si>
  <si>
    <t>CC 4-COPh-ArOPh 254 nm</t>
  </si>
  <si>
    <t>CC Product 254 nm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</si>
  <si>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</si>
  <si>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</si>
  <si>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</si>
  <si>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</si>
  <si>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</si>
  <si>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</si>
  <si>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</si>
  <si>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</si>
  <si>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</si>
  <si>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</si>
  <si>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</si>
  <si>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</si>
  <si>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</si>
  <si>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</si>
  <si>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</si>
  <si>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</si>
  <si>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S6</t>
  </si>
  <si>
    <t>S3:</t>
  </si>
  <si>
    <t>S7</t>
  </si>
  <si>
    <t>S8</t>
  </si>
  <si>
    <t>S4: </t>
  </si>
  <si>
    <t>S9</t>
  </si>
  <si>
    <t>S5:</t>
  </si>
  <si>
    <t>S10</t>
  </si>
  <si>
    <t>S6:</t>
  </si>
  <si>
    <t>S11</t>
  </si>
  <si>
    <t>S12</t>
  </si>
  <si>
    <t>S7:</t>
  </si>
  <si>
    <t>S8:</t>
  </si>
  <si>
    <t>S9:</t>
  </si>
  <si>
    <t>S10:</t>
  </si>
  <si>
    <t>S11:</t>
  </si>
  <si>
    <t>S12: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</si>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</sst>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HPLC'!$B$2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HPLC'!$A$3:$A$15</c:f>
              <c:numCache>
                <c:formatCode>General</c:formatCode>
                <c:ptCount val="13"/>
                <c:pt idx="0">
                  <c:v>0</c:v>
                </c:pt>
                <c:pt idx="1">
                  <c:v>10.000000000000041</c:v>
                </c:pt>
                <c:pt idx="2">
                  <c:v>26.283333333333339</c:v>
                </c:pt>
                <c:pt idx="3">
                  <c:v>63.4</c:v>
                </c:pt>
                <c:pt idx="4">
                  <c:v>131.26666666666671</c:v>
                </c:pt>
                <c:pt idx="5">
                  <c:v>139.2166666666667</c:v>
                </c:pt>
                <c:pt idx="6">
                  <c:v>190.55</c:v>
                </c:pt>
                <c:pt idx="7">
                  <c:v>193.65</c:v>
                </c:pt>
                <c:pt idx="8">
                  <c:v>210.8666666666667</c:v>
                </c:pt>
                <c:pt idx="9">
                  <c:v>238.55</c:v>
                </c:pt>
                <c:pt idx="10">
                  <c:v>262.21666666666681</c:v>
                </c:pt>
                <c:pt idx="11">
                  <c:v>289.08333333333343</c:v>
                </c:pt>
                <c:pt idx="12">
                  <c:v>613</c:v>
                </c:pt>
              </c:numCache>
            </c:numRef>
          </c:xVal>
          <c:yVal>
            <c:numRef>
              <c:f>'Concentration vs time HPLC'!$B$3:$B$15</c:f>
              <c:numCache>
                <c:formatCode>General</c:formatCode>
                <c:ptCount val="13"/>
                <c:pt idx="0">
                  <c:v>120.44652497249859</c:v>
                </c:pt>
                <c:pt idx="1">
                  <c:v>111.7077956375021</c:v>
                </c:pt>
                <c:pt idx="2">
                  <c:v>103.3433112416225</c:v>
                </c:pt>
                <c:pt idx="3">
                  <c:v>93.570476181543782</c:v>
                </c:pt>
                <c:pt idx="4">
                  <c:v>81.227579818486205</c:v>
                </c:pt>
                <c:pt idx="5">
                  <c:v>71.415775900394308</c:v>
                </c:pt>
                <c:pt idx="6">
                  <c:v>44.234011964116704</c:v>
                </c:pt>
                <c:pt idx="7">
                  <c:v>42.032885224105847</c:v>
                </c:pt>
                <c:pt idx="8">
                  <c:v>38.212626148182387</c:v>
                </c:pt>
                <c:pt idx="9">
                  <c:v>33.575051549839728</c:v>
                </c:pt>
                <c:pt idx="10">
                  <c:v>26.862277481169819</c:v>
                </c:pt>
                <c:pt idx="11">
                  <c:v>9.472091426383539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EF-4B9B-9BE0-BDCECAEC057F}"/>
            </c:ext>
          </c:extLst>
        </c:ser>
        <c:ser>
          <c:idx val="1"/>
          <c:order val="1"/>
          <c:tx>
            <c:strRef>
              <c:f>'Concentration vs time HPLC'!$C$2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HPLC'!$A$3:$A$15</c:f>
              <c:numCache>
                <c:formatCode>General</c:formatCode>
                <c:ptCount val="13"/>
                <c:pt idx="0">
                  <c:v>0</c:v>
                </c:pt>
                <c:pt idx="1">
                  <c:v>10.000000000000041</c:v>
                </c:pt>
                <c:pt idx="2">
                  <c:v>26.283333333333339</c:v>
                </c:pt>
                <c:pt idx="3">
                  <c:v>63.4</c:v>
                </c:pt>
                <c:pt idx="4">
                  <c:v>131.26666666666671</c:v>
                </c:pt>
                <c:pt idx="5">
                  <c:v>139.2166666666667</c:v>
                </c:pt>
                <c:pt idx="6">
                  <c:v>190.55</c:v>
                </c:pt>
                <c:pt idx="7">
                  <c:v>193.65</c:v>
                </c:pt>
                <c:pt idx="8">
                  <c:v>210.8666666666667</c:v>
                </c:pt>
                <c:pt idx="9">
                  <c:v>238.55</c:v>
                </c:pt>
                <c:pt idx="10">
                  <c:v>262.21666666666681</c:v>
                </c:pt>
                <c:pt idx="11">
                  <c:v>289.08333333333343</c:v>
                </c:pt>
                <c:pt idx="12">
                  <c:v>613</c:v>
                </c:pt>
              </c:numCache>
            </c:numRef>
          </c:xVal>
          <c:yVal>
            <c:numRef>
              <c:f>'Concentration vs time HPLC'!$C$3:$C$15</c:f>
              <c:numCache>
                <c:formatCode>General</c:formatCode>
                <c:ptCount val="13"/>
                <c:pt idx="0">
                  <c:v>0</c:v>
                </c:pt>
                <c:pt idx="1">
                  <c:v>8.7387293349957798</c:v>
                </c:pt>
                <c:pt idx="2">
                  <c:v>17.103213730875471</c:v>
                </c:pt>
                <c:pt idx="3">
                  <c:v>26.87604879095414</c:v>
                </c:pt>
                <c:pt idx="4">
                  <c:v>38.163640409439068</c:v>
                </c:pt>
                <c:pt idx="5">
                  <c:v>47.997341759568357</c:v>
                </c:pt>
                <c:pt idx="6">
                  <c:v>75.179105695846005</c:v>
                </c:pt>
                <c:pt idx="7">
                  <c:v>76.087471766756977</c:v>
                </c:pt>
                <c:pt idx="8">
                  <c:v>79.987253950285861</c:v>
                </c:pt>
                <c:pt idx="9">
                  <c:v>84.624828548628514</c:v>
                </c:pt>
                <c:pt idx="10">
                  <c:v>89.198421857422545</c:v>
                </c:pt>
                <c:pt idx="11">
                  <c:v>106.71796034629701</c:v>
                </c:pt>
                <c:pt idx="12">
                  <c:v>116.2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EF-4B9B-9BE0-BDCECAEC0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9779472"/>
        <c:axId val="1699783312"/>
      </c:scatterChart>
      <c:valAx>
        <c:axId val="169977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83312"/>
        <c:crosses val="autoZero"/>
        <c:crossBetween val="midCat"/>
      </c:valAx>
      <c:valAx>
        <c:axId val="169978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77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114306</xdr:rowOff>
    </xdr:from>
    <xdr:to>
      <xdr:col>10</xdr:col>
      <xdr:colOff>533400</xdr:colOff>
      <xdr:row>15</xdr:row>
      <xdr:rowOff>140976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3A9A37-D0CE-D84A-E0DF-6DD885AEB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activeCell="N8" sqref="N8"/>
    </sheetView>
  </sheetViews>
  <sheetFormatPr defaultRowHeight="14.4" x14ac:dyDescent="0.3"/>
  <cols>
    <col min="1" max="1" width="17.109375" bestFit="1" customWidth="1"/>
    <col min="3" max="3" width="13.109375" bestFit="1" customWidth="1"/>
    <col min="4" max="4" width="21.44140625" bestFit="1" customWidth="1"/>
    <col min="5" max="5" width="13.33203125" bestFit="1" customWidth="1"/>
    <col min="8" max="8" width="19.109375" bestFit="1" customWidth="1"/>
    <col min="9" max="9" width="13.33203125" bestFit="1" customWidth="1"/>
    <col min="14" max="14" width="10.44140625" bestFit="1" customWidth="1"/>
    <col min="15" max="15" width="23.44140625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N2" t="s">
        <v>6</v>
      </c>
      <c r="O2" t="s">
        <v>7</v>
      </c>
    </row>
    <row r="3" spans="1:15" x14ac:dyDescent="0.3">
      <c r="B3">
        <v>1.64591666666666</v>
      </c>
      <c r="C3">
        <v>2.0841666666666598</v>
      </c>
      <c r="G3">
        <v>3.6201666666666599</v>
      </c>
      <c r="N3" t="s">
        <v>8</v>
      </c>
      <c r="O3">
        <v>36.421213214760087</v>
      </c>
    </row>
    <row r="4" spans="1:15" x14ac:dyDescent="0.3">
      <c r="A4" s="1" t="s">
        <v>9</v>
      </c>
      <c r="B4">
        <v>45.797662291196033</v>
      </c>
      <c r="C4">
        <v>700.7</v>
      </c>
      <c r="D4" s="1">
        <f t="shared" ref="D4:D15" si="0">C4/B4</f>
        <v>15.299907570494049</v>
      </c>
      <c r="E4" s="1">
        <f t="shared" ref="E4:E15" si="1">D4/$B$17</f>
        <v>11.746389744874589</v>
      </c>
      <c r="F4" s="1">
        <f>E4*$O$5</f>
        <v>120.44652497249859</v>
      </c>
      <c r="G4">
        <v>0</v>
      </c>
      <c r="H4" s="1">
        <f t="shared" ref="H4:H15" si="2">G4/B4</f>
        <v>0</v>
      </c>
      <c r="I4" s="1">
        <f t="shared" ref="I4:I15" si="3">H4/$B$18</f>
        <v>0</v>
      </c>
      <c r="J4" s="1">
        <f>I4*$O$5</f>
        <v>0</v>
      </c>
      <c r="K4" s="1">
        <f t="shared" ref="K4:K15" si="4">SUM(F4,J4)</f>
        <v>120.44652497249859</v>
      </c>
      <c r="L4">
        <v>45.797662291196147</v>
      </c>
      <c r="M4">
        <v>120.4465249724983</v>
      </c>
      <c r="N4" t="s">
        <v>10</v>
      </c>
      <c r="O4">
        <v>120.4465249724979</v>
      </c>
    </row>
    <row r="5" spans="1:15" x14ac:dyDescent="0.3">
      <c r="A5" s="1" t="s">
        <v>11</v>
      </c>
      <c r="B5">
        <v>135.97036387226001</v>
      </c>
      <c r="C5">
        <v>1929.4</v>
      </c>
      <c r="D5" s="1">
        <f t="shared" si="0"/>
        <v>14.189856855958791</v>
      </c>
      <c r="E5" s="1">
        <f t="shared" si="1"/>
        <v>10.894156601018635</v>
      </c>
      <c r="F5" s="1">
        <f>E5*$O$5</f>
        <v>111.70779563750213</v>
      </c>
      <c r="G5">
        <v>108.3</v>
      </c>
      <c r="H5" s="1">
        <f t="shared" si="2"/>
        <v>0.7964970962477127</v>
      </c>
      <c r="I5" s="1">
        <f t="shared" si="3"/>
        <v>0.85223314385588778</v>
      </c>
      <c r="J5" s="1">
        <f>I5*$O$5</f>
        <v>8.7387293349957798</v>
      </c>
      <c r="K5" s="1">
        <f t="shared" si="4"/>
        <v>120.44652497249791</v>
      </c>
      <c r="L5">
        <v>163.1</v>
      </c>
      <c r="M5">
        <v>100.41175859999871</v>
      </c>
      <c r="N5" t="s">
        <v>1</v>
      </c>
      <c r="O5">
        <v>10.25391865828853</v>
      </c>
    </row>
    <row r="6" spans="1:15" x14ac:dyDescent="0.3">
      <c r="A6" s="1" t="s">
        <v>12</v>
      </c>
      <c r="B6">
        <v>168.06901687888151</v>
      </c>
      <c r="C6">
        <v>2206.3000000000002</v>
      </c>
      <c r="D6" s="1">
        <f t="shared" si="0"/>
        <v>13.127345188137587</v>
      </c>
      <c r="E6" s="1">
        <f t="shared" si="1"/>
        <v>10.078421205154307</v>
      </c>
      <c r="F6" s="1">
        <f>E6*$O$5</f>
        <v>103.34331124162252</v>
      </c>
      <c r="G6">
        <v>262</v>
      </c>
      <c r="H6" s="1">
        <f t="shared" si="2"/>
        <v>1.5588833972225209</v>
      </c>
      <c r="I6" s="1">
        <f t="shared" si="3"/>
        <v>1.6679685397202235</v>
      </c>
      <c r="J6" s="1">
        <f>I6*$O$5</f>
        <v>17.103213730875474</v>
      </c>
      <c r="K6" s="1">
        <f t="shared" si="4"/>
        <v>120.446524972498</v>
      </c>
      <c r="L6">
        <v>192.4</v>
      </c>
      <c r="M6">
        <v>105.2148078929594</v>
      </c>
      <c r="O6">
        <v>0</v>
      </c>
    </row>
    <row r="7" spans="1:15" x14ac:dyDescent="0.3">
      <c r="A7" s="1" t="s">
        <v>13</v>
      </c>
      <c r="B7">
        <v>88.339701385039888</v>
      </c>
      <c r="C7">
        <v>1050</v>
      </c>
      <c r="D7" s="1">
        <f t="shared" si="0"/>
        <v>11.885935582048672</v>
      </c>
      <c r="E7" s="1">
        <f t="shared" si="1"/>
        <v>9.1253382535766612</v>
      </c>
      <c r="F7" s="1">
        <f>E7*$O$5</f>
        <v>93.570476181543796</v>
      </c>
      <c r="G7">
        <v>216.4</v>
      </c>
      <c r="H7" s="1">
        <f t="shared" si="2"/>
        <v>2.4496347237669838</v>
      </c>
      <c r="I7" s="1">
        <f t="shared" si="3"/>
        <v>2.6210514912978642</v>
      </c>
      <c r="J7" s="1">
        <f>I7*$O$5</f>
        <v>26.876048790954147</v>
      </c>
      <c r="K7" s="1">
        <f t="shared" si="4"/>
        <v>120.44652497249794</v>
      </c>
      <c r="L7">
        <v>111.6</v>
      </c>
      <c r="M7">
        <v>95.34238395104137</v>
      </c>
    </row>
    <row r="8" spans="1:15" x14ac:dyDescent="0.3">
      <c r="A8" s="2" t="s">
        <v>14</v>
      </c>
      <c r="B8">
        <v>128.59177595861121</v>
      </c>
      <c r="C8">
        <v>1338.3</v>
      </c>
      <c r="D8" s="1">
        <f t="shared" si="0"/>
        <v>10.407352958798452</v>
      </c>
      <c r="E8" s="1">
        <f t="shared" si="1"/>
        <v>7.9901674897878365</v>
      </c>
      <c r="F8" s="2">
        <f>E8*$O$12</f>
        <v>81.227579818486234</v>
      </c>
      <c r="G8">
        <v>447.3</v>
      </c>
      <c r="H8" s="1">
        <f t="shared" si="2"/>
        <v>3.4784495094302827</v>
      </c>
      <c r="I8" s="1">
        <f t="shared" si="3"/>
        <v>3.7218590941903305</v>
      </c>
      <c r="J8" s="2">
        <f>I8*$O$5</f>
        <v>38.163640409439076</v>
      </c>
      <c r="K8" s="2">
        <f t="shared" si="4"/>
        <v>119.39122022792532</v>
      </c>
      <c r="L8">
        <v>149.4</v>
      </c>
      <c r="M8">
        <v>102.7625772622127</v>
      </c>
    </row>
    <row r="9" spans="1:15" x14ac:dyDescent="0.3">
      <c r="A9" s="2" t="s">
        <v>15</v>
      </c>
      <c r="B9">
        <v>120.92622324642051</v>
      </c>
      <c r="C9">
        <v>1106.5</v>
      </c>
      <c r="D9" s="1">
        <f t="shared" si="0"/>
        <v>9.1502072114267659</v>
      </c>
      <c r="E9" s="1">
        <f t="shared" si="1"/>
        <v>7.0250032332914403</v>
      </c>
      <c r="F9" s="2">
        <f>E9*$O$12</f>
        <v>71.415775900394323</v>
      </c>
      <c r="G9">
        <v>533.6</v>
      </c>
      <c r="H9" s="1">
        <f t="shared" si="2"/>
        <v>4.4126078337255512</v>
      </c>
      <c r="I9" s="1">
        <f t="shared" si="3"/>
        <v>4.7213865115830851</v>
      </c>
      <c r="J9" s="2">
        <f>I9*$O$12</f>
        <v>47.997341759568371</v>
      </c>
      <c r="K9" s="2">
        <f t="shared" si="4"/>
        <v>119.41311765996269</v>
      </c>
      <c r="L9">
        <v>142</v>
      </c>
      <c r="M9">
        <v>101.6913896105614</v>
      </c>
    </row>
    <row r="10" spans="1:15" x14ac:dyDescent="0.3">
      <c r="A10" s="2" t="s">
        <v>16</v>
      </c>
      <c r="B10">
        <v>349.42970096260501</v>
      </c>
      <c r="C10">
        <v>1980.4</v>
      </c>
      <c r="D10" s="1">
        <f t="shared" si="0"/>
        <v>5.6675205185604325</v>
      </c>
      <c r="E10" s="1">
        <f t="shared" si="1"/>
        <v>4.3511965409824285</v>
      </c>
      <c r="F10" s="2">
        <f>E10*$O$12</f>
        <v>44.234011964116696</v>
      </c>
      <c r="G10">
        <v>2415.1</v>
      </c>
      <c r="H10" s="1">
        <f t="shared" si="2"/>
        <v>6.9115475683575536</v>
      </c>
      <c r="I10" s="1">
        <f t="shared" si="3"/>
        <v>7.3951932038920969</v>
      </c>
      <c r="J10" s="2">
        <f>I10*$O$12</f>
        <v>75.17910569584599</v>
      </c>
      <c r="K10" s="2">
        <f t="shared" si="4"/>
        <v>119.41311765996269</v>
      </c>
      <c r="L10">
        <v>360.6</v>
      </c>
      <c r="M10">
        <v>115.71405988611509</v>
      </c>
      <c r="N10" t="s">
        <v>8</v>
      </c>
      <c r="O10">
        <v>108.6092196553942</v>
      </c>
    </row>
    <row r="11" spans="1:15" x14ac:dyDescent="0.3">
      <c r="A11" s="7" t="s">
        <v>17</v>
      </c>
      <c r="B11">
        <v>139.541379789388</v>
      </c>
      <c r="C11">
        <v>751.5</v>
      </c>
      <c r="D11" s="1">
        <f t="shared" si="0"/>
        <v>5.3854992772341133</v>
      </c>
      <c r="E11" s="1">
        <f t="shared" si="1"/>
        <v>4.1346768396908402</v>
      </c>
      <c r="F11" s="7">
        <f>E11*$O$12</f>
        <v>42.032885224105854</v>
      </c>
      <c r="G11">
        <v>976.1</v>
      </c>
      <c r="H11" s="1">
        <f t="shared" si="2"/>
        <v>6.9950576773229782</v>
      </c>
      <c r="I11" s="1">
        <f t="shared" si="3"/>
        <v>7.4845470547003838</v>
      </c>
      <c r="J11" s="7">
        <f>I11*$O$12</f>
        <v>76.087471766756977</v>
      </c>
      <c r="K11" s="7">
        <f t="shared" si="4"/>
        <v>118.12035699086283</v>
      </c>
      <c r="L11">
        <v>156.4</v>
      </c>
      <c r="M11">
        <v>105.38796416700821</v>
      </c>
      <c r="N11" t="s">
        <v>10</v>
      </c>
      <c r="O11">
        <v>119.41311765996269</v>
      </c>
    </row>
    <row r="12" spans="1:15" x14ac:dyDescent="0.3">
      <c r="A12" s="7" t="s">
        <v>18</v>
      </c>
      <c r="B12">
        <v>124.45717948510359</v>
      </c>
      <c r="C12">
        <v>615.6</v>
      </c>
      <c r="D12" s="1">
        <f t="shared" si="0"/>
        <v>4.9462795360365837</v>
      </c>
      <c r="E12" s="1">
        <f t="shared" si="1"/>
        <v>3.7974691644171177</v>
      </c>
      <c r="F12" s="7">
        <f>E12*$O$20</f>
        <v>38.212626148182373</v>
      </c>
      <c r="G12">
        <v>924.6</v>
      </c>
      <c r="H12" s="1">
        <f t="shared" si="2"/>
        <v>7.4290611744954926</v>
      </c>
      <c r="I12" s="1">
        <f t="shared" si="3"/>
        <v>7.9489205804574068</v>
      </c>
      <c r="J12" s="7">
        <f>I12*$O$20</f>
        <v>79.987253950285819</v>
      </c>
      <c r="K12" s="7">
        <f t="shared" si="4"/>
        <v>118.19988009846818</v>
      </c>
      <c r="L12">
        <v>143</v>
      </c>
      <c r="M12">
        <v>102.8728929547747</v>
      </c>
      <c r="N12" t="s">
        <v>1</v>
      </c>
      <c r="O12">
        <v>10.16594206846133</v>
      </c>
    </row>
    <row r="13" spans="1:15" x14ac:dyDescent="0.3">
      <c r="A13" s="7" t="s">
        <v>19</v>
      </c>
      <c r="B13">
        <v>82.673963329780975</v>
      </c>
      <c r="C13">
        <v>359.3</v>
      </c>
      <c r="D13" s="1">
        <f t="shared" si="0"/>
        <v>4.3459873644472085</v>
      </c>
      <c r="E13" s="1">
        <f t="shared" si="1"/>
        <v>3.3365993339428255</v>
      </c>
      <c r="F13" s="7">
        <f>E13*$O$20</f>
        <v>33.575051549839721</v>
      </c>
      <c r="G13">
        <v>649.79999999999995</v>
      </c>
      <c r="H13" s="1">
        <f t="shared" si="2"/>
        <v>7.8597901180567664</v>
      </c>
      <c r="I13" s="1">
        <f t="shared" si="3"/>
        <v>8.4097904109317003</v>
      </c>
      <c r="J13" s="7">
        <f>I13*$O$20</f>
        <v>84.624828548628486</v>
      </c>
      <c r="K13" s="7">
        <f t="shared" si="4"/>
        <v>118.19988009846821</v>
      </c>
      <c r="L13">
        <v>103.3</v>
      </c>
      <c r="M13">
        <v>94.598766242451802</v>
      </c>
      <c r="N13" t="s">
        <v>20</v>
      </c>
      <c r="O13">
        <v>0</v>
      </c>
    </row>
    <row r="14" spans="1:15" x14ac:dyDescent="0.3">
      <c r="A14" s="3" t="s">
        <v>21</v>
      </c>
      <c r="B14">
        <v>152.2829784060774</v>
      </c>
      <c r="C14">
        <v>529.5</v>
      </c>
      <c r="D14" s="1">
        <f t="shared" si="0"/>
        <v>3.4770793528087993</v>
      </c>
      <c r="E14" s="1">
        <f t="shared" si="1"/>
        <v>2.6695016988674261</v>
      </c>
      <c r="F14" s="3">
        <f>E14*$O$20</f>
        <v>26.862277481169809</v>
      </c>
      <c r="G14">
        <v>1261.5999999999999</v>
      </c>
      <c r="H14" s="1">
        <f t="shared" si="2"/>
        <v>8.2845766034061956</v>
      </c>
      <c r="I14" s="1">
        <f t="shared" si="3"/>
        <v>8.8643019510017069</v>
      </c>
      <c r="J14" s="3">
        <f>I14*$O$20</f>
        <v>89.198421857422517</v>
      </c>
      <c r="K14" s="3">
        <f t="shared" si="4"/>
        <v>116.06069933859233</v>
      </c>
      <c r="L14">
        <v>167.1</v>
      </c>
      <c r="M14">
        <v>105.7694133523226</v>
      </c>
    </row>
    <row r="15" spans="1:15" x14ac:dyDescent="0.3">
      <c r="A15" s="3" t="s">
        <v>22</v>
      </c>
      <c r="B15">
        <v>177.26500176715129</v>
      </c>
      <c r="C15">
        <v>221.1</v>
      </c>
      <c r="D15" s="1">
        <f t="shared" si="0"/>
        <v>1.2472851256359601</v>
      </c>
      <c r="E15" s="1">
        <f t="shared" si="1"/>
        <v>0.95759383781896645</v>
      </c>
      <c r="F15" s="3">
        <f>E15*$O$28</f>
        <v>9.472091426383539</v>
      </c>
      <c r="G15">
        <v>1787.4</v>
      </c>
      <c r="H15" s="1">
        <f t="shared" si="2"/>
        <v>10.083208654734126</v>
      </c>
      <c r="I15" s="1">
        <f t="shared" si="3"/>
        <v>10.78879590705556</v>
      </c>
      <c r="J15" s="3">
        <f>I15*$O$28</f>
        <v>106.71796034629696</v>
      </c>
      <c r="K15" s="3">
        <f t="shared" si="4"/>
        <v>116.1900517726805</v>
      </c>
      <c r="L15">
        <v>190.8</v>
      </c>
      <c r="M15">
        <v>107.947744930868</v>
      </c>
    </row>
    <row r="17" spans="1:15" x14ac:dyDescent="0.3">
      <c r="A17" t="s">
        <v>23</v>
      </c>
      <c r="B17">
        <v>1.3025199999999999</v>
      </c>
    </row>
    <row r="18" spans="1:15" x14ac:dyDescent="0.3">
      <c r="A18" t="s">
        <v>24</v>
      </c>
      <c r="B18">
        <v>0.93459999999999999</v>
      </c>
      <c r="N18" t="s">
        <v>8</v>
      </c>
      <c r="O18">
        <v>107.5057497235083</v>
      </c>
    </row>
    <row r="19" spans="1:15" x14ac:dyDescent="0.3">
      <c r="N19" t="s">
        <v>10</v>
      </c>
      <c r="O19">
        <v>118.1998800984683</v>
      </c>
    </row>
    <row r="20" spans="1:15" x14ac:dyDescent="0.3">
      <c r="N20" t="s">
        <v>1</v>
      </c>
      <c r="O20">
        <v>10.06265607269196</v>
      </c>
    </row>
    <row r="21" spans="1:15" x14ac:dyDescent="0.3">
      <c r="N21" t="s">
        <v>20</v>
      </c>
      <c r="O21">
        <v>115.5159129031989</v>
      </c>
    </row>
    <row r="26" spans="1:15" x14ac:dyDescent="0.3">
      <c r="N26" t="s">
        <v>8</v>
      </c>
      <c r="O26">
        <v>249.36084158691611</v>
      </c>
    </row>
    <row r="27" spans="1:15" x14ac:dyDescent="0.3">
      <c r="N27" t="s">
        <v>10</v>
      </c>
      <c r="O27">
        <v>116.1900517726805</v>
      </c>
    </row>
    <row r="28" spans="1:15" x14ac:dyDescent="0.3">
      <c r="N28" t="s">
        <v>1</v>
      </c>
      <c r="O28">
        <v>9.8915542814658775</v>
      </c>
    </row>
    <row r="29" spans="1:15" x14ac:dyDescent="0.3">
      <c r="N29" t="s">
        <v>20</v>
      </c>
      <c r="O29">
        <v>113.5517217920178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P13" sqref="P13"/>
    </sheetView>
  </sheetViews>
  <sheetFormatPr defaultRowHeight="14.4" x14ac:dyDescent="0.3"/>
  <sheetData>
    <row r="1" spans="1:8" x14ac:dyDescent="0.3">
      <c r="A1" s="4" t="s">
        <v>25</v>
      </c>
      <c r="B1" s="5">
        <v>0.45121527777777781</v>
      </c>
      <c r="C1" s="6">
        <f>(B1-$B$1)*86400/60</f>
        <v>0</v>
      </c>
      <c r="E1" t="s">
        <v>26</v>
      </c>
      <c r="F1" s="6">
        <f>C1</f>
        <v>0</v>
      </c>
      <c r="G1" t="s">
        <v>27</v>
      </c>
      <c r="H1" s="6">
        <f>C1</f>
        <v>0</v>
      </c>
    </row>
    <row r="2" spans="1:8" x14ac:dyDescent="0.3">
      <c r="A2" s="4" t="s">
        <v>28</v>
      </c>
      <c r="B2" s="5">
        <v>0.54046296296296292</v>
      </c>
      <c r="C2" s="6">
        <f>(B2-$B$1)*86400/60</f>
        <v>128.51666666666657</v>
      </c>
      <c r="E2" t="s">
        <v>29</v>
      </c>
      <c r="F2" s="6">
        <f>C2</f>
        <v>128.51666666666657</v>
      </c>
      <c r="G2" t="s">
        <v>30</v>
      </c>
      <c r="H2" s="6">
        <f>C6</f>
        <v>9.9999999999998845</v>
      </c>
    </row>
    <row r="3" spans="1:8" x14ac:dyDescent="0.3">
      <c r="A3" s="4" t="s">
        <v>31</v>
      </c>
      <c r="B3" s="5">
        <v>0.58429398148148148</v>
      </c>
      <c r="C3" s="6">
        <f>(B3-$B$1)*86400/60</f>
        <v>191.63333333333327</v>
      </c>
      <c r="E3" t="s">
        <v>32</v>
      </c>
      <c r="F3" s="6">
        <f>C3</f>
        <v>191.63333333333327</v>
      </c>
      <c r="G3" t="s">
        <v>33</v>
      </c>
      <c r="H3" s="6">
        <f>C7</f>
        <v>26.283333333333257</v>
      </c>
    </row>
    <row r="4" spans="1:8" x14ac:dyDescent="0.3">
      <c r="A4" s="4" t="s">
        <v>34</v>
      </c>
      <c r="B4" s="5">
        <v>0.6317476851851852</v>
      </c>
      <c r="C4" s="6">
        <f>(B4-$B$1)*86400/60</f>
        <v>259.96666666666664</v>
      </c>
      <c r="E4" t="s">
        <v>35</v>
      </c>
      <c r="F4" s="6">
        <f>C4</f>
        <v>259.96666666666664</v>
      </c>
      <c r="G4" t="s">
        <v>36</v>
      </c>
      <c r="H4" s="6">
        <f>C8</f>
        <v>63.399999999999842</v>
      </c>
    </row>
    <row r="5" spans="1:8" x14ac:dyDescent="0.3">
      <c r="A5" s="4" t="s">
        <v>37</v>
      </c>
      <c r="B5" s="5">
        <v>0.38074074074074082</v>
      </c>
      <c r="C5" s="6"/>
      <c r="G5" t="s">
        <v>38</v>
      </c>
      <c r="H5" s="6">
        <f>C10</f>
        <v>131.26666666666668</v>
      </c>
    </row>
    <row r="6" spans="1:8" x14ac:dyDescent="0.3">
      <c r="A6" s="4" t="s">
        <v>39</v>
      </c>
      <c r="B6" s="5">
        <v>0.45815972222222218</v>
      </c>
      <c r="C6" s="6">
        <f>(B6-$B$1)*86400/60</f>
        <v>9.9999999999998845</v>
      </c>
      <c r="G6" t="s">
        <v>40</v>
      </c>
      <c r="H6" s="6">
        <f>C11</f>
        <v>139.21666666666664</v>
      </c>
    </row>
    <row r="7" spans="1:8" x14ac:dyDescent="0.3">
      <c r="A7" s="4" t="s">
        <v>33</v>
      </c>
      <c r="B7" s="5">
        <v>0.46946759259259258</v>
      </c>
      <c r="C7" s="6">
        <f>(B7-$B$1)*86400/60</f>
        <v>26.283333333333257</v>
      </c>
      <c r="G7" t="s">
        <v>41</v>
      </c>
      <c r="H7" s="6">
        <f>C12</f>
        <v>190.54999999999987</v>
      </c>
    </row>
    <row r="8" spans="1:8" x14ac:dyDescent="0.3">
      <c r="A8" s="4" t="s">
        <v>42</v>
      </c>
      <c r="B8" s="5">
        <v>0.49524305555555548</v>
      </c>
      <c r="C8" s="6">
        <f>(B8-$B$1)*86400/60</f>
        <v>63.399999999999842</v>
      </c>
      <c r="G8" t="s">
        <v>43</v>
      </c>
      <c r="H8" s="6">
        <f>C14</f>
        <v>193.64999999999992</v>
      </c>
    </row>
    <row r="9" spans="1:8" x14ac:dyDescent="0.3">
      <c r="C9" s="6"/>
      <c r="G9" t="s">
        <v>44</v>
      </c>
      <c r="H9" s="6">
        <f>C15</f>
        <v>210.86666666666665</v>
      </c>
    </row>
    <row r="10" spans="1:8" x14ac:dyDescent="0.3">
      <c r="A10" s="4" t="s">
        <v>45</v>
      </c>
      <c r="B10" s="5">
        <v>0.54237268518518522</v>
      </c>
      <c r="C10" s="6">
        <f>(B10-$B$1)*86400/60</f>
        <v>131.26666666666668</v>
      </c>
      <c r="G10" t="s">
        <v>46</v>
      </c>
      <c r="H10" s="6">
        <f>C16</f>
        <v>238.54999999999987</v>
      </c>
    </row>
    <row r="11" spans="1:8" x14ac:dyDescent="0.3">
      <c r="A11" s="4" t="s">
        <v>47</v>
      </c>
      <c r="B11" s="5">
        <v>0.54789351851851853</v>
      </c>
      <c r="C11" s="6">
        <f>(B11-$B$1)*86400/60</f>
        <v>139.21666666666664</v>
      </c>
      <c r="G11" t="s">
        <v>48</v>
      </c>
      <c r="H11" s="6">
        <f>C18</f>
        <v>262.21666666666664</v>
      </c>
    </row>
    <row r="12" spans="1:8" x14ac:dyDescent="0.3">
      <c r="A12" s="4" t="s">
        <v>49</v>
      </c>
      <c r="B12" s="5">
        <v>0.58354166666666663</v>
      </c>
      <c r="C12" s="6">
        <f>(B12-$B$1)*86400/60</f>
        <v>190.54999999999987</v>
      </c>
      <c r="G12" t="s">
        <v>50</v>
      </c>
      <c r="H12" s="6">
        <f>C19</f>
        <v>265.74999999999994</v>
      </c>
    </row>
    <row r="13" spans="1:8" x14ac:dyDescent="0.3">
      <c r="C13" s="6"/>
      <c r="G13" t="s">
        <v>51</v>
      </c>
      <c r="H13" s="6">
        <f>C20</f>
        <v>289.08333333333331</v>
      </c>
    </row>
    <row r="14" spans="1:8" x14ac:dyDescent="0.3">
      <c r="A14" s="4" t="s">
        <v>52</v>
      </c>
      <c r="B14" s="5">
        <v>0.58569444444444441</v>
      </c>
      <c r="C14" s="6">
        <f>(B14-$B$1)*86400/60</f>
        <v>193.64999999999992</v>
      </c>
    </row>
    <row r="15" spans="1:8" x14ac:dyDescent="0.3">
      <c r="A15" s="4" t="s">
        <v>53</v>
      </c>
      <c r="B15" s="5">
        <v>0.59765046296296298</v>
      </c>
      <c r="C15" s="6">
        <f>(B15-$B$1)*86400/60</f>
        <v>210.86666666666665</v>
      </c>
    </row>
    <row r="16" spans="1:8" x14ac:dyDescent="0.3">
      <c r="A16" s="4" t="s">
        <v>54</v>
      </c>
      <c r="B16" s="5">
        <v>0.61687499999999995</v>
      </c>
      <c r="C16" s="6">
        <f>(B16-$B$1)*86400/60</f>
        <v>238.54999999999987</v>
      </c>
    </row>
    <row r="17" spans="1:3" x14ac:dyDescent="0.3">
      <c r="C17" s="6"/>
    </row>
    <row r="18" spans="1:3" x14ac:dyDescent="0.3">
      <c r="A18" s="4" t="s">
        <v>55</v>
      </c>
      <c r="B18" s="5">
        <v>0.63331018518518523</v>
      </c>
      <c r="C18" s="6">
        <f>(B18-$B$1)*86400/60</f>
        <v>262.21666666666664</v>
      </c>
    </row>
    <row r="19" spans="1:3" x14ac:dyDescent="0.3">
      <c r="A19" s="4" t="s">
        <v>56</v>
      </c>
      <c r="B19" s="5">
        <v>0.63576388888888891</v>
      </c>
      <c r="C19" s="6">
        <f>(B19-$B$1)*86400/60</f>
        <v>265.74999999999994</v>
      </c>
    </row>
    <row r="20" spans="1:3" x14ac:dyDescent="0.3">
      <c r="A20" s="4" t="s">
        <v>57</v>
      </c>
      <c r="B20" s="5">
        <v>0.65196759259259263</v>
      </c>
      <c r="C20" s="6">
        <f>(B20-$B$1)*86400/60</f>
        <v>289.08333333333331</v>
      </c>
    </row>
    <row r="21" spans="1:3" x14ac:dyDescent="0.3">
      <c r="A2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5"/>
  <sheetViews>
    <sheetView tabSelected="1" workbookViewId="0">
      <selection activeCell="B10" sqref="A2:C15"/>
    </sheetView>
  </sheetViews>
  <sheetFormatPr defaultColWidth="8.88671875" defaultRowHeight="14.4" x14ac:dyDescent="0.3"/>
  <sheetData>
    <row r="2" spans="1:3" x14ac:dyDescent="0.3">
      <c r="A2" t="s">
        <v>58</v>
      </c>
      <c r="B2" t="s">
        <v>59</v>
      </c>
      <c r="C2" t="s">
        <v>60</v>
      </c>
    </row>
    <row r="3" spans="1:3" x14ac:dyDescent="0.3">
      <c r="A3">
        <v>0</v>
      </c>
      <c r="B3">
        <v>120.44652497249859</v>
      </c>
      <c r="C3">
        <v>0</v>
      </c>
    </row>
    <row r="4" spans="1:3" x14ac:dyDescent="0.3">
      <c r="A4">
        <v>10.000000000000041</v>
      </c>
      <c r="B4">
        <v>111.7077956375021</v>
      </c>
      <c r="C4">
        <v>8.7387293349957798</v>
      </c>
    </row>
    <row r="5" spans="1:3" x14ac:dyDescent="0.3">
      <c r="A5">
        <v>26.283333333333339</v>
      </c>
      <c r="B5">
        <v>103.3433112416225</v>
      </c>
      <c r="C5">
        <v>17.103213730875471</v>
      </c>
    </row>
    <row r="6" spans="1:3" x14ac:dyDescent="0.3">
      <c r="A6">
        <v>63.4</v>
      </c>
      <c r="B6">
        <v>93.570476181543782</v>
      </c>
      <c r="C6">
        <v>26.87604879095414</v>
      </c>
    </row>
    <row r="7" spans="1:3" x14ac:dyDescent="0.3">
      <c r="A7">
        <v>131.26666666666671</v>
      </c>
      <c r="B7">
        <v>81.227579818486205</v>
      </c>
      <c r="C7">
        <v>38.163640409439068</v>
      </c>
    </row>
    <row r="8" spans="1:3" x14ac:dyDescent="0.3">
      <c r="A8">
        <v>139.2166666666667</v>
      </c>
      <c r="B8">
        <v>71.415775900394308</v>
      </c>
      <c r="C8">
        <v>47.997341759568357</v>
      </c>
    </row>
    <row r="9" spans="1:3" x14ac:dyDescent="0.3">
      <c r="A9">
        <v>190.55</v>
      </c>
      <c r="B9">
        <v>44.234011964116704</v>
      </c>
      <c r="C9">
        <v>75.179105695846005</v>
      </c>
    </row>
    <row r="10" spans="1:3" x14ac:dyDescent="0.3">
      <c r="A10">
        <v>193.65</v>
      </c>
      <c r="B10">
        <v>42.032885224105847</v>
      </c>
      <c r="C10">
        <v>76.087471766756977</v>
      </c>
    </row>
    <row r="11" spans="1:3" x14ac:dyDescent="0.3">
      <c r="A11">
        <v>210.8666666666667</v>
      </c>
      <c r="B11">
        <v>38.212626148182387</v>
      </c>
      <c r="C11">
        <v>79.987253950285861</v>
      </c>
    </row>
    <row r="12" spans="1:3" x14ac:dyDescent="0.3">
      <c r="A12">
        <v>238.55</v>
      </c>
      <c r="B12">
        <v>33.575051549839728</v>
      </c>
      <c r="C12">
        <v>84.624828548628514</v>
      </c>
    </row>
    <row r="13" spans="1:3" x14ac:dyDescent="0.3">
      <c r="A13">
        <v>262.21666666666681</v>
      </c>
      <c r="B13">
        <v>26.862277481169819</v>
      </c>
      <c r="C13">
        <v>89.198421857422545</v>
      </c>
    </row>
    <row r="14" spans="1:3" x14ac:dyDescent="0.3">
      <c r="A14">
        <v>289.08333333333343</v>
      </c>
      <c r="B14">
        <v>9.472091426383539</v>
      </c>
      <c r="C14">
        <v>106.71796034629701</v>
      </c>
    </row>
    <row r="15" spans="1:3" x14ac:dyDescent="0.3">
      <c r="A15">
        <v>613</v>
      </c>
      <c r="B15">
        <v>0</v>
      </c>
      <c r="C15">
        <v>116.2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C2_E5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2025-02-08T16:14:06Z</dcterms:created>
  <dcterms:modified xsi:type="dcterms:W3CDTF">2026-01-12T10:58:02Z</dcterms:modified>
</cp:coreProperties>
</file>
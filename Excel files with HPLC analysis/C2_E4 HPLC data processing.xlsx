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23" documentId="8_{0E8C5624-C9C5-490C-8A59-857CB428ED18}" xr6:coauthVersionLast="47" xr6:coauthVersionMax="47" xr10:uidLastSave="{AEC7DFF6-2CD2-4DBE-A478-6FB0BA028292}"/>
  <bookViews>
    <workbookView xWindow="31455" yWindow="2655" windowWidth="17280" windowHeight="8880" firstSheet="1" activeTab="2" xr2:uid="{B21915EF-DD0F-4977-AB48-291B692FF39E}"/>
  </bookViews>
  <sheets>
    <sheet name="DD266_reint_254 CTE BPA" sheetId="6" r:id="rId1"/>
    <sheet name="Sample and addition times" sheetId="2" r:id="rId2"/>
    <sheet name="Concentration vs time HPLC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6" l="1"/>
  <c r="N27" i="6"/>
  <c r="N19" i="6"/>
  <c r="N11" i="6"/>
  <c r="B19" i="6"/>
  <c r="H19" i="6" s="1"/>
  <c r="I19" i="6" s="1"/>
  <c r="J19" i="6" s="1"/>
  <c r="B18" i="6"/>
  <c r="H18" i="6" s="1"/>
  <c r="I18" i="6" s="1"/>
  <c r="J18" i="6" s="1"/>
  <c r="B17" i="6"/>
  <c r="B16" i="6"/>
  <c r="H16" i="6" s="1"/>
  <c r="I16" i="6" s="1"/>
  <c r="J16" i="6" s="1"/>
  <c r="B15" i="6"/>
  <c r="H15" i="6" s="1"/>
  <c r="I15" i="6" s="1"/>
  <c r="J15" i="6" s="1"/>
  <c r="B14" i="6"/>
  <c r="B13" i="6"/>
  <c r="B12" i="6"/>
  <c r="D12" i="6" s="1"/>
  <c r="E12" i="6" s="1"/>
  <c r="F12" i="6" s="1"/>
  <c r="B11" i="6"/>
  <c r="H11" i="6" s="1"/>
  <c r="I11" i="6" s="1"/>
  <c r="J11" i="6" s="1"/>
  <c r="B10" i="6"/>
  <c r="H10" i="6" s="1"/>
  <c r="I10" i="6" s="1"/>
  <c r="J10" i="6" s="1"/>
  <c r="B9" i="6"/>
  <c r="D9" i="6" s="1"/>
  <c r="E9" i="6" s="1"/>
  <c r="F9" i="6" s="1"/>
  <c r="B8" i="6"/>
  <c r="H8" i="6" s="1"/>
  <c r="I8" i="6" s="1"/>
  <c r="J8" i="6" s="1"/>
  <c r="B7" i="6"/>
  <c r="H7" i="6" s="1"/>
  <c r="I7" i="6" s="1"/>
  <c r="J7" i="6" s="1"/>
  <c r="B6" i="6"/>
  <c r="H6" i="6" s="1"/>
  <c r="I6" i="6" s="1"/>
  <c r="J6" i="6" s="1"/>
  <c r="B5" i="6"/>
  <c r="D5" i="6" s="1"/>
  <c r="E5" i="6" s="1"/>
  <c r="F5" i="6" s="1"/>
  <c r="D4" i="6"/>
  <c r="E4" i="6" s="1"/>
  <c r="F4" i="6" s="1"/>
  <c r="H17" i="6"/>
  <c r="I17" i="6" s="1"/>
  <c r="J17" i="6" s="1"/>
  <c r="H14" i="6"/>
  <c r="I14" i="6" s="1"/>
  <c r="J14" i="6" s="1"/>
  <c r="D13" i="6"/>
  <c r="E13" i="6" s="1"/>
  <c r="F13" i="6" s="1"/>
  <c r="D8" i="6" l="1"/>
  <c r="E8" i="6" s="1"/>
  <c r="F8" i="6" s="1"/>
  <c r="K8" i="6" s="1"/>
  <c r="D18" i="6"/>
  <c r="E18" i="6" s="1"/>
  <c r="F18" i="6" s="1"/>
  <c r="K18" i="6" s="1"/>
  <c r="D7" i="6"/>
  <c r="E7" i="6" s="1"/>
  <c r="F7" i="6" s="1"/>
  <c r="K7" i="6" s="1"/>
  <c r="D11" i="6"/>
  <c r="E11" i="6" s="1"/>
  <c r="F11" i="6" s="1"/>
  <c r="K11" i="6" s="1"/>
  <c r="D15" i="6"/>
  <c r="E15" i="6" s="1"/>
  <c r="F15" i="6" s="1"/>
  <c r="K15" i="6" s="1"/>
  <c r="D17" i="6"/>
  <c r="E17" i="6" s="1"/>
  <c r="F17" i="6" s="1"/>
  <c r="K17" i="6" s="1"/>
  <c r="D19" i="6"/>
  <c r="E19" i="6" s="1"/>
  <c r="F19" i="6" s="1"/>
  <c r="K19" i="6" s="1"/>
  <c r="H5" i="6"/>
  <c r="I5" i="6" s="1"/>
  <c r="J5" i="6" s="1"/>
  <c r="K5" i="6" s="1"/>
  <c r="H9" i="6"/>
  <c r="I9" i="6" s="1"/>
  <c r="J9" i="6" s="1"/>
  <c r="K9" i="6" s="1"/>
  <c r="H13" i="6"/>
  <c r="I13" i="6" s="1"/>
  <c r="J13" i="6" s="1"/>
  <c r="K13" i="6" s="1"/>
  <c r="D14" i="6"/>
  <c r="E14" i="6" s="1"/>
  <c r="F14" i="6" s="1"/>
  <c r="K14" i="6" s="1"/>
  <c r="H4" i="6"/>
  <c r="I4" i="6" s="1"/>
  <c r="J4" i="6" s="1"/>
  <c r="K4" i="6" s="1"/>
  <c r="D10" i="6"/>
  <c r="E10" i="6" s="1"/>
  <c r="F10" i="6" s="1"/>
  <c r="K10" i="6" s="1"/>
  <c r="H12" i="6"/>
  <c r="I12" i="6" s="1"/>
  <c r="J12" i="6" s="1"/>
  <c r="K12" i="6" s="1"/>
  <c r="D6" i="6"/>
  <c r="E6" i="6" s="1"/>
  <c r="F6" i="6" s="1"/>
  <c r="K6" i="6" s="1"/>
  <c r="D16" i="6"/>
  <c r="E16" i="6" s="1"/>
  <c r="F16" i="6" s="1"/>
  <c r="K16" i="6" s="1"/>
  <c r="C24" i="2"/>
  <c r="H16" i="2" s="1"/>
  <c r="C23" i="2"/>
  <c r="H15" i="2" s="1"/>
  <c r="C22" i="2"/>
  <c r="H14" i="2" s="1"/>
  <c r="C21" i="2"/>
  <c r="H13" i="2" s="1"/>
  <c r="C20" i="2"/>
  <c r="H12" i="2" s="1"/>
  <c r="C18" i="2"/>
  <c r="H11" i="2" s="1"/>
  <c r="C17" i="2"/>
  <c r="H10" i="2" s="1"/>
  <c r="C16" i="2"/>
  <c r="H9" i="2" s="1"/>
  <c r="C14" i="2"/>
  <c r="H8" i="2" s="1"/>
  <c r="C13" i="2"/>
  <c r="C12" i="2"/>
  <c r="C10" i="2"/>
  <c r="C9" i="2"/>
  <c r="H4" i="2" s="1"/>
  <c r="C8" i="2"/>
  <c r="H3" i="2" s="1"/>
  <c r="H7" i="2"/>
  <c r="C7" i="2"/>
  <c r="H2" i="2" s="1"/>
  <c r="H6" i="2"/>
  <c r="H5" i="2"/>
  <c r="C5" i="2"/>
  <c r="C4" i="2"/>
  <c r="F4" i="2" s="1"/>
  <c r="C3" i="2"/>
  <c r="F3" i="2" s="1"/>
  <c r="C2" i="2"/>
  <c r="F2" i="2" s="1"/>
  <c r="C1" i="2"/>
  <c r="H1" i="2" s="1"/>
  <c r="F1" i="2" l="1"/>
</calcChain>
</file>

<file path=xl/sharedStrings.xml><?xml version="1.0" encoding="utf-8"?>
<sst xmlns="http://schemas.openxmlformats.org/spreadsheetml/2006/main" count="103" uniqueCount="73">
  <si>
    <t>filename</t>
  </si>
  <si>
    <t>Biphenyl</t>
  </si>
  <si>
    <t>4-COOEt-ArOPh</t>
  </si>
  <si>
    <t>Ratio of integral with IS</t>
  </si>
  <si>
    <t>concentrations</t>
  </si>
  <si>
    <t>Product</t>
  </si>
  <si>
    <t>nan</t>
  </si>
  <si>
    <t>V1:</t>
  </si>
  <si>
    <t>V1</t>
  </si>
  <si>
    <t>S0</t>
  </si>
  <si>
    <t>V2:</t>
  </si>
  <si>
    <t>V2</t>
  </si>
  <si>
    <t>S1</t>
  </si>
  <si>
    <t>Phenol:</t>
  </si>
  <si>
    <t>V3</t>
  </si>
  <si>
    <t>S2</t>
  </si>
  <si>
    <t>V3:</t>
  </si>
  <si>
    <t>V4</t>
  </si>
  <si>
    <t>S3</t>
  </si>
  <si>
    <t>Start:</t>
  </si>
  <si>
    <t>S4</t>
  </si>
  <si>
    <t>S5</t>
  </si>
  <si>
    <t>S1:</t>
  </si>
  <si>
    <t>S6</t>
  </si>
  <si>
    <t>S7</t>
  </si>
  <si>
    <t>S3:</t>
  </si>
  <si>
    <t>S8</t>
  </si>
  <si>
    <t>S4:</t>
  </si>
  <si>
    <t>S9</t>
  </si>
  <si>
    <t>S10</t>
  </si>
  <si>
    <t>S5:</t>
  </si>
  <si>
    <t>S11</t>
  </si>
  <si>
    <t>S6:</t>
  </si>
  <si>
    <t>S12</t>
  </si>
  <si>
    <t>S7:</t>
  </si>
  <si>
    <t>S13</t>
  </si>
  <si>
    <t>S14</t>
  </si>
  <si>
    <t>S8:</t>
  </si>
  <si>
    <t>S15</t>
  </si>
  <si>
    <t>S9: </t>
  </si>
  <si>
    <t>S10:</t>
  </si>
  <si>
    <t>S11:</t>
  </si>
  <si>
    <t>S12:</t>
  </si>
  <si>
    <t>S13:</t>
  </si>
  <si>
    <t>S14:</t>
  </si>
  <si>
    <t>S15:</t>
  </si>
  <si>
    <t>T</t>
  </si>
  <si>
    <t>A</t>
  </si>
  <si>
    <t>P</t>
  </si>
  <si>
    <t>Compound</t>
  </si>
  <si>
    <t>Initial concentration / mM</t>
  </si>
  <si>
    <t>4-Me-piperidine</t>
  </si>
  <si>
    <t>Ar-COOEt-Oph</t>
  </si>
  <si>
    <t>SUM</t>
  </si>
  <si>
    <t>Phenol</t>
  </si>
  <si>
    <t>CC 4-COOEt-ArOPh</t>
  </si>
  <si>
    <t>CC Product</t>
  </si>
  <si>
    <t>C1_E4-S0</t>
  </si>
  <si>
    <t>C1_E4-S1</t>
  </si>
  <si>
    <t>C1_E4-S2</t>
  </si>
  <si>
    <t>C1_E4-S3</t>
  </si>
  <si>
    <t>C1_E4-S4</t>
  </si>
  <si>
    <t>C1_E4-S5</t>
  </si>
  <si>
    <t>C1_E4-S6</t>
  </si>
  <si>
    <t>C1_E4-S7</t>
  </si>
  <si>
    <t>C1_E4-S8</t>
  </si>
  <si>
    <t>C1_E4-S9</t>
  </si>
  <si>
    <t>C1_E4-S10</t>
  </si>
  <si>
    <t>C1_E4-S11</t>
  </si>
  <si>
    <t>C1_E4-S12</t>
  </si>
  <si>
    <t>C1_E4-S13</t>
  </si>
  <si>
    <t>C1_E4-S14</t>
  </si>
  <si>
    <t>C1_E4-S15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</si>
</sst>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7"/>
      <color rgb="FF000000"/>
      <name val="Courier New"/>
      <family val="3"/>
    </font>
    <font>
      <sz val="8"/>
      <color rgb="FF333333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left" vertical="center"/>
    </xf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19" fillId="0" borderId="0" xfId="0" applyFont="1" applyAlignment="1">
      <alignment vertical="center" wrapText="1"/>
    </xf>
    <xf numFmtId="2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HPLC concentration vs time data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'Concentration vs time HPLC'!$C$1</c:f>
              <c:strCache>
                <c:ptCount val="1"/>
                <c:pt idx="0">
                  <c:v>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HPLC'!$B$2:$B$17</c:f>
              <c:numCache>
                <c:formatCode>0.00</c:formatCode>
                <c:ptCount val="16"/>
                <c:pt idx="0">
                  <c:v>0</c:v>
                </c:pt>
                <c:pt idx="1">
                  <c:v>16.349999999999998</c:v>
                </c:pt>
                <c:pt idx="2">
                  <c:v>44.433333333333294</c:v>
                </c:pt>
                <c:pt idx="3">
                  <c:v>84.450000000000017</c:v>
                </c:pt>
                <c:pt idx="4">
                  <c:v>154.06666666666663</c:v>
                </c:pt>
                <c:pt idx="5">
                  <c:v>161.74999999999994</c:v>
                </c:pt>
                <c:pt idx="6">
                  <c:v>168.73333333333329</c:v>
                </c:pt>
                <c:pt idx="7">
                  <c:v>181.56666666666661</c:v>
                </c:pt>
                <c:pt idx="8">
                  <c:v>192.96666666666664</c:v>
                </c:pt>
                <c:pt idx="9">
                  <c:v>206.40000000000006</c:v>
                </c:pt>
                <c:pt idx="10">
                  <c:v>277.58333333333337</c:v>
                </c:pt>
                <c:pt idx="11">
                  <c:v>283.00000000000006</c:v>
                </c:pt>
                <c:pt idx="12">
                  <c:v>302.21666666666658</c:v>
                </c:pt>
                <c:pt idx="13">
                  <c:v>396.73333333333329</c:v>
                </c:pt>
                <c:pt idx="14">
                  <c:v>499.21666666666675</c:v>
                </c:pt>
                <c:pt idx="15">
                  <c:v>612.43333333333328</c:v>
                </c:pt>
              </c:numCache>
            </c:numRef>
          </c:xVal>
          <c:yVal>
            <c:numRef>
              <c:f>'Concentration vs time HPLC'!$C$2:$C$17</c:f>
              <c:numCache>
                <c:formatCode>General</c:formatCode>
                <c:ptCount val="16"/>
                <c:pt idx="0">
                  <c:v>118.09546074965618</c:v>
                </c:pt>
                <c:pt idx="1">
                  <c:v>113.63388840452768</c:v>
                </c:pt>
                <c:pt idx="2">
                  <c:v>107.56221056201453</c:v>
                </c:pt>
                <c:pt idx="3">
                  <c:v>101.98373002846635</c:v>
                </c:pt>
                <c:pt idx="4">
                  <c:v>96.041095209283867</c:v>
                </c:pt>
                <c:pt idx="5">
                  <c:v>90.205663484433074</c:v>
                </c:pt>
                <c:pt idx="6">
                  <c:v>87.502899774305419</c:v>
                </c:pt>
                <c:pt idx="7">
                  <c:v>80.591120724259994</c:v>
                </c:pt>
                <c:pt idx="8">
                  <c:v>76.203469407361425</c:v>
                </c:pt>
                <c:pt idx="9">
                  <c:v>71.585364677104124</c:v>
                </c:pt>
                <c:pt idx="10">
                  <c:v>54.528300983783417</c:v>
                </c:pt>
                <c:pt idx="11">
                  <c:v>50.927967850904736</c:v>
                </c:pt>
                <c:pt idx="12">
                  <c:v>38.122238753933459</c:v>
                </c:pt>
                <c:pt idx="13">
                  <c:v>14.804208529119677</c:v>
                </c:pt>
                <c:pt idx="14">
                  <c:v>4.7967059403948875</c:v>
                </c:pt>
                <c:pt idx="15">
                  <c:v>1.2554208806407059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02-4F0B-876C-AF4EDA901350}"/>
            </c:ext>
          </c:extLst>
        </c:ser>
        <c:ser>
          <c:idx val="1"/>
          <c:order val="1"/>
          <c:tx>
            <c:strRef>
              <c:f>'Concentration vs time HPLC'!$D$1</c:f>
              <c:strCache>
                <c:ptCount val="1"/>
                <c:pt idx="0">
                  <c:v>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HPLC'!$B$2:$B$17</c:f>
              <c:numCache>
                <c:formatCode>0.00</c:formatCode>
                <c:ptCount val="16"/>
                <c:pt idx="0">
                  <c:v>0</c:v>
                </c:pt>
                <c:pt idx="1">
                  <c:v>16.349999999999998</c:v>
                </c:pt>
                <c:pt idx="2">
                  <c:v>44.433333333333294</c:v>
                </c:pt>
                <c:pt idx="3">
                  <c:v>84.450000000000017</c:v>
                </c:pt>
                <c:pt idx="4">
                  <c:v>154.06666666666663</c:v>
                </c:pt>
                <c:pt idx="5">
                  <c:v>161.74999999999994</c:v>
                </c:pt>
                <c:pt idx="6">
                  <c:v>168.73333333333329</c:v>
                </c:pt>
                <c:pt idx="7">
                  <c:v>181.56666666666661</c:v>
                </c:pt>
                <c:pt idx="8">
                  <c:v>192.96666666666664</c:v>
                </c:pt>
                <c:pt idx="9">
                  <c:v>206.40000000000006</c:v>
                </c:pt>
                <c:pt idx="10">
                  <c:v>277.58333333333337</c:v>
                </c:pt>
                <c:pt idx="11">
                  <c:v>283.00000000000006</c:v>
                </c:pt>
                <c:pt idx="12">
                  <c:v>302.21666666666658</c:v>
                </c:pt>
                <c:pt idx="13">
                  <c:v>396.73333333333329</c:v>
                </c:pt>
                <c:pt idx="14">
                  <c:v>499.21666666666675</c:v>
                </c:pt>
                <c:pt idx="15">
                  <c:v>612.43333333333328</c:v>
                </c:pt>
              </c:numCache>
            </c:numRef>
          </c:xVal>
          <c:yVal>
            <c:numRef>
              <c:f>'Concentration vs time HPLC'!$D$2:$D$17</c:f>
              <c:numCache>
                <c:formatCode>General</c:formatCode>
                <c:ptCount val="16"/>
                <c:pt idx="0">
                  <c:v>0</c:v>
                </c:pt>
                <c:pt idx="1">
                  <c:v>4.4615723451284914</c:v>
                </c:pt>
                <c:pt idx="2">
                  <c:v>10.533250187641659</c:v>
                </c:pt>
                <c:pt idx="3">
                  <c:v>16.111730721189801</c:v>
                </c:pt>
                <c:pt idx="4">
                  <c:v>22.054365540372309</c:v>
                </c:pt>
                <c:pt idx="5">
                  <c:v>26.871000714445358</c:v>
                </c:pt>
                <c:pt idx="6">
                  <c:v>29.57376442457301</c:v>
                </c:pt>
                <c:pt idx="7">
                  <c:v>36.485543474618432</c:v>
                </c:pt>
                <c:pt idx="8">
                  <c:v>39.37574559112312</c:v>
                </c:pt>
                <c:pt idx="9">
                  <c:v>43.993850321380407</c:v>
                </c:pt>
                <c:pt idx="10">
                  <c:v>61.0509140147011</c:v>
                </c:pt>
                <c:pt idx="11">
                  <c:v>62.694486454933809</c:v>
                </c:pt>
                <c:pt idx="12">
                  <c:v>75.500215551905086</c:v>
                </c:pt>
                <c:pt idx="13">
                  <c:v>98.818245776718854</c:v>
                </c:pt>
                <c:pt idx="14">
                  <c:v>108.82574836544364</c:v>
                </c:pt>
                <c:pt idx="15">
                  <c:v>112.36703342519785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02-4F0B-876C-AF4EDA901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12208"/>
        <c:axId val="170909808"/>
      </c:scatterChart>
      <c:valAx>
        <c:axId val="170912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Time / minutes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09808"/>
        <c:crosses val="autoZero"/>
        <c:crossBetween val="midCat"/>
      </c:valAx>
      <c:valAx>
        <c:axId val="17090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Concentration / mM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12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255270</xdr:colOff>
      <xdr:row>0</xdr:row>
      <xdr:rowOff>167640</xdr:rowOff>
    </xdr:from>
    <xdr:to>
      <xdr:col>11</xdr:col>
      <xdr:colOff>560070</xdr:colOff>
      <xdr:row>15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0C4D5F-E819-D970-BDFC-32D53AA47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E1654-52D0-4DD4-BD33-D84586F149A2}">
  <dimension ref="A1:O29"/>
  <sheetViews>
    <sheetView topLeftCell="A16" workbookViewId="0">
      <selection activeCell="A4" sqref="A4:A19"/>
    </sheetView>
  </sheetViews>
  <sheetFormatPr defaultRowHeight="14.4" x14ac:dyDescent="0.3"/>
  <cols>
    <col min="1" max="1" width="17.109375" bestFit="1" customWidth="1"/>
    <col min="2" max="2" width="8.6640625" bestFit="1" customWidth="1"/>
    <col min="15" max="15" width="23.44140625" bestFit="1" customWidth="1"/>
  </cols>
  <sheetData>
    <row r="1" spans="1:15" x14ac:dyDescent="0.3">
      <c r="A1">
        <v>0</v>
      </c>
      <c r="B1">
        <v>1</v>
      </c>
      <c r="C1">
        <v>2</v>
      </c>
      <c r="D1">
        <v>3</v>
      </c>
      <c r="E1">
        <v>4</v>
      </c>
      <c r="G1">
        <v>5</v>
      </c>
      <c r="H1">
        <v>6</v>
      </c>
      <c r="I1">
        <v>7</v>
      </c>
    </row>
    <row r="2" spans="1:1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5</v>
      </c>
      <c r="H2" t="s">
        <v>3</v>
      </c>
      <c r="I2" t="s">
        <v>4</v>
      </c>
      <c r="N2" t="s">
        <v>49</v>
      </c>
      <c r="O2" t="s">
        <v>50</v>
      </c>
    </row>
    <row r="3" spans="1:15" x14ac:dyDescent="0.3">
      <c r="B3">
        <v>7.4863749999999998</v>
      </c>
      <c r="C3" t="s">
        <v>6</v>
      </c>
      <c r="G3">
        <v>8.9209999999999994</v>
      </c>
      <c r="N3" t="s">
        <v>51</v>
      </c>
      <c r="O3">
        <v>35.885544437441382</v>
      </c>
    </row>
    <row r="4" spans="1:15" x14ac:dyDescent="0.3">
      <c r="A4" t="s">
        <v>57</v>
      </c>
      <c r="B4">
        <f>L4/$O$4*M4</f>
        <v>344.99217734944614</v>
      </c>
      <c r="C4">
        <v>2830.7</v>
      </c>
      <c r="D4">
        <f>C4/B4</f>
        <v>8.2051135818443637</v>
      </c>
      <c r="E4">
        <f>D4/$B$21</f>
        <v>8.2604586548317371</v>
      </c>
      <c r="F4" s="4">
        <f>E4*$O$5</f>
        <v>118.09546074965618</v>
      </c>
      <c r="G4">
        <v>0</v>
      </c>
      <c r="H4">
        <f t="shared" ref="H4:H19" si="0">G4/B4</f>
        <v>0</v>
      </c>
      <c r="I4">
        <f>H4/$B$22</f>
        <v>0</v>
      </c>
      <c r="J4" s="4">
        <f>I4*$O$5</f>
        <v>0</v>
      </c>
      <c r="K4">
        <f>SUM(F4,J4)</f>
        <v>118.09546074965618</v>
      </c>
      <c r="L4">
        <v>356.5</v>
      </c>
      <c r="M4">
        <v>114.28333839862535</v>
      </c>
      <c r="N4" t="s">
        <v>52</v>
      </c>
      <c r="O4">
        <v>118.09546074965617</v>
      </c>
    </row>
    <row r="5" spans="1:15" x14ac:dyDescent="0.3">
      <c r="A5" t="s">
        <v>58</v>
      </c>
      <c r="B5">
        <f>L5/$O$4*M5</f>
        <v>427.03542500064555</v>
      </c>
      <c r="C5">
        <v>3371.5</v>
      </c>
      <c r="D5">
        <f t="shared" ref="D5:D19" si="1">C5/B5</f>
        <v>7.8951295433977249</v>
      </c>
      <c r="E5">
        <f t="shared" ref="E5:E19" si="2">D5/$B$21</f>
        <v>7.9483837142834242</v>
      </c>
      <c r="F5" s="4">
        <f>E5*$O$5</f>
        <v>113.63388840452768</v>
      </c>
      <c r="G5">
        <v>56.3</v>
      </c>
      <c r="H5">
        <f t="shared" si="0"/>
        <v>0.1318391793840403</v>
      </c>
      <c r="I5">
        <f t="shared" ref="I5:I19" si="3">H5/$B$22</f>
        <v>0.31207494054831297</v>
      </c>
      <c r="J5" s="4">
        <f>I5*$O$5</f>
        <v>4.4615723451284914</v>
      </c>
      <c r="K5">
        <f>SUM(F5,J5)</f>
        <v>118.09546074965617</v>
      </c>
      <c r="L5">
        <v>436.3</v>
      </c>
      <c r="M5">
        <v>115.58777279825</v>
      </c>
      <c r="N5" t="s">
        <v>1</v>
      </c>
      <c r="O5">
        <v>14.296477433559861</v>
      </c>
    </row>
    <row r="6" spans="1:15" x14ac:dyDescent="0.3">
      <c r="A6" t="s">
        <v>59</v>
      </c>
      <c r="B6">
        <f>L6/$O$4*M6</f>
        <v>321.27804515718583</v>
      </c>
      <c r="C6">
        <v>2401</v>
      </c>
      <c r="D6">
        <f t="shared" si="1"/>
        <v>7.4732775432112293</v>
      </c>
      <c r="E6">
        <f t="shared" si="2"/>
        <v>7.5236862410261045</v>
      </c>
      <c r="F6" s="4">
        <f>E6*$O$5</f>
        <v>107.56221056201453</v>
      </c>
      <c r="G6" s="1">
        <v>100</v>
      </c>
      <c r="H6">
        <f t="shared" si="0"/>
        <v>0.31125687393632773</v>
      </c>
      <c r="I6">
        <f t="shared" si="3"/>
        <v>0.73677241380563296</v>
      </c>
      <c r="J6" s="4">
        <f>I6*$O$5</f>
        <v>10.533250187641659</v>
      </c>
      <c r="K6">
        <f t="shared" ref="K6:K15" si="4">SUM(F6,J6)</f>
        <v>118.09546074965618</v>
      </c>
      <c r="L6">
        <v>353.3</v>
      </c>
      <c r="M6">
        <v>107.39167498326266</v>
      </c>
      <c r="N6" t="s">
        <v>53</v>
      </c>
    </row>
    <row r="7" spans="1:15" x14ac:dyDescent="0.3">
      <c r="A7" t="s">
        <v>60</v>
      </c>
      <c r="B7">
        <f>L7/$O$4*M7</f>
        <v>422.80978394813758</v>
      </c>
      <c r="C7">
        <v>2995.9</v>
      </c>
      <c r="D7">
        <f t="shared" si="1"/>
        <v>7.0856922278966969</v>
      </c>
      <c r="E7">
        <f t="shared" si="2"/>
        <v>7.1334865880365417</v>
      </c>
      <c r="F7" s="4">
        <f>E7*$O$5</f>
        <v>101.98373002846635</v>
      </c>
      <c r="G7" s="1">
        <v>201.3</v>
      </c>
      <c r="H7">
        <f t="shared" si="0"/>
        <v>0.47610061933829739</v>
      </c>
      <c r="I7">
        <f t="shared" si="3"/>
        <v>1.1269720667951935</v>
      </c>
      <c r="J7" s="4">
        <f>I7*$O$5</f>
        <v>16.111730721189801</v>
      </c>
      <c r="K7">
        <f t="shared" si="4"/>
        <v>118.09546074965616</v>
      </c>
      <c r="L7">
        <v>469.1</v>
      </c>
      <c r="M7">
        <v>106.4419446702577</v>
      </c>
    </row>
    <row r="8" spans="1:15" x14ac:dyDescent="0.3">
      <c r="A8" t="s">
        <v>61</v>
      </c>
      <c r="B8">
        <f>L8/$O$4*M8</f>
        <v>819.23557048558496</v>
      </c>
      <c r="C8">
        <v>5466.6</v>
      </c>
      <c r="D8">
        <f t="shared" si="1"/>
        <v>6.6728059631978454</v>
      </c>
      <c r="E8">
        <f t="shared" si="2"/>
        <v>6.7178153258812499</v>
      </c>
      <c r="F8" s="4">
        <f>E8*$O$5</f>
        <v>96.041095209283867</v>
      </c>
      <c r="G8" s="1">
        <v>533.9</v>
      </c>
      <c r="H8">
        <f t="shared" si="0"/>
        <v>0.65170510074842303</v>
      </c>
      <c r="I8">
        <f t="shared" si="3"/>
        <v>1.5426433289504877</v>
      </c>
      <c r="J8" s="4">
        <f>I8*$O$5</f>
        <v>22.054365540372309</v>
      </c>
      <c r="K8">
        <f t="shared" si="4"/>
        <v>118.09546074965618</v>
      </c>
      <c r="L8">
        <v>860.3</v>
      </c>
      <c r="M8">
        <v>112.45844723817574</v>
      </c>
    </row>
    <row r="9" spans="1:15" x14ac:dyDescent="0.3">
      <c r="A9" t="s">
        <v>62</v>
      </c>
      <c r="B9">
        <f>L9/$O$11*M9</f>
        <v>673.57846185763015</v>
      </c>
      <c r="C9" s="1">
        <v>4258.3</v>
      </c>
      <c r="D9">
        <f t="shared" si="1"/>
        <v>6.3219064164495942</v>
      </c>
      <c r="E9">
        <f t="shared" si="2"/>
        <v>6.3645488940396602</v>
      </c>
      <c r="F9" s="2">
        <f>E9*$O$12</f>
        <v>90.205663484433074</v>
      </c>
      <c r="G9" s="1">
        <v>539.5</v>
      </c>
      <c r="H9">
        <f t="shared" si="0"/>
        <v>0.80094603754422089</v>
      </c>
      <c r="I9">
        <f t="shared" si="3"/>
        <v>1.8959097607920772</v>
      </c>
      <c r="J9" s="2">
        <f>I9*$O$12</f>
        <v>26.871000714445358</v>
      </c>
      <c r="K9">
        <f t="shared" si="4"/>
        <v>117.07666419887843</v>
      </c>
      <c r="L9" s="1">
        <v>757.8</v>
      </c>
      <c r="M9">
        <v>104.0648184092146</v>
      </c>
    </row>
    <row r="10" spans="1:15" x14ac:dyDescent="0.3">
      <c r="A10" t="s">
        <v>63</v>
      </c>
      <c r="B10">
        <f>L10/$O$11*M10</f>
        <v>127.99184520194531</v>
      </c>
      <c r="C10">
        <v>784.908447265625</v>
      </c>
      <c r="D10">
        <f t="shared" si="1"/>
        <v>6.1324879411434203</v>
      </c>
      <c r="E10">
        <f t="shared" si="2"/>
        <v>6.1738527545992357</v>
      </c>
      <c r="F10" s="2">
        <f>E10*$O$12</f>
        <v>87.502899774305419</v>
      </c>
      <c r="G10">
        <v>112.825775146485</v>
      </c>
      <c r="H10">
        <f t="shared" si="0"/>
        <v>0.88150752861222281</v>
      </c>
      <c r="I10">
        <f t="shared" si="3"/>
        <v>2.0866059002325019</v>
      </c>
      <c r="J10" s="2">
        <f>I10*$O$12</f>
        <v>29.57376442457301</v>
      </c>
      <c r="K10">
        <f t="shared" si="4"/>
        <v>117.07666419887843</v>
      </c>
      <c r="L10">
        <v>141.11839294433599</v>
      </c>
      <c r="M10">
        <v>106.18642948133447</v>
      </c>
      <c r="N10" t="s">
        <v>51</v>
      </c>
      <c r="O10">
        <v>108.47435876958943</v>
      </c>
    </row>
    <row r="11" spans="1:15" x14ac:dyDescent="0.3">
      <c r="A11" t="s">
        <v>64</v>
      </c>
      <c r="B11">
        <f>L11/$O$11*M11</f>
        <v>167.26014257547121</v>
      </c>
      <c r="C11">
        <v>944.7</v>
      </c>
      <c r="D11">
        <f t="shared" si="1"/>
        <v>5.6480879751356907</v>
      </c>
      <c r="E11">
        <f t="shared" si="2"/>
        <v>5.6861854174324886</v>
      </c>
      <c r="F11" s="2">
        <f>E11*$O$12</f>
        <v>80.591120724259994</v>
      </c>
      <c r="G11">
        <v>181.9</v>
      </c>
      <c r="H11">
        <f t="shared" si="0"/>
        <v>1.0875274718716863</v>
      </c>
      <c r="I11">
        <f t="shared" si="3"/>
        <v>2.5742732373992481</v>
      </c>
      <c r="J11" s="2">
        <f>I11*$O$12</f>
        <v>36.485543474618432</v>
      </c>
      <c r="K11">
        <f t="shared" si="4"/>
        <v>117.07666419887843</v>
      </c>
      <c r="L11">
        <v>204.1</v>
      </c>
      <c r="M11">
        <v>95.944436776898442</v>
      </c>
      <c r="N11" t="str">
        <f>$A$4</f>
        <v>C1_E4-S0</v>
      </c>
      <c r="O11">
        <v>117.07666419887843</v>
      </c>
    </row>
    <row r="12" spans="1:15" x14ac:dyDescent="0.3">
      <c r="A12" t="s">
        <v>65</v>
      </c>
      <c r="B12">
        <f>L12/$O$19*M12</f>
        <v>204.81424510883284</v>
      </c>
      <c r="C12">
        <v>1108</v>
      </c>
      <c r="D12">
        <f t="shared" si="1"/>
        <v>5.4097799662871999</v>
      </c>
      <c r="E12">
        <f t="shared" si="2"/>
        <v>5.4462699751205079</v>
      </c>
      <c r="F12" s="3">
        <f>E12*$O$20</f>
        <v>76.203469407361425</v>
      </c>
      <c r="G12">
        <v>243.5</v>
      </c>
      <c r="H12">
        <f t="shared" si="0"/>
        <v>1.1888821496308062</v>
      </c>
      <c r="I12">
        <f t="shared" si="3"/>
        <v>2.8141886797112301</v>
      </c>
      <c r="J12" s="3">
        <f>I12*$O$20</f>
        <v>39.37574559112312</v>
      </c>
      <c r="K12">
        <f>SUM(F12,J12)</f>
        <v>115.57921499848455</v>
      </c>
      <c r="L12">
        <v>213.8</v>
      </c>
      <c r="M12">
        <v>110.72156066504256</v>
      </c>
      <c r="N12" t="s">
        <v>1</v>
      </c>
      <c r="O12">
        <v>14.173143295184648</v>
      </c>
    </row>
    <row r="13" spans="1:15" x14ac:dyDescent="0.3">
      <c r="A13" t="s">
        <v>66</v>
      </c>
      <c r="B13">
        <f>L13/$O$19*M13</f>
        <v>53.601631000322286</v>
      </c>
      <c r="C13">
        <v>272.39999999999998</v>
      </c>
      <c r="D13">
        <f t="shared" si="1"/>
        <v>5.0819349134798184</v>
      </c>
      <c r="E13">
        <f t="shared" si="2"/>
        <v>5.1162135442261336</v>
      </c>
      <c r="F13" s="3">
        <f>E13*$O$20</f>
        <v>71.585364677104124</v>
      </c>
      <c r="G13">
        <v>71.2</v>
      </c>
      <c r="H13">
        <f t="shared" si="0"/>
        <v>1.3283177894264431</v>
      </c>
      <c r="I13">
        <f t="shared" si="3"/>
        <v>3.1442451106056031</v>
      </c>
      <c r="J13" s="3">
        <f>I13*$O$20</f>
        <v>43.993850321380407</v>
      </c>
      <c r="K13">
        <f t="shared" si="4"/>
        <v>115.57921499848453</v>
      </c>
      <c r="L13">
        <v>58.2</v>
      </c>
      <c r="M13">
        <v>106.44732703875744</v>
      </c>
      <c r="N13" t="s">
        <v>54</v>
      </c>
      <c r="O13">
        <v>0</v>
      </c>
    </row>
    <row r="14" spans="1:15" x14ac:dyDescent="0.3">
      <c r="A14" t="s">
        <v>67</v>
      </c>
      <c r="B14">
        <f>L14/$O$19*M14</f>
        <v>274.13874390367954</v>
      </c>
      <c r="C14">
        <v>1061.2</v>
      </c>
      <c r="D14">
        <f t="shared" si="1"/>
        <v>3.8710325468364286</v>
      </c>
      <c r="E14">
        <f t="shared" si="2"/>
        <v>3.8971434076678029</v>
      </c>
      <c r="F14" s="3">
        <f>E14*$O$20</f>
        <v>54.528300983783417</v>
      </c>
      <c r="G14">
        <v>505.32711791992199</v>
      </c>
      <c r="H14">
        <f t="shared" si="0"/>
        <v>1.843326159316875</v>
      </c>
      <c r="I14">
        <f t="shared" si="3"/>
        <v>4.3633152471639329</v>
      </c>
      <c r="J14" s="3">
        <f>I14*$O$20</f>
        <v>61.0509140147011</v>
      </c>
      <c r="K14">
        <f t="shared" si="4"/>
        <v>115.57921499848452</v>
      </c>
      <c r="L14">
        <v>317.7</v>
      </c>
      <c r="M14">
        <v>99.731636201000526</v>
      </c>
      <c r="N14" t="s">
        <v>53</v>
      </c>
    </row>
    <row r="15" spans="1:15" x14ac:dyDescent="0.3">
      <c r="A15" t="s">
        <v>68</v>
      </c>
      <c r="B15">
        <f>L15/$O$27*M15</f>
        <v>1413.5177613868179</v>
      </c>
      <c r="C15">
        <v>5198.5</v>
      </c>
      <c r="D15">
        <f t="shared" si="1"/>
        <v>3.6777040529718525</v>
      </c>
      <c r="E15">
        <f t="shared" si="2"/>
        <v>3.7025108758399807</v>
      </c>
      <c r="F15" s="5">
        <f>E15*$O$28</f>
        <v>50.927967850904736</v>
      </c>
      <c r="G15">
        <v>2721.8</v>
      </c>
      <c r="H15">
        <f t="shared" si="0"/>
        <v>1.9255506187128573</v>
      </c>
      <c r="I15">
        <f t="shared" si="3"/>
        <v>4.557947778991756</v>
      </c>
      <c r="J15" s="5">
        <f>I15*$O$28</f>
        <v>62.694486454933809</v>
      </c>
      <c r="K15">
        <f t="shared" si="4"/>
        <v>113.62245430583854</v>
      </c>
      <c r="L15">
        <v>1396.9</v>
      </c>
      <c r="M15">
        <v>114.97412646121046</v>
      </c>
    </row>
    <row r="16" spans="1:15" x14ac:dyDescent="0.3">
      <c r="A16" t="s">
        <v>69</v>
      </c>
      <c r="B16">
        <f>L16/$O$27*M16</f>
        <v>326.88532467015017</v>
      </c>
      <c r="C16">
        <v>899.9</v>
      </c>
      <c r="D16">
        <f t="shared" si="1"/>
        <v>2.7529531982142701</v>
      </c>
      <c r="E16">
        <f t="shared" si="2"/>
        <v>2.7715223982827646</v>
      </c>
      <c r="F16" s="5">
        <f>E16*$O$28</f>
        <v>38.122238753933459</v>
      </c>
      <c r="G16">
        <v>758</v>
      </c>
      <c r="H16">
        <f t="shared" si="0"/>
        <v>2.3188560109416789</v>
      </c>
      <c r="I16">
        <f t="shared" si="3"/>
        <v>5.4889362565489721</v>
      </c>
      <c r="J16" s="5">
        <f>I16*$O$28</f>
        <v>75.500215551905086</v>
      </c>
      <c r="K16">
        <f>SUM(F16,J16)</f>
        <v>113.62245430583854</v>
      </c>
      <c r="L16">
        <v>315.7</v>
      </c>
      <c r="M16">
        <v>117.64812437625385</v>
      </c>
    </row>
    <row r="17" spans="1:15" x14ac:dyDescent="0.3">
      <c r="A17" t="s">
        <v>70</v>
      </c>
      <c r="B17">
        <f>L17/$O$27*M17</f>
        <v>191.66214015534973</v>
      </c>
      <c r="C17">
        <v>204.9</v>
      </c>
      <c r="D17">
        <f t="shared" si="1"/>
        <v>1.069068726008801</v>
      </c>
      <c r="E17">
        <f t="shared" si="2"/>
        <v>1.0762798006733123</v>
      </c>
      <c r="F17" s="5">
        <f>E17*$O$28</f>
        <v>14.804208529119677</v>
      </c>
      <c r="G17">
        <v>581.70000000000005</v>
      </c>
      <c r="H17">
        <f t="shared" si="0"/>
        <v>3.0350281987277676</v>
      </c>
      <c r="I17">
        <f t="shared" si="3"/>
        <v>7.1841788541584233</v>
      </c>
      <c r="J17" s="5">
        <f>I17*$O$28</f>
        <v>98.818245776718854</v>
      </c>
      <c r="K17">
        <f t="shared" ref="K17:K19" si="5">SUM(F17,J17)</f>
        <v>113.62245430583853</v>
      </c>
      <c r="L17">
        <v>211.3</v>
      </c>
      <c r="M17">
        <v>103.06257814463061</v>
      </c>
    </row>
    <row r="18" spans="1:15" x14ac:dyDescent="0.3">
      <c r="A18" t="s">
        <v>71</v>
      </c>
      <c r="B18">
        <f>L18/$O$27*M18</f>
        <v>425.53369764913083</v>
      </c>
      <c r="C18">
        <v>147.4</v>
      </c>
      <c r="D18">
        <f t="shared" si="1"/>
        <v>0.34638854881367603</v>
      </c>
      <c r="E18">
        <f t="shared" si="2"/>
        <v>0.34872500635626302</v>
      </c>
      <c r="F18" s="5">
        <f>E18*$O$28</f>
        <v>4.7967059403948875</v>
      </c>
      <c r="G18">
        <v>1422.3</v>
      </c>
      <c r="H18">
        <f t="shared" si="0"/>
        <v>3.3423909971349484</v>
      </c>
      <c r="I18">
        <f t="shared" si="3"/>
        <v>7.9117336484754732</v>
      </c>
      <c r="J18" s="5">
        <f>I18*$O$28</f>
        <v>108.82574836544364</v>
      </c>
      <c r="K18">
        <f t="shared" si="5"/>
        <v>113.62245430583853</v>
      </c>
      <c r="L18">
        <v>389.9</v>
      </c>
      <c r="M18">
        <v>124.00662507497533</v>
      </c>
      <c r="N18" t="s">
        <v>51</v>
      </c>
      <c r="O18">
        <v>107.08693589660054</v>
      </c>
    </row>
    <row r="19" spans="1:15" x14ac:dyDescent="0.3">
      <c r="A19" t="s">
        <v>72</v>
      </c>
      <c r="B19">
        <f>L19/$O$27*M19</f>
        <v>424.66938235713928</v>
      </c>
      <c r="C19">
        <v>38.5</v>
      </c>
      <c r="D19">
        <f t="shared" si="1"/>
        <v>9.0658760907849467E-2</v>
      </c>
      <c r="E19">
        <f t="shared" si="2"/>
        <v>9.1270271728429955E-2</v>
      </c>
      <c r="F19" s="5">
        <f>E19*$O$28</f>
        <v>1.2554208806407059</v>
      </c>
      <c r="G19">
        <v>1465.6</v>
      </c>
      <c r="H19">
        <f t="shared" si="0"/>
        <v>3.4511553243258231</v>
      </c>
      <c r="I19">
        <f t="shared" si="3"/>
        <v>8.1691883831033074</v>
      </c>
      <c r="J19" s="5">
        <f>I19*$O$28</f>
        <v>112.36703342519785</v>
      </c>
      <c r="K19">
        <f t="shared" si="5"/>
        <v>113.62245430583854</v>
      </c>
      <c r="L19">
        <v>390.3</v>
      </c>
      <c r="M19">
        <v>123.62792080953814</v>
      </c>
      <c r="N19" t="str">
        <f>$A$4</f>
        <v>C1_E4-S0</v>
      </c>
      <c r="O19">
        <v>115.57921499848453</v>
      </c>
    </row>
    <row r="20" spans="1:15" x14ac:dyDescent="0.3">
      <c r="N20" t="s">
        <v>1</v>
      </c>
      <c r="O20">
        <v>13.991864111671273</v>
      </c>
    </row>
    <row r="21" spans="1:15" x14ac:dyDescent="0.3">
      <c r="A21" t="s">
        <v>55</v>
      </c>
      <c r="B21">
        <v>0.99329999999999996</v>
      </c>
      <c r="N21" t="s">
        <v>54</v>
      </c>
      <c r="O21">
        <v>145.42188262775139</v>
      </c>
    </row>
    <row r="22" spans="1:15" x14ac:dyDescent="0.3">
      <c r="A22" t="s">
        <v>56</v>
      </c>
      <c r="B22">
        <v>0.42246</v>
      </c>
      <c r="N22" t="s">
        <v>53</v>
      </c>
    </row>
    <row r="26" spans="1:15" x14ac:dyDescent="0.3">
      <c r="N26" t="s">
        <v>51</v>
      </c>
      <c r="O26">
        <v>248.33508955302287</v>
      </c>
    </row>
    <row r="27" spans="1:15" x14ac:dyDescent="0.3">
      <c r="N27" t="str">
        <f>$A$4</f>
        <v>C1_E4-S0</v>
      </c>
      <c r="O27">
        <v>113.62245430583854</v>
      </c>
    </row>
    <row r="28" spans="1:15" x14ac:dyDescent="0.3">
      <c r="N28" t="s">
        <v>1</v>
      </c>
      <c r="O28">
        <v>13.754981297482567</v>
      </c>
    </row>
    <row r="29" spans="1:15" x14ac:dyDescent="0.3">
      <c r="N29" t="s">
        <v>54</v>
      </c>
      <c r="O29">
        <v>142.95988438887866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CD76-C3FF-4D6E-BE89-45AA5D6707D7}">
  <dimension ref="A1:H24"/>
  <sheetViews>
    <sheetView topLeftCell="A2" workbookViewId="0">
      <selection activeCell="G1" sqref="G1:H16"/>
    </sheetView>
  </sheetViews>
  <sheetFormatPr defaultRowHeight="14.4" x14ac:dyDescent="0.3"/>
  <sheetData>
    <row r="1" spans="1:8" x14ac:dyDescent="0.3">
      <c r="A1" s="6" t="s">
        <v>7</v>
      </c>
      <c r="B1" s="7">
        <v>0.43627314814814816</v>
      </c>
      <c r="C1" s="8">
        <f>(B1-$B$1)*86400/60</f>
        <v>0</v>
      </c>
      <c r="E1" t="s">
        <v>8</v>
      </c>
      <c r="F1" s="8">
        <f>C1</f>
        <v>0</v>
      </c>
      <c r="G1" t="s">
        <v>9</v>
      </c>
      <c r="H1" s="8">
        <f>C1</f>
        <v>0</v>
      </c>
    </row>
    <row r="2" spans="1:8" x14ac:dyDescent="0.3">
      <c r="A2" s="6" t="s">
        <v>10</v>
      </c>
      <c r="B2" s="7">
        <v>0.5451273148148148</v>
      </c>
      <c r="C2" s="8">
        <f t="shared" ref="C2:C24" si="0">(B2-$B$1)*86400/60</f>
        <v>156.74999999999997</v>
      </c>
      <c r="E2" t="s">
        <v>11</v>
      </c>
      <c r="F2" s="8">
        <f t="shared" ref="F2:F4" si="1">C2</f>
        <v>156.74999999999997</v>
      </c>
      <c r="G2" t="s">
        <v>12</v>
      </c>
      <c r="H2" s="8">
        <f>C7</f>
        <v>16.349999999999998</v>
      </c>
    </row>
    <row r="3" spans="1:8" x14ac:dyDescent="0.3">
      <c r="A3" s="6" t="s">
        <v>13</v>
      </c>
      <c r="B3" s="7">
        <v>0.56460648148148151</v>
      </c>
      <c r="C3" s="8">
        <f t="shared" si="0"/>
        <v>184.80000000000004</v>
      </c>
      <c r="E3" t="s">
        <v>14</v>
      </c>
      <c r="F3" s="8">
        <f t="shared" si="1"/>
        <v>184.80000000000004</v>
      </c>
      <c r="G3" t="s">
        <v>15</v>
      </c>
      <c r="H3" s="8">
        <f t="shared" ref="H3:H5" si="2">C8</f>
        <v>44.433333333333294</v>
      </c>
    </row>
    <row r="4" spans="1:8" x14ac:dyDescent="0.3">
      <c r="A4" s="6" t="s">
        <v>16</v>
      </c>
      <c r="B4" s="7">
        <v>0.63045138888888885</v>
      </c>
      <c r="C4" s="8">
        <f t="shared" si="0"/>
        <v>279.61666666666662</v>
      </c>
      <c r="E4" t="s">
        <v>17</v>
      </c>
      <c r="F4" s="8">
        <f t="shared" si="1"/>
        <v>279.61666666666662</v>
      </c>
      <c r="G4" t="s">
        <v>18</v>
      </c>
      <c r="H4" s="8">
        <f t="shared" si="2"/>
        <v>84.450000000000017</v>
      </c>
    </row>
    <row r="5" spans="1:8" x14ac:dyDescent="0.3">
      <c r="A5" s="6" t="s">
        <v>19</v>
      </c>
      <c r="B5" s="7">
        <v>0.42245370370370372</v>
      </c>
      <c r="C5" s="8">
        <f t="shared" si="0"/>
        <v>-19.899999999999991</v>
      </c>
      <c r="G5" t="s">
        <v>20</v>
      </c>
      <c r="H5" s="8">
        <f t="shared" si="2"/>
        <v>154.06666666666663</v>
      </c>
    </row>
    <row r="6" spans="1:8" x14ac:dyDescent="0.3">
      <c r="C6" s="8"/>
      <c r="G6" t="s">
        <v>21</v>
      </c>
      <c r="H6" s="8">
        <f>C12</f>
        <v>161.74999999999994</v>
      </c>
    </row>
    <row r="7" spans="1:8" x14ac:dyDescent="0.3">
      <c r="A7" s="6" t="s">
        <v>22</v>
      </c>
      <c r="B7" s="7">
        <v>0.44762731481481483</v>
      </c>
      <c r="C7" s="8">
        <f t="shared" si="0"/>
        <v>16.349999999999998</v>
      </c>
      <c r="G7" t="s">
        <v>23</v>
      </c>
      <c r="H7" s="8">
        <f t="shared" ref="H7:H8" si="3">C13</f>
        <v>168.73333333333329</v>
      </c>
    </row>
    <row r="8" spans="1:8" x14ac:dyDescent="0.3">
      <c r="A8" s="6" t="s">
        <v>15</v>
      </c>
      <c r="B8" s="7">
        <v>0.46712962962962962</v>
      </c>
      <c r="C8" s="8">
        <f t="shared" si="0"/>
        <v>44.433333333333294</v>
      </c>
      <c r="G8" t="s">
        <v>24</v>
      </c>
      <c r="H8" s="8">
        <f t="shared" si="3"/>
        <v>181.56666666666661</v>
      </c>
    </row>
    <row r="9" spans="1:8" x14ac:dyDescent="0.3">
      <c r="A9" s="6" t="s">
        <v>25</v>
      </c>
      <c r="B9" s="7">
        <v>0.4949189814814815</v>
      </c>
      <c r="C9" s="8">
        <f t="shared" si="0"/>
        <v>84.450000000000017</v>
      </c>
      <c r="G9" t="s">
        <v>26</v>
      </c>
      <c r="H9" s="8">
        <f>C16</f>
        <v>192.96666666666664</v>
      </c>
    </row>
    <row r="10" spans="1:8" x14ac:dyDescent="0.3">
      <c r="A10" s="6" t="s">
        <v>27</v>
      </c>
      <c r="B10" s="7">
        <v>0.54326388888888888</v>
      </c>
      <c r="C10" s="8">
        <f t="shared" si="0"/>
        <v>154.06666666666663</v>
      </c>
      <c r="G10" t="s">
        <v>28</v>
      </c>
      <c r="H10" s="8">
        <f t="shared" ref="H10:H11" si="4">C17</f>
        <v>206.40000000000006</v>
      </c>
    </row>
    <row r="11" spans="1:8" x14ac:dyDescent="0.3">
      <c r="C11" s="8"/>
      <c r="G11" t="s">
        <v>29</v>
      </c>
      <c r="H11" s="8">
        <f t="shared" si="4"/>
        <v>277.58333333333337</v>
      </c>
    </row>
    <row r="12" spans="1:8" x14ac:dyDescent="0.3">
      <c r="A12" s="6" t="s">
        <v>30</v>
      </c>
      <c r="B12" s="7">
        <v>0.54859953703703701</v>
      </c>
      <c r="C12" s="8">
        <f t="shared" si="0"/>
        <v>161.74999999999994</v>
      </c>
      <c r="G12" t="s">
        <v>31</v>
      </c>
      <c r="H12" s="8">
        <f>C20</f>
        <v>283.00000000000006</v>
      </c>
    </row>
    <row r="13" spans="1:8" x14ac:dyDescent="0.3">
      <c r="A13" s="6" t="s">
        <v>32</v>
      </c>
      <c r="B13" s="7">
        <v>0.55344907407407407</v>
      </c>
      <c r="C13" s="8">
        <f t="shared" si="0"/>
        <v>168.73333333333329</v>
      </c>
      <c r="G13" t="s">
        <v>33</v>
      </c>
      <c r="H13" s="8">
        <f t="shared" ref="H13:H16" si="5">C21</f>
        <v>302.21666666666658</v>
      </c>
    </row>
    <row r="14" spans="1:8" x14ac:dyDescent="0.3">
      <c r="A14" s="6" t="s">
        <v>34</v>
      </c>
      <c r="B14" s="7">
        <v>0.56236111111111109</v>
      </c>
      <c r="C14" s="8">
        <f t="shared" si="0"/>
        <v>181.56666666666661</v>
      </c>
      <c r="G14" t="s">
        <v>35</v>
      </c>
      <c r="H14" s="8">
        <f t="shared" si="5"/>
        <v>396.73333333333329</v>
      </c>
    </row>
    <row r="15" spans="1:8" x14ac:dyDescent="0.3">
      <c r="C15" s="8"/>
      <c r="G15" t="s">
        <v>36</v>
      </c>
      <c r="H15" s="8">
        <f t="shared" si="5"/>
        <v>499.21666666666675</v>
      </c>
    </row>
    <row r="16" spans="1:8" x14ac:dyDescent="0.3">
      <c r="A16" s="6" t="s">
        <v>37</v>
      </c>
      <c r="B16" s="7">
        <v>0.57027777777777777</v>
      </c>
      <c r="C16" s="8">
        <f t="shared" si="0"/>
        <v>192.96666666666664</v>
      </c>
      <c r="G16" t="s">
        <v>38</v>
      </c>
      <c r="H16" s="8">
        <f t="shared" si="5"/>
        <v>612.43333333333328</v>
      </c>
    </row>
    <row r="17" spans="1:3" x14ac:dyDescent="0.3">
      <c r="A17" s="6" t="s">
        <v>39</v>
      </c>
      <c r="B17" s="7">
        <v>0.57960648148148153</v>
      </c>
      <c r="C17" s="8">
        <f t="shared" si="0"/>
        <v>206.40000000000006</v>
      </c>
    </row>
    <row r="18" spans="1:3" x14ac:dyDescent="0.3">
      <c r="A18" s="6" t="s">
        <v>40</v>
      </c>
      <c r="B18" s="7">
        <v>0.62903935185185189</v>
      </c>
      <c r="C18" s="8">
        <f t="shared" si="0"/>
        <v>277.58333333333337</v>
      </c>
    </row>
    <row r="19" spans="1:3" x14ac:dyDescent="0.3">
      <c r="C19" s="8"/>
    </row>
    <row r="20" spans="1:3" x14ac:dyDescent="0.3">
      <c r="A20" s="6" t="s">
        <v>41</v>
      </c>
      <c r="B20" s="7">
        <v>0.63280092592592596</v>
      </c>
      <c r="C20" s="8">
        <f t="shared" si="0"/>
        <v>283.00000000000006</v>
      </c>
    </row>
    <row r="21" spans="1:3" x14ac:dyDescent="0.3">
      <c r="A21" s="6" t="s">
        <v>42</v>
      </c>
      <c r="B21" s="7">
        <v>0.64614583333333331</v>
      </c>
      <c r="C21" s="8">
        <f t="shared" si="0"/>
        <v>302.21666666666658</v>
      </c>
    </row>
    <row r="22" spans="1:3" x14ac:dyDescent="0.3">
      <c r="A22" s="6" t="s">
        <v>43</v>
      </c>
      <c r="B22" s="7">
        <v>0.71178240740740739</v>
      </c>
      <c r="C22" s="8">
        <f t="shared" si="0"/>
        <v>396.73333333333329</v>
      </c>
    </row>
    <row r="23" spans="1:3" x14ac:dyDescent="0.3">
      <c r="A23" s="6" t="s">
        <v>44</v>
      </c>
      <c r="B23" s="7">
        <v>0.78295138888888893</v>
      </c>
      <c r="C23" s="8">
        <f t="shared" si="0"/>
        <v>499.21666666666675</v>
      </c>
    </row>
    <row r="24" spans="1:3" x14ac:dyDescent="0.3">
      <c r="A24" s="6" t="s">
        <v>45</v>
      </c>
      <c r="B24" s="7">
        <v>0.86157407407407405</v>
      </c>
      <c r="C24" s="8">
        <f t="shared" si="0"/>
        <v>612.43333333333328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E0526-A39B-4752-9979-1609FB0C511E}">
  <dimension ref="A1:D17"/>
  <sheetViews>
    <sheetView tabSelected="1" workbookViewId="0">
      <selection activeCell="M6" sqref="M6"/>
    </sheetView>
  </sheetViews>
  <sheetFormatPr defaultRowHeight="14.4" x14ac:dyDescent="0.3"/>
  <sheetData>
    <row r="1" spans="1:4" x14ac:dyDescent="0.3">
      <c r="B1" t="s">
        <v>46</v>
      </c>
      <c r="C1" t="s">
        <v>47</v>
      </c>
      <c r="D1" t="s">
        <v>48</v>
      </c>
    </row>
    <row r="2" spans="1:4" x14ac:dyDescent="0.3">
      <c r="A2" t="s">
        <v>9</v>
      </c>
      <c r="B2" s="8">
        <v>0</v>
      </c>
      <c r="C2">
        <v>118.09546074965618</v>
      </c>
      <c r="D2">
        <v>0</v>
      </c>
    </row>
    <row r="3" spans="1:4" x14ac:dyDescent="0.3">
      <c r="A3" t="s">
        <v>12</v>
      </c>
      <c r="B3" s="8">
        <v>16.349999999999998</v>
      </c>
      <c r="C3">
        <v>113.63388840452768</v>
      </c>
      <c r="D3">
        <v>4.4615723451284914</v>
      </c>
    </row>
    <row r="4" spans="1:4" x14ac:dyDescent="0.3">
      <c r="A4" t="s">
        <v>15</v>
      </c>
      <c r="B4" s="8">
        <v>44.433333333333294</v>
      </c>
      <c r="C4">
        <v>107.56221056201453</v>
      </c>
      <c r="D4">
        <v>10.533250187641659</v>
      </c>
    </row>
    <row r="5" spans="1:4" x14ac:dyDescent="0.3">
      <c r="A5" t="s">
        <v>18</v>
      </c>
      <c r="B5" s="8">
        <v>84.450000000000017</v>
      </c>
      <c r="C5">
        <v>101.98373002846635</v>
      </c>
      <c r="D5">
        <v>16.111730721189801</v>
      </c>
    </row>
    <row r="6" spans="1:4" x14ac:dyDescent="0.3">
      <c r="A6" t="s">
        <v>20</v>
      </c>
      <c r="B6" s="8">
        <v>154.06666666666663</v>
      </c>
      <c r="C6">
        <v>96.041095209283867</v>
      </c>
      <c r="D6">
        <v>22.054365540372309</v>
      </c>
    </row>
    <row r="7" spans="1:4" x14ac:dyDescent="0.3">
      <c r="A7" t="s">
        <v>21</v>
      </c>
      <c r="B7" s="8">
        <v>161.74999999999994</v>
      </c>
      <c r="C7">
        <v>90.205663484433074</v>
      </c>
      <c r="D7">
        <v>26.871000714445358</v>
      </c>
    </row>
    <row r="8" spans="1:4" x14ac:dyDescent="0.3">
      <c r="A8" t="s">
        <v>23</v>
      </c>
      <c r="B8" s="8">
        <v>168.73333333333329</v>
      </c>
      <c r="C8">
        <v>87.502899774305419</v>
      </c>
      <c r="D8">
        <v>29.57376442457301</v>
      </c>
    </row>
    <row r="9" spans="1:4" x14ac:dyDescent="0.3">
      <c r="A9" t="s">
        <v>24</v>
      </c>
      <c r="B9" s="8">
        <v>181.56666666666661</v>
      </c>
      <c r="C9">
        <v>80.591120724259994</v>
      </c>
      <c r="D9">
        <v>36.485543474618432</v>
      </c>
    </row>
    <row r="10" spans="1:4" x14ac:dyDescent="0.3">
      <c r="A10" t="s">
        <v>26</v>
      </c>
      <c r="B10" s="8">
        <v>192.96666666666664</v>
      </c>
      <c r="C10">
        <v>76.203469407361425</v>
      </c>
      <c r="D10">
        <v>39.37574559112312</v>
      </c>
    </row>
    <row r="11" spans="1:4" x14ac:dyDescent="0.3">
      <c r="A11" t="s">
        <v>28</v>
      </c>
      <c r="B11" s="8">
        <v>206.40000000000006</v>
      </c>
      <c r="C11">
        <v>71.585364677104124</v>
      </c>
      <c r="D11">
        <v>43.993850321380407</v>
      </c>
    </row>
    <row r="12" spans="1:4" x14ac:dyDescent="0.3">
      <c r="A12" t="s">
        <v>29</v>
      </c>
      <c r="B12" s="8">
        <v>277.58333333333337</v>
      </c>
      <c r="C12">
        <v>54.528300983783417</v>
      </c>
      <c r="D12">
        <v>61.0509140147011</v>
      </c>
    </row>
    <row r="13" spans="1:4" x14ac:dyDescent="0.3">
      <c r="A13" t="s">
        <v>31</v>
      </c>
      <c r="B13" s="8">
        <v>283.00000000000006</v>
      </c>
      <c r="C13">
        <v>50.927967850904736</v>
      </c>
      <c r="D13">
        <v>62.694486454933809</v>
      </c>
    </row>
    <row r="14" spans="1:4" x14ac:dyDescent="0.3">
      <c r="A14" t="s">
        <v>33</v>
      </c>
      <c r="B14" s="8">
        <v>302.21666666666658</v>
      </c>
      <c r="C14">
        <v>38.122238753933459</v>
      </c>
      <c r="D14">
        <v>75.500215551905086</v>
      </c>
    </row>
    <row r="15" spans="1:4" x14ac:dyDescent="0.3">
      <c r="A15" t="s">
        <v>35</v>
      </c>
      <c r="B15" s="8">
        <v>396.73333333333329</v>
      </c>
      <c r="C15">
        <v>14.804208529119677</v>
      </c>
      <c r="D15">
        <v>98.818245776718854</v>
      </c>
    </row>
    <row r="16" spans="1:4" x14ac:dyDescent="0.3">
      <c r="A16" t="s">
        <v>36</v>
      </c>
      <c r="B16" s="8">
        <v>499.21666666666675</v>
      </c>
      <c r="C16">
        <v>4.7967059403948875</v>
      </c>
      <c r="D16">
        <v>108.82574836544364</v>
      </c>
    </row>
    <row r="17" spans="1:4" x14ac:dyDescent="0.3">
      <c r="A17" t="s">
        <v>38</v>
      </c>
      <c r="B17" s="8">
        <v>612.43333333333328</v>
      </c>
      <c r="C17">
        <v>1.2554208806407059</v>
      </c>
      <c r="D17">
        <v>112.36703342519785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DD266_reint_254 CTE BPA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2025-02-08T22:34:53Z</dcterms:created>
  <dcterms:modified xsi:type="dcterms:W3CDTF">2026-01-12T10:58:40Z</dcterms:modified>
</cp:coreProperties>
</file>
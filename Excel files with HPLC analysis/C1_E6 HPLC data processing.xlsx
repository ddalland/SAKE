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7" documentId="11_7620F517571ADF3B4E7995F5F379241E54D20AC2" xr6:coauthVersionLast="47" xr6:coauthVersionMax="47" xr10:uidLastSave="{62F16DBF-626C-42CF-A06E-6700D814D070}"/>
  <bookViews>
    <workbookView xWindow="29280" yWindow="480" windowWidth="17280" windowHeight="8880" xr2:uid="{00000000-000D-0000-FFFF-FFFF00000000}"/>
  </bookViews>
  <sheets>
    <sheet name="C1_E6 HPLC 254 nm" sheetId="1" r:id="rId1"/>
    <sheet name="Sample and addition times" sheetId="2" r:id="rId2"/>
    <sheet name="Concentration vs time HPLC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C22" i="2"/>
  <c r="C21" i="2"/>
  <c r="C19" i="2"/>
  <c r="C18" i="2"/>
  <c r="C17" i="2"/>
  <c r="G15" i="2"/>
  <c r="C15" i="2"/>
  <c r="G9" i="2" s="1"/>
  <c r="G14" i="2"/>
  <c r="C14" i="2"/>
  <c r="G8" i="2" s="1"/>
  <c r="G13" i="2"/>
  <c r="C13" i="2"/>
  <c r="G7" i="2" s="1"/>
  <c r="G12" i="2"/>
  <c r="G11" i="2"/>
  <c r="C11" i="2"/>
  <c r="G6" i="2" s="1"/>
  <c r="G10" i="2"/>
  <c r="C10" i="2"/>
  <c r="C9" i="2"/>
  <c r="C8" i="2"/>
  <c r="C6" i="2"/>
  <c r="J6" i="2" s="1"/>
  <c r="G5" i="2"/>
  <c r="C5" i="2"/>
  <c r="J5" i="2" s="1"/>
  <c r="G4" i="2"/>
  <c r="C4" i="2"/>
  <c r="J4" i="2" s="1"/>
  <c r="J3" i="2"/>
  <c r="C3" i="2"/>
  <c r="J16" i="1"/>
  <c r="K16" i="1" s="1"/>
  <c r="H16" i="1"/>
  <c r="E16" i="1"/>
  <c r="F16" i="1" s="1"/>
  <c r="L16" i="1" s="1"/>
  <c r="J15" i="1"/>
  <c r="K15" i="1" s="1"/>
  <c r="H15" i="1"/>
  <c r="E15" i="1"/>
  <c r="F15" i="1" s="1"/>
  <c r="L15" i="1" s="1"/>
  <c r="J14" i="1"/>
  <c r="K14" i="1" s="1"/>
  <c r="L14" i="1" s="1"/>
  <c r="H14" i="1"/>
  <c r="F14" i="1"/>
  <c r="E14" i="1"/>
  <c r="J13" i="1"/>
  <c r="K13" i="1" s="1"/>
  <c r="H13" i="1"/>
  <c r="E13" i="1"/>
  <c r="F13" i="1" s="1"/>
  <c r="L13" i="1" s="1"/>
  <c r="J12" i="1"/>
  <c r="K12" i="1" s="1"/>
  <c r="H12" i="1"/>
  <c r="E12" i="1"/>
  <c r="F12" i="1" s="1"/>
  <c r="L12" i="1" s="1"/>
  <c r="J11" i="1"/>
  <c r="K11" i="1" s="1"/>
  <c r="H11" i="1"/>
  <c r="E11" i="1"/>
  <c r="F11" i="1" s="1"/>
  <c r="L11" i="1" s="1"/>
  <c r="J10" i="1"/>
  <c r="K10" i="1" s="1"/>
  <c r="H10" i="1"/>
  <c r="E10" i="1"/>
  <c r="F10" i="1" s="1"/>
  <c r="L10" i="1" s="1"/>
  <c r="J9" i="1"/>
  <c r="K9" i="1" s="1"/>
  <c r="H9" i="1"/>
  <c r="F9" i="1"/>
  <c r="L9" i="1" s="1"/>
  <c r="E9" i="1"/>
  <c r="J8" i="1"/>
  <c r="K8" i="1" s="1"/>
  <c r="H8" i="1"/>
  <c r="E8" i="1"/>
  <c r="F8" i="1" s="1"/>
  <c r="L8" i="1" s="1"/>
  <c r="J7" i="1"/>
  <c r="K7" i="1" s="1"/>
  <c r="H7" i="1"/>
  <c r="E7" i="1"/>
  <c r="F7" i="1" s="1"/>
  <c r="L7" i="1" s="1"/>
  <c r="J6" i="1"/>
  <c r="K6" i="1" s="1"/>
  <c r="L6" i="1" s="1"/>
  <c r="H6" i="1"/>
  <c r="F6" i="1"/>
  <c r="E6" i="1"/>
  <c r="H5" i="1"/>
  <c r="I5" i="1" s="1"/>
  <c r="J5" i="1" s="1"/>
  <c r="K5" i="1" s="1"/>
  <c r="E5" i="1"/>
  <c r="F5" i="1" s="1"/>
  <c r="L5" i="1" s="1"/>
  <c r="J4" i="1"/>
  <c r="K4" i="1" s="1"/>
  <c r="H4" i="1"/>
  <c r="E4" i="1"/>
  <c r="F4" i="1" s="1"/>
  <c r="L4" i="1" s="1"/>
</calcChain>
</file>

<file path=xl/sharedStrings.xml><?xml version="1.0" encoding="utf-8"?>
<sst xmlns="http://schemas.openxmlformats.org/spreadsheetml/2006/main" count="91" uniqueCount="61">
  <si>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</si>
  <si>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</si>
  <si>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</si>
  <si>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</si>
  <si>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</si>
  <si>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</si>
  <si>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</si>
  <si>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</si>
  <si>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</si>
  <si>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C1_E6-S02</t>
  </si>
  <si>
    <t>Ar-4SO2Me-Oph</t>
  </si>
  <si>
    <t>C1_E6-S1</t>
  </si>
  <si>
    <t>C1_E6-S2</t>
  </si>
  <si>
    <t>C1_E6-S3</t>
  </si>
  <si>
    <t>C1_E6-S4</t>
  </si>
  <si>
    <t>C1_E6-S5</t>
  </si>
  <si>
    <t>C1_E6-S6</t>
  </si>
  <si>
    <t>C1_E6-S7</t>
  </si>
  <si>
    <t>C1_E6-S8</t>
  </si>
  <si>
    <t>C1_E6-S9</t>
  </si>
  <si>
    <t>Phenol</t>
  </si>
  <si>
    <t>C1_E6-S10</t>
  </si>
  <si>
    <t>C1_E6-S11</t>
  </si>
  <si>
    <t>C1_E6-S12</t>
  </si>
  <si>
    <t>CC 4SO2ArOPh</t>
  </si>
  <si>
    <t>CC Product</t>
  </si>
  <si>
    <t>Time / min</t>
  </si>
  <si>
    <t>V1:</t>
  </si>
  <si>
    <t>S0</t>
  </si>
  <si>
    <t>V1</t>
  </si>
  <si>
    <t>V2:</t>
  </si>
  <si>
    <t>S1</t>
  </si>
  <si>
    <t>V2</t>
  </si>
  <si>
    <t>Phenol:</t>
  </si>
  <si>
    <t>S2</t>
  </si>
  <si>
    <t>V3</t>
  </si>
  <si>
    <t>V3:</t>
  </si>
  <si>
    <t>S3</t>
  </si>
  <si>
    <t>V4</t>
  </si>
  <si>
    <t>S4</t>
  </si>
  <si>
    <t>Start:</t>
  </si>
  <si>
    <t>S5</t>
  </si>
  <si>
    <t>S1:</t>
  </si>
  <si>
    <t>S6</t>
  </si>
  <si>
    <t>S7</t>
  </si>
  <si>
    <t>S3:</t>
  </si>
  <si>
    <t>S8</t>
  </si>
  <si>
    <t>S9</t>
  </si>
  <si>
    <t>S4:</t>
  </si>
  <si>
    <t>S10</t>
  </si>
  <si>
    <t>S5:</t>
  </si>
  <si>
    <t>S11</t>
  </si>
  <si>
    <t>S6:</t>
  </si>
  <si>
    <t>S12</t>
  </si>
  <si>
    <t>S7:</t>
  </si>
  <si>
    <t>S8:</t>
  </si>
  <si>
    <t>S9:</t>
  </si>
  <si>
    <t>S10:</t>
  </si>
  <si>
    <t>S11:</t>
  </si>
  <si>
    <t>S12:</t>
  </si>
  <si>
    <t>4SO2MeArOPh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</si>
</sst>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HPLC'!$C$1</c:f>
              <c:strCache>
                <c:ptCount val="1"/>
                <c:pt idx="0">
                  <c:v>4SO2MeArOPh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HPLC'!$B$2:$B$14</c:f>
              <c:numCache>
                <c:formatCode>General</c:formatCode>
                <c:ptCount val="13"/>
                <c:pt idx="0">
                  <c:v>0</c:v>
                </c:pt>
                <c:pt idx="1">
                  <c:v>2.13333333333332</c:v>
                </c:pt>
                <c:pt idx="2">
                  <c:v>6.0499999999999856</c:v>
                </c:pt>
                <c:pt idx="3">
                  <c:v>10.36666666666664</c:v>
                </c:pt>
                <c:pt idx="4">
                  <c:v>13.950000000000021</c:v>
                </c:pt>
                <c:pt idx="5">
                  <c:v>15.8333333333333</c:v>
                </c:pt>
                <c:pt idx="6">
                  <c:v>17.216666666666669</c:v>
                </c:pt>
                <c:pt idx="7">
                  <c:v>18.966666666666701</c:v>
                </c:pt>
                <c:pt idx="8">
                  <c:v>21.666666666666639</c:v>
                </c:pt>
                <c:pt idx="9">
                  <c:v>25.89999999999997</c:v>
                </c:pt>
                <c:pt idx="10">
                  <c:v>29.816666666666642</c:v>
                </c:pt>
                <c:pt idx="11">
                  <c:v>32.59999999999998</c:v>
                </c:pt>
                <c:pt idx="12">
                  <c:v>49.466666666666683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96.157341786508979</c:v>
                </c:pt>
                <c:pt idx="1">
                  <c:v>91.283770596936805</c:v>
                </c:pt>
                <c:pt idx="2">
                  <c:v>82.614101972732954</c:v>
                </c:pt>
                <c:pt idx="3">
                  <c:v>77.797550455522213</c:v>
                </c:pt>
                <c:pt idx="4">
                  <c:v>68.12160739128386</c:v>
                </c:pt>
                <c:pt idx="5">
                  <c:v>59.180057924944109</c:v>
                </c:pt>
                <c:pt idx="6">
                  <c:v>55.624023953473802</c:v>
                </c:pt>
                <c:pt idx="7">
                  <c:v>49.452688126075088</c:v>
                </c:pt>
                <c:pt idx="8">
                  <c:v>42.180805365371768</c:v>
                </c:pt>
                <c:pt idx="9">
                  <c:v>38.341401178742458</c:v>
                </c:pt>
                <c:pt idx="10">
                  <c:v>27.534032632026442</c:v>
                </c:pt>
                <c:pt idx="11">
                  <c:v>18.24848519235589</c:v>
                </c:pt>
                <c:pt idx="12">
                  <c:v>2.8636320799755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D-4E0A-A72C-D56580659852}"/>
            </c:ext>
          </c:extLst>
        </c:ser>
        <c:ser>
          <c:idx val="1"/>
          <c:order val="1"/>
          <c:tx>
            <c:strRef>
              <c:f>'Concentration vs time HPLC'!$D$1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HPLC'!$B$2:$B$14</c:f>
              <c:numCache>
                <c:formatCode>General</c:formatCode>
                <c:ptCount val="13"/>
                <c:pt idx="0">
                  <c:v>0</c:v>
                </c:pt>
                <c:pt idx="1">
                  <c:v>2.13333333333332</c:v>
                </c:pt>
                <c:pt idx="2">
                  <c:v>6.0499999999999856</c:v>
                </c:pt>
                <c:pt idx="3">
                  <c:v>10.36666666666664</c:v>
                </c:pt>
                <c:pt idx="4">
                  <c:v>13.950000000000021</c:v>
                </c:pt>
                <c:pt idx="5">
                  <c:v>15.8333333333333</c:v>
                </c:pt>
                <c:pt idx="6">
                  <c:v>17.216666666666669</c:v>
                </c:pt>
                <c:pt idx="7">
                  <c:v>18.966666666666701</c:v>
                </c:pt>
                <c:pt idx="8">
                  <c:v>21.666666666666639</c:v>
                </c:pt>
                <c:pt idx="9">
                  <c:v>25.89999999999997</c:v>
                </c:pt>
                <c:pt idx="10">
                  <c:v>29.816666666666642</c:v>
                </c:pt>
                <c:pt idx="11">
                  <c:v>32.59999999999998</c:v>
                </c:pt>
                <c:pt idx="12">
                  <c:v>49.466666666666683</c:v>
                </c:pt>
              </c:numCache>
            </c:numRef>
          </c:xVal>
          <c:yVal>
            <c:numRef>
              <c:f>'Concentration vs time HPLC'!$D$2:$D$14</c:f>
              <c:numCache>
                <c:formatCode>General</c:formatCode>
                <c:ptCount val="13"/>
                <c:pt idx="0">
                  <c:v>0</c:v>
                </c:pt>
                <c:pt idx="1">
                  <c:v>6.1217736180965678</c:v>
                </c:pt>
                <c:pt idx="2">
                  <c:v>13.67868976325734</c:v>
                </c:pt>
                <c:pt idx="3">
                  <c:v>18.863975088282938</c:v>
                </c:pt>
                <c:pt idx="4">
                  <c:v>28.609679941247659</c:v>
                </c:pt>
                <c:pt idx="5">
                  <c:v>37.164226937522571</c:v>
                </c:pt>
                <c:pt idx="6">
                  <c:v>42.380737945622123</c:v>
                </c:pt>
                <c:pt idx="7">
                  <c:v>45.100113193345692</c:v>
                </c:pt>
                <c:pt idx="8">
                  <c:v>48.906978256643541</c:v>
                </c:pt>
                <c:pt idx="9">
                  <c:v>57.623052465459672</c:v>
                </c:pt>
                <c:pt idx="10">
                  <c:v>66.488145312305321</c:v>
                </c:pt>
                <c:pt idx="11">
                  <c:v>76.233133260106484</c:v>
                </c:pt>
                <c:pt idx="12">
                  <c:v>90.991205362533051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D-4E0A-A72C-D5658065985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'Concentration vs time HPLC'!$B$2:$B$14</c:f>
              <c:numCache>
                <c:formatCode>General</c:formatCode>
                <c:ptCount val="13"/>
                <c:pt idx="0">
                  <c:v>0</c:v>
                </c:pt>
                <c:pt idx="1">
                  <c:v>2.13333333333332</c:v>
                </c:pt>
                <c:pt idx="2">
                  <c:v>6.0499999999999856</c:v>
                </c:pt>
                <c:pt idx="3">
                  <c:v>10.36666666666664</c:v>
                </c:pt>
                <c:pt idx="4">
                  <c:v>13.950000000000021</c:v>
                </c:pt>
                <c:pt idx="5">
                  <c:v>15.8333333333333</c:v>
                </c:pt>
                <c:pt idx="6">
                  <c:v>17.216666666666669</c:v>
                </c:pt>
                <c:pt idx="7">
                  <c:v>18.966666666666701</c:v>
                </c:pt>
                <c:pt idx="8">
                  <c:v>21.666666666666639</c:v>
                </c:pt>
                <c:pt idx="9">
                  <c:v>25.89999999999997</c:v>
                </c:pt>
                <c:pt idx="10">
                  <c:v>29.816666666666642</c:v>
                </c:pt>
                <c:pt idx="11">
                  <c:v>32.59999999999998</c:v>
                </c:pt>
                <c:pt idx="12">
                  <c:v>49.466666666666683</c:v>
                </c:pt>
              </c:numCache>
            </c:numRef>
          </c:xVal>
          <c:yVal>
            <c:numRef>
              <c:f>'[2]Campaign 1 Eyring analysis'!$H$34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4D-4E0A-A72C-D56580659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327999"/>
        <c:axId val="1606326079"/>
      </c:scatterChart>
      <c:valAx>
        <c:axId val="160632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326079"/>
        <c:crosses val="autoZero"/>
        <c:crossBetween val="midCat"/>
      </c:valAx>
      <c:valAx>
        <c:axId val="160632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327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207058</xdr:colOff>
      <xdr:row>0</xdr:row>
      <xdr:rowOff>67927</xdr:rowOff>
    </xdr:from>
    <xdr:to>
      <xdr:col>11</xdr:col>
      <xdr:colOff>487459</xdr:colOff>
      <xdr:row>15</xdr:row>
      <xdr:rowOff>57816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C09411-A4EF-429E-3461-D0D991219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TE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personal/dd4518_ic_ac_uk/Documents/PhD/SAKE%20publication%20with%20SI%20material/Cleaned%20Python%20Scripts%20for%20Github/Eyring%20Hammett%20and%20Bronsted%20Analyis/Eyring%20analysis%20Campagin%201.xlsx" TargetMode="External"/><Relationship Id="rId1" Type="http://schemas.openxmlformats.org/officeDocument/2006/relationships/externalLinkPath" Target="/personal/dd4518_ic_ac_uk/Documents/PhD/SAKE%20publication%20with%20SI%20material/Cleaned%20Python%20Scripts%20for%20Github/Eyring%20Hammett%20and%20Bronsted%20Analyis/Eyring%20analysis%20Campagin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T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paign 1 Eyring analysis"/>
    </sheetNames>
    <sheetDataSet>
      <sheetData sheetId="0">
        <row r="34">
          <cell r="H34" t="str">
            <v>HPLC concentration vs time data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10" workbookViewId="0">
      <selection activeCell="N2" sqref="N2"/>
    </sheetView>
  </sheetViews>
  <sheetFormatPr defaultRowHeight="14.4" x14ac:dyDescent="0.3"/>
  <cols>
    <col min="1" max="1" width="10.5546875" bestFit="1" customWidth="1"/>
    <col min="5" max="5" width="14.44140625" bestFit="1" customWidth="1"/>
    <col min="7" max="8" width="12" bestFit="1" customWidth="1"/>
    <col min="13" max="13" width="14.6640625" bestFit="1" customWidth="1"/>
    <col min="14" max="14" width="23.441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4.0480881077902602</v>
      </c>
      <c r="C3">
        <v>1.5475920013019</v>
      </c>
      <c r="G3">
        <v>2.5527806976863299</v>
      </c>
      <c r="M3" t="s">
        <v>8</v>
      </c>
      <c r="N3">
        <v>33.164949510890651</v>
      </c>
    </row>
    <row r="4" spans="1:14" x14ac:dyDescent="0.3">
      <c r="A4" t="s">
        <v>9</v>
      </c>
      <c r="B4">
        <v>290.290618896485</v>
      </c>
      <c r="C4">
        <v>1355.98718261719</v>
      </c>
      <c r="D4">
        <v>4.6711367655346798</v>
      </c>
      <c r="E4">
        <f t="shared" ref="E4:E16" si="0">D4/$B$18</f>
        <v>8.023251057256406</v>
      </c>
      <c r="F4">
        <f>E4*$N$5</f>
        <v>96.157341786508837</v>
      </c>
      <c r="G4">
        <v>0</v>
      </c>
      <c r="H4">
        <f t="shared" ref="H4:H16" si="1">G4/$B$19</f>
        <v>0</v>
      </c>
      <c r="I4">
        <v>0</v>
      </c>
      <c r="J4">
        <f t="shared" ref="J4:J16" si="2">I4</f>
        <v>0</v>
      </c>
      <c r="K4" s="4">
        <f>J4*$N$5</f>
        <v>0</v>
      </c>
      <c r="L4">
        <f t="shared" ref="L4:L16" si="3">SUM(F4,K4)</f>
        <v>96.157341786508837</v>
      </c>
      <c r="M4" t="s">
        <v>10</v>
      </c>
      <c r="N4">
        <v>96.675573623505045</v>
      </c>
    </row>
    <row r="5" spans="1:14" x14ac:dyDescent="0.3">
      <c r="A5" t="s">
        <v>11</v>
      </c>
      <c r="B5">
        <v>321.20880126953102</v>
      </c>
      <c r="C5">
        <v>1424.36450195313</v>
      </c>
      <c r="D5">
        <v>4.4343881497752697</v>
      </c>
      <c r="E5">
        <f t="shared" si="0"/>
        <v>7.6166062345847978</v>
      </c>
      <c r="F5">
        <f>E5*$N$5</f>
        <v>91.283770596936819</v>
      </c>
      <c r="G5">
        <v>103.26648</v>
      </c>
      <c r="H5">
        <f t="shared" si="1"/>
        <v>164.07130600571975</v>
      </c>
      <c r="I5">
        <f>H5*I6/H6</f>
        <v>0.31927342086882532</v>
      </c>
      <c r="J5">
        <f t="shared" si="2"/>
        <v>0.31927342086882532</v>
      </c>
      <c r="K5" s="4">
        <f>J5*$N$5</f>
        <v>3.8264393367156724</v>
      </c>
      <c r="L5">
        <f t="shared" si="3"/>
        <v>95.110209933652484</v>
      </c>
      <c r="M5" t="s">
        <v>1</v>
      </c>
      <c r="N5">
        <v>11.98483521209797</v>
      </c>
    </row>
    <row r="6" spans="1:14" x14ac:dyDescent="0.3">
      <c r="A6" t="s">
        <v>12</v>
      </c>
      <c r="B6">
        <v>513.8896484375</v>
      </c>
      <c r="C6">
        <v>2078.90112304688</v>
      </c>
      <c r="D6">
        <v>4.0454232331159998</v>
      </c>
      <c r="E6">
        <f t="shared" si="0"/>
        <v>6.9485112214290616</v>
      </c>
      <c r="F6">
        <f>E6*$N$12</f>
        <v>82.61410197273284</v>
      </c>
      <c r="G6">
        <v>369.15524291992199</v>
      </c>
      <c r="H6">
        <f t="shared" si="1"/>
        <v>586.51929285020969</v>
      </c>
      <c r="I6">
        <v>1.1413331532042701</v>
      </c>
      <c r="J6">
        <f t="shared" si="2"/>
        <v>1.1413331532042701</v>
      </c>
      <c r="K6" s="4">
        <f>J6*$N$5</f>
        <v>13.678689763257342</v>
      </c>
      <c r="L6">
        <f t="shared" si="3"/>
        <v>96.292791735990178</v>
      </c>
      <c r="N6">
        <v>0</v>
      </c>
    </row>
    <row r="7" spans="1:14" x14ac:dyDescent="0.3">
      <c r="A7" t="s">
        <v>13</v>
      </c>
      <c r="B7">
        <v>447.06576538086</v>
      </c>
      <c r="C7">
        <v>1703.12731933594</v>
      </c>
      <c r="D7">
        <v>3.8095677442110198</v>
      </c>
      <c r="E7">
        <f t="shared" si="0"/>
        <v>6.5434004538148738</v>
      </c>
      <c r="F7">
        <f>E7*$N$12</f>
        <v>77.797550455522014</v>
      </c>
      <c r="G7">
        <v>442.89349365234398</v>
      </c>
      <c r="H7">
        <f t="shared" si="1"/>
        <v>703.67571282545919</v>
      </c>
      <c r="I7">
        <v>1.5739870223030601</v>
      </c>
      <c r="J7">
        <f t="shared" si="2"/>
        <v>1.5739870223030601</v>
      </c>
      <c r="K7" s="4">
        <f>J7*$N$5</f>
        <v>18.863975088282945</v>
      </c>
      <c r="L7">
        <f t="shared" si="3"/>
        <v>96.661525543804956</v>
      </c>
    </row>
    <row r="8" spans="1:14" x14ac:dyDescent="0.3">
      <c r="A8" t="s">
        <v>14</v>
      </c>
      <c r="B8">
        <v>458.90237426757801</v>
      </c>
      <c r="C8">
        <v>1530.78771972656</v>
      </c>
      <c r="D8">
        <v>3.33575898832457</v>
      </c>
      <c r="E8">
        <f t="shared" si="0"/>
        <v>5.7295757271119365</v>
      </c>
      <c r="F8">
        <f>E8*$N$12</f>
        <v>68.121607391283803</v>
      </c>
      <c r="G8">
        <v>695.0205078125</v>
      </c>
      <c r="H8">
        <f t="shared" si="1"/>
        <v>1104.2588303344455</v>
      </c>
      <c r="I8">
        <v>2.40630446093654</v>
      </c>
      <c r="J8">
        <f t="shared" si="2"/>
        <v>2.40630446093654</v>
      </c>
      <c r="K8" s="5">
        <f>J8*$N$12</f>
        <v>28.609679941247652</v>
      </c>
      <c r="L8">
        <f t="shared" si="3"/>
        <v>96.731287332531451</v>
      </c>
    </row>
    <row r="9" spans="1:14" x14ac:dyDescent="0.3">
      <c r="A9" t="s">
        <v>15</v>
      </c>
      <c r="B9">
        <v>465.110107421875</v>
      </c>
      <c r="C9">
        <v>1362.88952636719</v>
      </c>
      <c r="D9">
        <v>2.9302513633206999</v>
      </c>
      <c r="E9">
        <f t="shared" si="0"/>
        <v>5.0330665807638262</v>
      </c>
      <c r="F9">
        <f>E9*$N$20</f>
        <v>59.180057924944066</v>
      </c>
      <c r="G9">
        <v>915.05078125</v>
      </c>
      <c r="H9">
        <f t="shared" si="1"/>
        <v>1453.8461729424851</v>
      </c>
      <c r="I9">
        <v>3.1258107483434698</v>
      </c>
      <c r="J9">
        <f t="shared" si="2"/>
        <v>3.1258107483434698</v>
      </c>
      <c r="K9" s="5">
        <f>J9*$N$12</f>
        <v>37.164226937522571</v>
      </c>
      <c r="L9">
        <f t="shared" si="3"/>
        <v>96.344284862466637</v>
      </c>
    </row>
    <row r="10" spans="1:14" x14ac:dyDescent="0.3">
      <c r="A10" t="s">
        <v>16</v>
      </c>
      <c r="B10">
        <v>830.04888916015705</v>
      </c>
      <c r="C10">
        <v>2286.10180664063</v>
      </c>
      <c r="D10">
        <v>2.7541772978621801</v>
      </c>
      <c r="E10">
        <f t="shared" si="0"/>
        <v>4.7306377496773955</v>
      </c>
      <c r="F10">
        <f>E10*$N$20</f>
        <v>55.624023953473753</v>
      </c>
      <c r="G10">
        <v>1862.24365234375</v>
      </c>
      <c r="H10">
        <f t="shared" si="1"/>
        <v>2958.7601721381475</v>
      </c>
      <c r="I10">
        <v>3.5645613297932499</v>
      </c>
      <c r="J10">
        <f t="shared" si="2"/>
        <v>3.5645613297932499</v>
      </c>
      <c r="K10" s="5">
        <f>J10*$N$12</f>
        <v>42.380737945622116</v>
      </c>
      <c r="L10">
        <f t="shared" si="3"/>
        <v>98.004761899095868</v>
      </c>
      <c r="M10" t="s">
        <v>8</v>
      </c>
      <c r="N10">
        <v>100.14149698040271</v>
      </c>
    </row>
    <row r="11" spans="1:14" x14ac:dyDescent="0.3">
      <c r="A11" t="s">
        <v>17</v>
      </c>
      <c r="B11">
        <v>754.88677978515602</v>
      </c>
      <c r="C11">
        <v>1848.42236328125</v>
      </c>
      <c r="D11">
        <v>2.4486087354812498</v>
      </c>
      <c r="E11">
        <f t="shared" si="0"/>
        <v>4.2057862169035545</v>
      </c>
      <c r="F11">
        <f>E11*$N$20</f>
        <v>49.452688126074911</v>
      </c>
      <c r="G11">
        <v>1822.39904785156</v>
      </c>
      <c r="H11">
        <f t="shared" si="1"/>
        <v>2895.4544770441057</v>
      </c>
      <c r="I11">
        <v>3.8356142332604599</v>
      </c>
      <c r="J11">
        <f t="shared" si="2"/>
        <v>3.8356142332604599</v>
      </c>
      <c r="K11" s="6">
        <f>J11*$N$20</f>
        <v>45.100113193345692</v>
      </c>
      <c r="L11">
        <f t="shared" si="3"/>
        <v>94.55280131942061</v>
      </c>
      <c r="M11" t="s">
        <v>10</v>
      </c>
      <c r="N11">
        <v>95.906294983102867</v>
      </c>
    </row>
    <row r="12" spans="1:14" x14ac:dyDescent="0.3">
      <c r="A12" t="s">
        <v>18</v>
      </c>
      <c r="B12">
        <v>211.096923828125</v>
      </c>
      <c r="C12">
        <v>446.88073730468801</v>
      </c>
      <c r="D12">
        <v>2.1169457574310102</v>
      </c>
      <c r="E12">
        <f t="shared" si="0"/>
        <v>3.6361143205616799</v>
      </c>
      <c r="F12">
        <f>E12*$N$28</f>
        <v>42.180805365371654</v>
      </c>
      <c r="G12">
        <v>552.63293457031295</v>
      </c>
      <c r="H12">
        <f t="shared" si="1"/>
        <v>878.03135457628377</v>
      </c>
      <c r="I12">
        <v>4.1593754122688003</v>
      </c>
      <c r="J12">
        <f t="shared" si="2"/>
        <v>4.1593754122688003</v>
      </c>
      <c r="K12" s="6">
        <f>J12*$N$20</f>
        <v>48.906978256643541</v>
      </c>
      <c r="L12">
        <f t="shared" si="3"/>
        <v>91.087783622015195</v>
      </c>
      <c r="M12" t="s">
        <v>1</v>
      </c>
      <c r="N12">
        <v>11.88946802272589</v>
      </c>
    </row>
    <row r="13" spans="1:14" x14ac:dyDescent="0.3">
      <c r="A13" t="s">
        <v>19</v>
      </c>
      <c r="B13">
        <v>409.23611450195301</v>
      </c>
      <c r="C13">
        <v>787.47503662109398</v>
      </c>
      <c r="D13">
        <v>1.9242559703692399</v>
      </c>
      <c r="E13">
        <f t="shared" si="0"/>
        <v>3.3051459470443829</v>
      </c>
      <c r="F13">
        <f>E13*$N$28</f>
        <v>38.341401178742501</v>
      </c>
      <c r="G13">
        <v>1262.27575683594</v>
      </c>
      <c r="H13">
        <f t="shared" si="1"/>
        <v>2005.5223337081984</v>
      </c>
      <c r="I13">
        <v>4.9006484585285204</v>
      </c>
      <c r="J13">
        <f t="shared" si="2"/>
        <v>4.9006484585285204</v>
      </c>
      <c r="K13" s="6">
        <f>J13*$N$20</f>
        <v>57.623052465459672</v>
      </c>
      <c r="L13">
        <f t="shared" si="3"/>
        <v>95.964453644202166</v>
      </c>
      <c r="M13" t="s">
        <v>20</v>
      </c>
      <c r="N13">
        <v>0</v>
      </c>
    </row>
    <row r="14" spans="1:14" x14ac:dyDescent="0.3">
      <c r="A14" t="s">
        <v>21</v>
      </c>
      <c r="B14">
        <v>591.63635253906295</v>
      </c>
      <c r="C14">
        <v>817.559814453125</v>
      </c>
      <c r="D14">
        <v>1.38186203559752</v>
      </c>
      <c r="E14">
        <f t="shared" si="0"/>
        <v>2.3735177526580555</v>
      </c>
      <c r="F14">
        <f>E14*$N$28</f>
        <v>27.534032632026396</v>
      </c>
      <c r="G14">
        <v>2134.265625</v>
      </c>
      <c r="H14">
        <f t="shared" si="1"/>
        <v>3390.9526930409916</v>
      </c>
      <c r="I14">
        <v>5.7314813034871799</v>
      </c>
      <c r="J14">
        <f t="shared" si="2"/>
        <v>5.7314813034871799</v>
      </c>
      <c r="K14" s="7">
        <f>J14*$N$28</f>
        <v>66.488145312305335</v>
      </c>
      <c r="L14">
        <f t="shared" si="3"/>
        <v>94.02217794433173</v>
      </c>
    </row>
    <row r="15" spans="1:14" x14ac:dyDescent="0.3">
      <c r="A15" t="s">
        <v>22</v>
      </c>
      <c r="B15">
        <v>775.63934326171898</v>
      </c>
      <c r="C15">
        <v>710.36492919921898</v>
      </c>
      <c r="D15">
        <v>0.91584437454138401</v>
      </c>
      <c r="E15">
        <f t="shared" si="0"/>
        <v>1.5730751881507796</v>
      </c>
      <c r="F15">
        <f>E15*$N$28</f>
        <v>18.248485192356004</v>
      </c>
      <c r="G15">
        <v>3208.1376953125</v>
      </c>
      <c r="H15">
        <f t="shared" si="1"/>
        <v>5097.1364717389579</v>
      </c>
      <c r="I15">
        <v>6.5715290437749996</v>
      </c>
      <c r="J15">
        <f t="shared" si="2"/>
        <v>6.5715290437749996</v>
      </c>
      <c r="K15" s="7">
        <f>J15*$N$28</f>
        <v>76.233133260106499</v>
      </c>
      <c r="L15">
        <f t="shared" si="3"/>
        <v>94.481618452462499</v>
      </c>
    </row>
    <row r="16" spans="1:14" x14ac:dyDescent="0.3">
      <c r="A16" t="s">
        <v>23</v>
      </c>
      <c r="B16">
        <v>364.85958862304699</v>
      </c>
      <c r="C16">
        <v>50.755500793457102</v>
      </c>
      <c r="D16">
        <v>0.13910968048011099</v>
      </c>
      <c r="E16">
        <f t="shared" si="0"/>
        <v>0.23893796028875125</v>
      </c>
      <c r="F16">
        <f>E16*$N$5</f>
        <v>2.8636320799754924</v>
      </c>
      <c r="G16">
        <v>1801.25244140625</v>
      </c>
      <c r="H16">
        <f t="shared" si="1"/>
        <v>2861.8564369339852</v>
      </c>
      <c r="I16">
        <v>7.8437199574072203</v>
      </c>
      <c r="J16">
        <f t="shared" si="2"/>
        <v>7.8437199574072203</v>
      </c>
      <c r="K16" s="7">
        <f>J16*$N$28</f>
        <v>90.991205362533066</v>
      </c>
      <c r="L16">
        <f t="shared" si="3"/>
        <v>93.854837442508554</v>
      </c>
    </row>
    <row r="17" spans="1:14" x14ac:dyDescent="0.3">
      <c r="K17" s="7"/>
    </row>
    <row r="18" spans="1:14" x14ac:dyDescent="0.3">
      <c r="A18" t="s">
        <v>24</v>
      </c>
      <c r="B18">
        <v>0.58220000000000005</v>
      </c>
      <c r="K18" s="7"/>
      <c r="M18" t="s">
        <v>8</v>
      </c>
      <c r="N18">
        <v>99.036290804880451</v>
      </c>
    </row>
    <row r="19" spans="1:14" x14ac:dyDescent="0.3">
      <c r="A19" t="s">
        <v>25</v>
      </c>
      <c r="B19">
        <v>0.62939999999999996</v>
      </c>
      <c r="M19" t="s">
        <v>10</v>
      </c>
      <c r="N19">
        <v>94.847830383681824</v>
      </c>
    </row>
    <row r="20" spans="1:14" x14ac:dyDescent="0.3">
      <c r="M20" t="s">
        <v>1</v>
      </c>
      <c r="N20">
        <v>11.758250556654231</v>
      </c>
    </row>
    <row r="21" spans="1:14" x14ac:dyDescent="0.3">
      <c r="M21" t="s">
        <v>20</v>
      </c>
      <c r="N21">
        <v>125.48078529737251</v>
      </c>
    </row>
    <row r="26" spans="1:14" x14ac:dyDescent="0.3">
      <c r="M26" t="s">
        <v>8</v>
      </c>
      <c r="N26">
        <v>211.06402035191891</v>
      </c>
    </row>
    <row r="27" spans="1:14" x14ac:dyDescent="0.3">
      <c r="M27" t="s">
        <v>10</v>
      </c>
      <c r="N27">
        <v>93.575472575117317</v>
      </c>
    </row>
    <row r="28" spans="1:14" x14ac:dyDescent="0.3">
      <c r="M28" t="s">
        <v>1</v>
      </c>
      <c r="N28">
        <v>11.600516828320149</v>
      </c>
    </row>
    <row r="29" spans="1:14" x14ac:dyDescent="0.3">
      <c r="M29" t="s">
        <v>20</v>
      </c>
      <c r="N29">
        <v>123.797494742891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3"/>
  <sheetViews>
    <sheetView zoomScale="116" workbookViewId="0">
      <selection activeCell="F2" sqref="F2:G15"/>
    </sheetView>
  </sheetViews>
  <sheetFormatPr defaultRowHeight="14.4" x14ac:dyDescent="0.3"/>
  <sheetData>
    <row r="2" spans="1:10" x14ac:dyDescent="0.3">
      <c r="G2" t="s">
        <v>26</v>
      </c>
    </row>
    <row r="3" spans="1:10" ht="15" customHeight="1" x14ac:dyDescent="0.3">
      <c r="A3" s="1" t="s">
        <v>27</v>
      </c>
      <c r="B3" s="2">
        <v>0.40625</v>
      </c>
      <c r="C3" s="3">
        <f>(B3-$B$3)*86400/60</f>
        <v>0</v>
      </c>
      <c r="F3" t="s">
        <v>28</v>
      </c>
      <c r="G3">
        <v>0</v>
      </c>
      <c r="I3" t="s">
        <v>29</v>
      </c>
      <c r="J3" s="3">
        <f>C3</f>
        <v>0</v>
      </c>
    </row>
    <row r="4" spans="1:10" ht="15" customHeight="1" x14ac:dyDescent="0.3">
      <c r="A4" s="1" t="s">
        <v>30</v>
      </c>
      <c r="B4" s="2">
        <v>0.41501157407407407</v>
      </c>
      <c r="C4" s="3">
        <f>(B4-$B$3)*86400/60</f>
        <v>12.616666666666667</v>
      </c>
      <c r="F4" t="s">
        <v>31</v>
      </c>
      <c r="G4" s="3">
        <f>C9</f>
        <v>2.1333333333333204</v>
      </c>
      <c r="I4" t="s">
        <v>32</v>
      </c>
      <c r="J4" s="3">
        <f>C4</f>
        <v>12.616666666666667</v>
      </c>
    </row>
    <row r="5" spans="1:10" ht="15" customHeight="1" x14ac:dyDescent="0.3">
      <c r="A5" s="1" t="s">
        <v>33</v>
      </c>
      <c r="B5" s="2">
        <v>0.41855324074074068</v>
      </c>
      <c r="C5" s="3">
        <f>(B5-$B$3)*86400/60</f>
        <v>17.716666666666583</v>
      </c>
      <c r="F5" t="s">
        <v>34</v>
      </c>
      <c r="G5" s="3">
        <f>C10</f>
        <v>6.0499999999999865</v>
      </c>
      <c r="I5" t="s">
        <v>35</v>
      </c>
      <c r="J5" s="3">
        <f>C5</f>
        <v>17.716666666666583</v>
      </c>
    </row>
    <row r="6" spans="1:10" ht="15" customHeight="1" x14ac:dyDescent="0.3">
      <c r="A6" s="1" t="s">
        <v>36</v>
      </c>
      <c r="B6" s="2">
        <v>0.4258912037037037</v>
      </c>
      <c r="C6" s="3">
        <f>(B6-$B$3)*86400/60</f>
        <v>28.283333333333335</v>
      </c>
      <c r="F6" t="s">
        <v>37</v>
      </c>
      <c r="G6" s="3">
        <f>C11</f>
        <v>10.366666666666715</v>
      </c>
      <c r="I6" t="s">
        <v>38</v>
      </c>
      <c r="J6" s="3">
        <f>C6</f>
        <v>28.283333333333335</v>
      </c>
    </row>
    <row r="7" spans="1:10" x14ac:dyDescent="0.3">
      <c r="C7" s="3"/>
      <c r="F7" t="s">
        <v>39</v>
      </c>
      <c r="G7" s="3">
        <f>C13</f>
        <v>13.950000000000022</v>
      </c>
    </row>
    <row r="8" spans="1:10" ht="15" customHeight="1" x14ac:dyDescent="0.3">
      <c r="A8" s="1" t="s">
        <v>40</v>
      </c>
      <c r="B8" s="2">
        <v>0.39371527777777782</v>
      </c>
      <c r="C8" s="3">
        <f>(B8-$B$3)*86400/60</f>
        <v>-18.049999999999944</v>
      </c>
      <c r="F8" t="s">
        <v>41</v>
      </c>
      <c r="G8" s="3">
        <f>C14</f>
        <v>15.833333333333224</v>
      </c>
    </row>
    <row r="9" spans="1:10" ht="15" customHeight="1" x14ac:dyDescent="0.3">
      <c r="A9" s="1" t="s">
        <v>42</v>
      </c>
      <c r="B9" s="2">
        <v>0.40773148148148147</v>
      </c>
      <c r="C9" s="3">
        <f>(B9-$B$3)*86400/60</f>
        <v>2.1333333333333204</v>
      </c>
      <c r="F9" t="s">
        <v>43</v>
      </c>
      <c r="G9" s="3">
        <f>C15</f>
        <v>17.216666666666665</v>
      </c>
    </row>
    <row r="10" spans="1:10" ht="15" customHeight="1" x14ac:dyDescent="0.3">
      <c r="A10" s="1" t="s">
        <v>34</v>
      </c>
      <c r="B10" s="2">
        <v>0.41045138888888888</v>
      </c>
      <c r="C10" s="3">
        <f>(B10-$B$3)*86400/60</f>
        <v>6.0499999999999865</v>
      </c>
      <c r="F10" t="s">
        <v>44</v>
      </c>
      <c r="G10" s="3">
        <f>C17</f>
        <v>18.966666666666701</v>
      </c>
    </row>
    <row r="11" spans="1:10" ht="15" customHeight="1" x14ac:dyDescent="0.3">
      <c r="A11" s="1" t="s">
        <v>45</v>
      </c>
      <c r="B11" s="2">
        <v>0.41344907407407411</v>
      </c>
      <c r="C11" s="3">
        <f>(B11-$B$3)*86400/60</f>
        <v>10.366666666666715</v>
      </c>
      <c r="F11" t="s">
        <v>46</v>
      </c>
      <c r="G11" s="3">
        <f>C18</f>
        <v>21.666666666666643</v>
      </c>
    </row>
    <row r="12" spans="1:10" x14ac:dyDescent="0.3">
      <c r="C12" s="3"/>
      <c r="F12" t="s">
        <v>47</v>
      </c>
      <c r="G12" s="3">
        <f>C19</f>
        <v>25.899999999999974</v>
      </c>
    </row>
    <row r="13" spans="1:10" ht="15" customHeight="1" x14ac:dyDescent="0.3">
      <c r="A13" s="1" t="s">
        <v>48</v>
      </c>
      <c r="B13" s="2">
        <v>0.41593750000000002</v>
      </c>
      <c r="C13" s="3">
        <f>(B13-$B$3)*86400/60</f>
        <v>13.950000000000022</v>
      </c>
      <c r="F13" t="s">
        <v>49</v>
      </c>
      <c r="G13" s="3">
        <f>C21</f>
        <v>29.816666666666638</v>
      </c>
    </row>
    <row r="14" spans="1:10" ht="15" customHeight="1" x14ac:dyDescent="0.3">
      <c r="A14" s="1" t="s">
        <v>50</v>
      </c>
      <c r="B14" s="2">
        <v>0.41724537037037029</v>
      </c>
      <c r="C14" s="3">
        <f>(B14-$B$3)*86400/60</f>
        <v>15.833333333333224</v>
      </c>
      <c r="F14" t="s">
        <v>51</v>
      </c>
      <c r="G14" s="3">
        <f>C22</f>
        <v>32.59999999999998</v>
      </c>
    </row>
    <row r="15" spans="1:10" ht="15" customHeight="1" x14ac:dyDescent="0.3">
      <c r="A15" s="1" t="s">
        <v>52</v>
      </c>
      <c r="B15" s="2">
        <v>0.41820601851851852</v>
      </c>
      <c r="C15" s="3">
        <f>(B15-$B$3)*86400/60</f>
        <v>17.216666666666665</v>
      </c>
      <c r="F15" t="s">
        <v>53</v>
      </c>
      <c r="G15" s="3">
        <f>C23</f>
        <v>49.466666666666747</v>
      </c>
    </row>
    <row r="16" spans="1:10" x14ac:dyDescent="0.3">
      <c r="C16" s="3"/>
    </row>
    <row r="17" spans="1:3" ht="15" customHeight="1" x14ac:dyDescent="0.3">
      <c r="A17" s="1" t="s">
        <v>54</v>
      </c>
      <c r="B17" s="2">
        <v>0.41942129629629632</v>
      </c>
      <c r="C17" s="3">
        <f>(B17-$B$3)*86400/60</f>
        <v>18.966666666666701</v>
      </c>
    </row>
    <row r="18" spans="1:3" ht="15" customHeight="1" x14ac:dyDescent="0.3">
      <c r="A18" s="1" t="s">
        <v>55</v>
      </c>
      <c r="B18" s="2">
        <v>0.42129629629629628</v>
      </c>
      <c r="C18" s="3">
        <f>(B18-$B$3)*86400/60</f>
        <v>21.666666666666643</v>
      </c>
    </row>
    <row r="19" spans="1:3" ht="15" customHeight="1" x14ac:dyDescent="0.3">
      <c r="A19" s="1" t="s">
        <v>56</v>
      </c>
      <c r="B19" s="2">
        <v>0.42423611111111109</v>
      </c>
      <c r="C19" s="3">
        <f>(B19-$B$3)*86400/60</f>
        <v>25.899999999999974</v>
      </c>
    </row>
    <row r="20" spans="1:3" x14ac:dyDescent="0.3">
      <c r="C20" s="3"/>
    </row>
    <row r="21" spans="1:3" ht="15" customHeight="1" x14ac:dyDescent="0.3">
      <c r="A21" s="1" t="s">
        <v>57</v>
      </c>
      <c r="B21" s="2">
        <v>0.4269560185185185</v>
      </c>
      <c r="C21" s="3">
        <f>(B21-$B$3)*86400/60</f>
        <v>29.816666666666638</v>
      </c>
    </row>
    <row r="22" spans="1:3" ht="15" customHeight="1" x14ac:dyDescent="0.3">
      <c r="A22" s="1" t="s">
        <v>58</v>
      </c>
      <c r="B22" s="2">
        <v>0.42888888888888888</v>
      </c>
      <c r="C22" s="3">
        <f>(B22-$B$3)*86400/60</f>
        <v>32.59999999999998</v>
      </c>
    </row>
    <row r="23" spans="1:3" ht="15" customHeight="1" x14ac:dyDescent="0.3">
      <c r="A23" s="1" t="s">
        <v>59</v>
      </c>
      <c r="B23" s="2">
        <v>0.44060185185185191</v>
      </c>
      <c r="C23" s="3">
        <f>(B23-$B$3)*86400/60</f>
        <v>49.466666666666747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="104" workbookViewId="0">
      <selection activeCell="D7" sqref="D7"/>
    </sheetView>
  </sheetViews>
  <sheetFormatPr defaultRowHeight="14.4" x14ac:dyDescent="0.3"/>
  <cols>
    <col min="3" max="3" width="13.6640625" bestFit="1" customWidth="1"/>
  </cols>
  <sheetData>
    <row r="1" spans="1:4" x14ac:dyDescent="0.3">
      <c r="B1" t="s">
        <v>26</v>
      </c>
      <c r="C1" t="s">
        <v>60</v>
      </c>
      <c r="D1" t="s">
        <v>5</v>
      </c>
    </row>
    <row r="2" spans="1:4" x14ac:dyDescent="0.3">
      <c r="A2" t="s">
        <v>28</v>
      </c>
      <c r="B2">
        <v>0</v>
      </c>
      <c r="C2">
        <v>96.157341786508979</v>
      </c>
      <c r="D2">
        <v>0</v>
      </c>
    </row>
    <row r="3" spans="1:4" x14ac:dyDescent="0.3">
      <c r="A3" t="s">
        <v>31</v>
      </c>
      <c r="B3">
        <v>2.13333333333332</v>
      </c>
      <c r="C3">
        <v>91.283770596936805</v>
      </c>
      <c r="D3">
        <v>6.1217736180965678</v>
      </c>
    </row>
    <row r="4" spans="1:4" x14ac:dyDescent="0.3">
      <c r="A4" t="s">
        <v>34</v>
      </c>
      <c r="B4">
        <v>6.0499999999999856</v>
      </c>
      <c r="C4">
        <v>82.614101972732954</v>
      </c>
      <c r="D4">
        <v>13.67868976325734</v>
      </c>
    </row>
    <row r="5" spans="1:4" x14ac:dyDescent="0.3">
      <c r="A5" t="s">
        <v>37</v>
      </c>
      <c r="B5">
        <v>10.36666666666664</v>
      </c>
      <c r="C5">
        <v>77.797550455522213</v>
      </c>
      <c r="D5">
        <v>18.863975088282938</v>
      </c>
    </row>
    <row r="6" spans="1:4" x14ac:dyDescent="0.3">
      <c r="A6" t="s">
        <v>39</v>
      </c>
      <c r="B6">
        <v>13.950000000000021</v>
      </c>
      <c r="C6">
        <v>68.12160739128386</v>
      </c>
      <c r="D6">
        <v>28.609679941247659</v>
      </c>
    </row>
    <row r="7" spans="1:4" x14ac:dyDescent="0.3">
      <c r="A7" t="s">
        <v>41</v>
      </c>
      <c r="B7">
        <v>15.8333333333333</v>
      </c>
      <c r="C7">
        <v>59.180057924944109</v>
      </c>
      <c r="D7">
        <v>37.164226937522571</v>
      </c>
    </row>
    <row r="8" spans="1:4" x14ac:dyDescent="0.3">
      <c r="A8" t="s">
        <v>43</v>
      </c>
      <c r="B8">
        <v>17.216666666666669</v>
      </c>
      <c r="C8">
        <v>55.624023953473802</v>
      </c>
      <c r="D8">
        <v>42.380737945622123</v>
      </c>
    </row>
    <row r="9" spans="1:4" x14ac:dyDescent="0.3">
      <c r="A9" t="s">
        <v>44</v>
      </c>
      <c r="B9">
        <v>18.966666666666701</v>
      </c>
      <c r="C9">
        <v>49.452688126075088</v>
      </c>
      <c r="D9">
        <v>45.100113193345692</v>
      </c>
    </row>
    <row r="10" spans="1:4" x14ac:dyDescent="0.3">
      <c r="A10" t="s">
        <v>46</v>
      </c>
      <c r="B10">
        <v>21.666666666666639</v>
      </c>
      <c r="C10">
        <v>42.180805365371768</v>
      </c>
      <c r="D10">
        <v>48.906978256643541</v>
      </c>
    </row>
    <row r="11" spans="1:4" x14ac:dyDescent="0.3">
      <c r="A11" t="s">
        <v>47</v>
      </c>
      <c r="B11">
        <v>25.89999999999997</v>
      </c>
      <c r="C11">
        <v>38.341401178742458</v>
      </c>
      <c r="D11">
        <v>57.623052465459672</v>
      </c>
    </row>
    <row r="12" spans="1:4" x14ac:dyDescent="0.3">
      <c r="A12" t="s">
        <v>49</v>
      </c>
      <c r="B12">
        <v>29.816666666666642</v>
      </c>
      <c r="C12">
        <v>27.534032632026442</v>
      </c>
      <c r="D12">
        <v>66.488145312305321</v>
      </c>
    </row>
    <row r="13" spans="1:4" x14ac:dyDescent="0.3">
      <c r="A13" t="s">
        <v>51</v>
      </c>
      <c r="B13">
        <v>32.59999999999998</v>
      </c>
      <c r="C13">
        <v>18.24848519235589</v>
      </c>
      <c r="D13">
        <v>76.233133260106484</v>
      </c>
    </row>
    <row r="14" spans="1:4" x14ac:dyDescent="0.3">
      <c r="A14" t="s">
        <v>53</v>
      </c>
      <c r="B14">
        <v>49.466666666666683</v>
      </c>
      <c r="C14">
        <v>2.8636320799755</v>
      </c>
      <c r="D14">
        <v>90.991205362533051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C1_E6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2025-01-15T11:12:21Z</dcterms:created>
  <dcterms:modified xsi:type="dcterms:W3CDTF">2026-01-12T11:03:46Z</dcterms:modified>
</cp:coreProperties>
</file>
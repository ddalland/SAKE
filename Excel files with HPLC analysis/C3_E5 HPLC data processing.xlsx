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D74FEFE01F88163DDC9439CD7E730D5D48D256C6" xr6:coauthVersionLast="47" xr6:coauthVersionMax="47" xr10:uidLastSave="{6257ED87-BBBA-42D5-87F5-1576BDEF74E0}"/>
  <bookViews>
    <workbookView xWindow="29070" yWindow="1410" windowWidth="14115" windowHeight="11070" firstSheet="2" activeTab="2" xr2:uid="{00000000-000D-0000-FFFF-FFFF00000000}"/>
  </bookViews>
  <sheets>
    <sheet name="C3_E5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C19" i="2"/>
  <c r="C17" i="2"/>
  <c r="C16" i="2"/>
  <c r="C15" i="2"/>
  <c r="I13" i="2"/>
  <c r="C13" i="2"/>
  <c r="I7" i="2" s="1"/>
  <c r="I12" i="2"/>
  <c r="C12" i="2"/>
  <c r="I6" i="2" s="1"/>
  <c r="I11" i="2"/>
  <c r="C11" i="2"/>
  <c r="I5" i="2" s="1"/>
  <c r="I10" i="2"/>
  <c r="I9" i="2"/>
  <c r="C9" i="2"/>
  <c r="I4" i="2" s="1"/>
  <c r="I8" i="2"/>
  <c r="C8" i="2"/>
  <c r="C7" i="2"/>
  <c r="C5" i="2"/>
  <c r="G4" i="2"/>
  <c r="C4" i="2"/>
  <c r="I3" i="2"/>
  <c r="G3" i="2"/>
  <c r="C3" i="2"/>
  <c r="I2" i="2"/>
  <c r="G2" i="2"/>
  <c r="C2" i="2"/>
  <c r="G1" i="2" s="1"/>
  <c r="I1" i="2"/>
  <c r="C1" i="2"/>
  <c r="H16" i="1"/>
  <c r="I16" i="1" s="1"/>
  <c r="J16" i="1" s="1"/>
  <c r="D16" i="1"/>
  <c r="E16" i="1" s="1"/>
  <c r="F16" i="1" s="1"/>
  <c r="H15" i="1"/>
  <c r="I15" i="1" s="1"/>
  <c r="J15" i="1" s="1"/>
  <c r="D15" i="1"/>
  <c r="E15" i="1" s="1"/>
  <c r="F15" i="1" s="1"/>
  <c r="I14" i="1"/>
  <c r="J14" i="1" s="1"/>
  <c r="H14" i="1"/>
  <c r="D14" i="1"/>
  <c r="E14" i="1" s="1"/>
  <c r="F14" i="1" s="1"/>
  <c r="K14" i="1" s="1"/>
  <c r="H13" i="1"/>
  <c r="I13" i="1" s="1"/>
  <c r="J13" i="1" s="1"/>
  <c r="D13" i="1"/>
  <c r="E13" i="1" s="1"/>
  <c r="F13" i="1" s="1"/>
  <c r="K13" i="1" s="1"/>
  <c r="H12" i="1"/>
  <c r="I12" i="1" s="1"/>
  <c r="J12" i="1" s="1"/>
  <c r="D12" i="1"/>
  <c r="E12" i="1" s="1"/>
  <c r="F12" i="1" s="1"/>
  <c r="K12" i="1" s="1"/>
  <c r="H11" i="1"/>
  <c r="I11" i="1" s="1"/>
  <c r="J11" i="1" s="1"/>
  <c r="E11" i="1"/>
  <c r="F11" i="1" s="1"/>
  <c r="K11" i="1" s="1"/>
  <c r="D11" i="1"/>
  <c r="H10" i="1"/>
  <c r="I10" i="1" s="1"/>
  <c r="J10" i="1" s="1"/>
  <c r="D10" i="1"/>
  <c r="E10" i="1" s="1"/>
  <c r="F10" i="1" s="1"/>
  <c r="K10" i="1" s="1"/>
  <c r="H9" i="1"/>
  <c r="I9" i="1" s="1"/>
  <c r="J9" i="1" s="1"/>
  <c r="D9" i="1"/>
  <c r="E9" i="1" s="1"/>
  <c r="F9" i="1" s="1"/>
  <c r="K9" i="1" s="1"/>
  <c r="H8" i="1"/>
  <c r="I8" i="1" s="1"/>
  <c r="J8" i="1" s="1"/>
  <c r="E8" i="1"/>
  <c r="F8" i="1" s="1"/>
  <c r="D8" i="1"/>
  <c r="H7" i="1"/>
  <c r="I7" i="1" s="1"/>
  <c r="J7" i="1" s="1"/>
  <c r="D7" i="1"/>
  <c r="E7" i="1" s="1"/>
  <c r="F7" i="1" s="1"/>
  <c r="K7" i="1" s="1"/>
  <c r="I6" i="1"/>
  <c r="J6" i="1" s="1"/>
  <c r="H6" i="1"/>
  <c r="D6" i="1"/>
  <c r="E6" i="1" s="1"/>
  <c r="F6" i="1" s="1"/>
  <c r="K6" i="1" s="1"/>
  <c r="H5" i="1"/>
  <c r="I5" i="1" s="1"/>
  <c r="J5" i="1" s="1"/>
  <c r="D5" i="1"/>
  <c r="E5" i="1" s="1"/>
  <c r="F5" i="1" s="1"/>
  <c r="K5" i="1" s="1"/>
  <c r="H4" i="1"/>
  <c r="I4" i="1" s="1"/>
  <c r="J4" i="1" s="1"/>
  <c r="D4" i="1"/>
  <c r="E4" i="1" s="1"/>
  <c r="F4" i="1" s="1"/>
  <c r="K4" i="1" s="1"/>
  <c r="K16" i="1" l="1"/>
  <c r="K8" i="1"/>
  <c r="K15" i="1"/>
</calcChain>
</file>

<file path=xl/sharedStrings.xml><?xml version="1.0" encoding="utf-8"?>
<sst xmlns="http://schemas.openxmlformats.org/spreadsheetml/2006/main" count="78" uniqueCount="64">
  <si>
    <t>filename</t>
  </si>
  <si>
    <t>Biphenyl</t>
  </si>
  <si>
    <t>4-SO2Me-ArOPh</t>
  </si>
  <si>
    <t>Ratio of integral with IS</t>
  </si>
  <si>
    <t>concentrations</t>
  </si>
  <si>
    <t>Product</t>
  </si>
  <si>
    <t>Compound</t>
  </si>
  <si>
    <t>Initial concentration / mM</t>
  </si>
  <si>
    <t>Morpholine</t>
  </si>
  <si>
    <t>C3_E5-S0</t>
  </si>
  <si>
    <t>Ar-4SO2Me-Oph</t>
  </si>
  <si>
    <t>C3_E5-S1</t>
  </si>
  <si>
    <t>C3_E5-S2</t>
  </si>
  <si>
    <t>C3_E5-S3</t>
  </si>
  <si>
    <t>C3_E5-S4</t>
  </si>
  <si>
    <t>C3_E5-S5</t>
  </si>
  <si>
    <t>C3_E5-S6</t>
  </si>
  <si>
    <t>C3_E5-S7</t>
  </si>
  <si>
    <t>C3_E5-S8</t>
  </si>
  <si>
    <t>C3_E5-S9</t>
  </si>
  <si>
    <t>Phenol</t>
  </si>
  <si>
    <t>C3_E5-S10</t>
  </si>
  <si>
    <t>C3_E5-S11</t>
  </si>
  <si>
    <t>C3_E5-S12</t>
  </si>
  <si>
    <t>CC 4SO2Me-ArOPh 254 nm</t>
  </si>
  <si>
    <t>CC Product 254 nm</t>
  </si>
  <si>
    <t>Start:</t>
  </si>
  <si>
    <t>V1</t>
  </si>
  <si>
    <t>S0</t>
  </si>
  <si>
    <t>V1:</t>
  </si>
  <si>
    <t>V2</t>
  </si>
  <si>
    <t>S1</t>
  </si>
  <si>
    <t>V2:</t>
  </si>
  <si>
    <t>V3</t>
  </si>
  <si>
    <t>S2</t>
  </si>
  <si>
    <t>Phenol:</t>
  </si>
  <si>
    <t>V4</t>
  </si>
  <si>
    <t>S3</t>
  </si>
  <si>
    <t>V3:</t>
  </si>
  <si>
    <t>S4</t>
  </si>
  <si>
    <t>S5</t>
  </si>
  <si>
    <t>S1:</t>
  </si>
  <si>
    <t>S6</t>
  </si>
  <si>
    <t>S2:</t>
  </si>
  <si>
    <t>S7</t>
  </si>
  <si>
    <t>S3:</t>
  </si>
  <si>
    <t>S8</t>
  </si>
  <si>
    <t>S9</t>
  </si>
  <si>
    <t>S4:</t>
  </si>
  <si>
    <t>S10</t>
  </si>
  <si>
    <t>S5:</t>
  </si>
  <si>
    <t>S11</t>
  </si>
  <si>
    <t>S6:</t>
  </si>
  <si>
    <t>S12</t>
  </si>
  <si>
    <t>S13</t>
  </si>
  <si>
    <t>S7: </t>
  </si>
  <si>
    <t>S8:</t>
  </si>
  <si>
    <t>S9:</t>
  </si>
  <si>
    <t>S10:</t>
  </si>
  <si>
    <t>S11:</t>
  </si>
  <si>
    <t>S12: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</si>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</sst>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2" fontId="0" fillId="0" borderId="0" xfId="0" applyNumberFormat="1"/>
    <xf numFmtId="2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141.5833333320916</c:v>
                </c:pt>
                <c:pt idx="2">
                  <c:v>337.89999999920838</c:v>
                </c:pt>
                <c:pt idx="3">
                  <c:v>464.33333333116019</c:v>
                </c:pt>
                <c:pt idx="4">
                  <c:v>481.38333332492039</c:v>
                </c:pt>
                <c:pt idx="5">
                  <c:v>520.04999999888241</c:v>
                </c:pt>
                <c:pt idx="6">
                  <c:v>702.68333332962357</c:v>
                </c:pt>
                <c:pt idx="7">
                  <c:v>721.84999999240972</c:v>
                </c:pt>
                <c:pt idx="8">
                  <c:v>1427.166666663252</c:v>
                </c:pt>
                <c:pt idx="9">
                  <c:v>1433.0833333299961</c:v>
                </c:pt>
                <c:pt idx="10">
                  <c:v>1445.183333329624</c:v>
                </c:pt>
                <c:pt idx="11">
                  <c:v>1504.616666663205</c:v>
                </c:pt>
                <c:pt idx="12">
                  <c:v>1829.0333333308811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132.94370653320669</c:v>
                </c:pt>
                <c:pt idx="1">
                  <c:v>124.9845235555932</c:v>
                </c:pt>
                <c:pt idx="2">
                  <c:v>116.76064414303551</c:v>
                </c:pt>
                <c:pt idx="3">
                  <c:v>112.0710617545009</c:v>
                </c:pt>
                <c:pt idx="4">
                  <c:v>109.32348197839561</c:v>
                </c:pt>
                <c:pt idx="5">
                  <c:v>103.09395824443681</c:v>
                </c:pt>
                <c:pt idx="6">
                  <c:v>83.849914219178956</c:v>
                </c:pt>
                <c:pt idx="7">
                  <c:v>79.456079461391383</c:v>
                </c:pt>
                <c:pt idx="8">
                  <c:v>50.044534031980682</c:v>
                </c:pt>
                <c:pt idx="9">
                  <c:v>47.829172079571912</c:v>
                </c:pt>
                <c:pt idx="10">
                  <c:v>44.783763647055501</c:v>
                </c:pt>
                <c:pt idx="11">
                  <c:v>36.507000279512987</c:v>
                </c:pt>
                <c:pt idx="12">
                  <c:v>14.82146436713397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1B-440F-9D90-E6349D9CAD92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141.5833333320916</c:v>
                </c:pt>
                <c:pt idx="2">
                  <c:v>337.89999999920838</c:v>
                </c:pt>
                <c:pt idx="3">
                  <c:v>464.33333333116019</c:v>
                </c:pt>
                <c:pt idx="4">
                  <c:v>481.38333332492039</c:v>
                </c:pt>
                <c:pt idx="5">
                  <c:v>520.04999999888241</c:v>
                </c:pt>
                <c:pt idx="6">
                  <c:v>702.68333332962357</c:v>
                </c:pt>
                <c:pt idx="7">
                  <c:v>721.84999999240972</c:v>
                </c:pt>
                <c:pt idx="8">
                  <c:v>1427.166666663252</c:v>
                </c:pt>
                <c:pt idx="9">
                  <c:v>1433.0833333299961</c:v>
                </c:pt>
                <c:pt idx="10">
                  <c:v>1445.183333329624</c:v>
                </c:pt>
                <c:pt idx="11">
                  <c:v>1504.616666663205</c:v>
                </c:pt>
                <c:pt idx="12">
                  <c:v>1829.0333333308811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7.9591829776135183</c:v>
                </c:pt>
                <c:pt idx="2">
                  <c:v>16.183062390171131</c:v>
                </c:pt>
                <c:pt idx="3">
                  <c:v>20.872644778705759</c:v>
                </c:pt>
                <c:pt idx="4">
                  <c:v>22.554263362091401</c:v>
                </c:pt>
                <c:pt idx="5">
                  <c:v>28.78378709605024</c:v>
                </c:pt>
                <c:pt idx="6">
                  <c:v>48.02783112130809</c:v>
                </c:pt>
                <c:pt idx="7">
                  <c:v>50.730612366121093</c:v>
                </c:pt>
                <c:pt idx="8">
                  <c:v>80.14215779553183</c:v>
                </c:pt>
                <c:pt idx="9">
                  <c:v>82.357519747940614</c:v>
                </c:pt>
                <c:pt idx="10">
                  <c:v>83.475148503720945</c:v>
                </c:pt>
                <c:pt idx="11">
                  <c:v>91.751911871263459</c:v>
                </c:pt>
                <c:pt idx="12">
                  <c:v>113.4374477836425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1B-440F-9D90-E6349D9CA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0056752"/>
        <c:axId val="1730057232"/>
      </c:scatterChart>
      <c:valAx>
        <c:axId val="173005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57232"/>
        <c:crosses val="autoZero"/>
        <c:crossBetween val="midCat"/>
      </c:valAx>
      <c:valAx>
        <c:axId val="17300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056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543877</xdr:colOff>
      <xdr:row>0</xdr:row>
      <xdr:rowOff>120015</xdr:rowOff>
    </xdr:from>
    <xdr:to>
      <xdr:col>11</xdr:col>
      <xdr:colOff>239077</xdr:colOff>
      <xdr:row>15</xdr:row>
      <xdr:rowOff>154305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893F30B-B3ED-A0C3-E73F-CDD7F53101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workbookViewId="0">
      <selection activeCell="C17" sqref="C17:G21"/>
    </sheetView>
  </sheetViews>
  <sheetFormatPr defaultRowHeight="14.4" x14ac:dyDescent="0.3"/>
  <cols>
    <col min="1" max="1" width="10.109375" bestFit="1" customWidth="1"/>
    <col min="3" max="3" width="14.44140625" bestFit="1" customWidth="1"/>
    <col min="5" max="5" width="13.33203125" bestFit="1" customWidth="1"/>
    <col min="14" max="14" width="23.4414062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>
        <v>5</v>
      </c>
      <c r="H1">
        <v>6</v>
      </c>
      <c r="I1">
        <v>7</v>
      </c>
    </row>
    <row r="2" spans="1:14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5</v>
      </c>
      <c r="H2" t="s">
        <v>3</v>
      </c>
      <c r="I2" t="s">
        <v>4</v>
      </c>
      <c r="M2" t="s">
        <v>6</v>
      </c>
      <c r="N2" t="s">
        <v>7</v>
      </c>
    </row>
    <row r="3" spans="1:14" x14ac:dyDescent="0.3">
      <c r="B3">
        <v>5.5973076923076901</v>
      </c>
      <c r="C3">
        <v>4.7881538461538398</v>
      </c>
      <c r="G3">
        <v>4.1653076923076897</v>
      </c>
      <c r="M3" t="s">
        <v>8</v>
      </c>
      <c r="N3">
        <v>43.353728893499628</v>
      </c>
    </row>
    <row r="4" spans="1:14" x14ac:dyDescent="0.3">
      <c r="A4" s="5" t="s">
        <v>9</v>
      </c>
      <c r="B4" s="5">
        <v>150.4</v>
      </c>
      <c r="C4" s="5">
        <v>857.1</v>
      </c>
      <c r="D4" s="5">
        <f t="shared" ref="D4:D16" si="0">C4/B4</f>
        <v>5.698803191489362</v>
      </c>
      <c r="E4" s="5">
        <f t="shared" ref="E4:E16" si="1">D4/$B$21</f>
        <v>9.7883943515791163</v>
      </c>
      <c r="F4" s="5">
        <f>E4*$N$5</f>
        <v>121.79658016586649</v>
      </c>
      <c r="G4">
        <v>0</v>
      </c>
      <c r="H4" s="5">
        <f t="shared" ref="H4:H16" si="2">G4/B4</f>
        <v>0</v>
      </c>
      <c r="I4" s="5">
        <f t="shared" ref="I4:I16" si="3">H4/$B$22</f>
        <v>0</v>
      </c>
      <c r="J4" s="5">
        <f>I4*$N$5</f>
        <v>0</v>
      </c>
      <c r="K4" s="5">
        <f t="shared" ref="K4:K16" si="4">SUM(F4,J4)</f>
        <v>121.79658016586649</v>
      </c>
      <c r="L4" s="5"/>
      <c r="M4" t="s">
        <v>10</v>
      </c>
      <c r="N4">
        <v>124.5962110979313</v>
      </c>
    </row>
    <row r="5" spans="1:14" x14ac:dyDescent="0.3">
      <c r="A5" s="5" t="s">
        <v>11</v>
      </c>
      <c r="B5" s="5">
        <v>281.10000000000002</v>
      </c>
      <c r="C5" s="5">
        <v>1545.5</v>
      </c>
      <c r="D5" s="5">
        <f t="shared" si="0"/>
        <v>5.4980434009249377</v>
      </c>
      <c r="E5" s="5">
        <f t="shared" si="1"/>
        <v>9.443564755968632</v>
      </c>
      <c r="F5" s="5">
        <f>E5*$N$5</f>
        <v>117.50587997778506</v>
      </c>
      <c r="G5">
        <v>120.7</v>
      </c>
      <c r="H5" s="5">
        <f t="shared" si="2"/>
        <v>0.42938456065457131</v>
      </c>
      <c r="I5" s="5">
        <f t="shared" si="3"/>
        <v>0.60137893649099627</v>
      </c>
      <c r="J5" s="5">
        <f>I5*$N$5</f>
        <v>7.4829328710661045</v>
      </c>
      <c r="K5" s="5">
        <f t="shared" si="4"/>
        <v>124.98881284885115</v>
      </c>
      <c r="L5" s="5"/>
      <c r="M5" t="s">
        <v>1</v>
      </c>
      <c r="N5">
        <v>12.442958036955019</v>
      </c>
    </row>
    <row r="6" spans="1:14" x14ac:dyDescent="0.3">
      <c r="A6" s="5" t="s">
        <v>12</v>
      </c>
      <c r="B6" s="5">
        <v>142.6</v>
      </c>
      <c r="C6" s="5">
        <v>740.1</v>
      </c>
      <c r="D6" s="5">
        <f t="shared" si="0"/>
        <v>5.1900420757363257</v>
      </c>
      <c r="E6" s="5">
        <f t="shared" si="1"/>
        <v>8.9145346543049211</v>
      </c>
      <c r="F6" s="5">
        <f>E6*$N$5</f>
        <v>110.92318062249745</v>
      </c>
      <c r="G6">
        <v>125.8</v>
      </c>
      <c r="H6" s="5">
        <f t="shared" si="2"/>
        <v>0.88218793828892006</v>
      </c>
      <c r="I6" s="5">
        <f t="shared" si="3"/>
        <v>1.2355573365391037</v>
      </c>
      <c r="J6" s="5">
        <f>I6*$N$5</f>
        <v>15.373988090807979</v>
      </c>
      <c r="K6" s="5">
        <f t="shared" si="4"/>
        <v>126.29716871330544</v>
      </c>
      <c r="L6" s="5"/>
    </row>
    <row r="7" spans="1:14" x14ac:dyDescent="0.3">
      <c r="A7" s="5" t="s">
        <v>13</v>
      </c>
      <c r="B7" s="5">
        <v>685.4</v>
      </c>
      <c r="C7" s="5">
        <v>3325.2</v>
      </c>
      <c r="D7" s="5">
        <f t="shared" si="0"/>
        <v>4.8514735920630292</v>
      </c>
      <c r="E7" s="5">
        <f t="shared" si="1"/>
        <v>8.333001703990087</v>
      </c>
      <c r="F7" s="5">
        <f>E7*$N$5</f>
        <v>103.68719052462332</v>
      </c>
      <c r="G7">
        <v>759.5</v>
      </c>
      <c r="H7" s="5">
        <f t="shared" si="2"/>
        <v>1.1081120513568719</v>
      </c>
      <c r="I7" s="5">
        <f t="shared" si="3"/>
        <v>1.5519776629648065</v>
      </c>
      <c r="J7" s="5">
        <f>I7*$N$5</f>
        <v>19.311192934562609</v>
      </c>
      <c r="K7" s="5">
        <f t="shared" si="4"/>
        <v>122.99838345918593</v>
      </c>
      <c r="L7" s="5"/>
    </row>
    <row r="8" spans="1:14" x14ac:dyDescent="0.3">
      <c r="A8" s="6" t="s">
        <v>14</v>
      </c>
      <c r="B8" s="6">
        <v>172.9</v>
      </c>
      <c r="C8" s="6">
        <v>747</v>
      </c>
      <c r="D8" s="6">
        <f t="shared" si="0"/>
        <v>4.3204164256795838</v>
      </c>
      <c r="E8" s="6">
        <f t="shared" si="1"/>
        <v>7.4208458015794978</v>
      </c>
      <c r="F8" s="6">
        <f>E8*$N$12</f>
        <v>91.643038057142533</v>
      </c>
      <c r="G8">
        <v>189</v>
      </c>
      <c r="H8" s="6">
        <f t="shared" si="2"/>
        <v>1.0931174089068825</v>
      </c>
      <c r="I8" s="6">
        <f t="shared" si="3"/>
        <v>1.5309767631749054</v>
      </c>
      <c r="J8" s="6">
        <f>I8*$N$12</f>
        <v>18.906653705481354</v>
      </c>
      <c r="K8" s="6">
        <f t="shared" si="4"/>
        <v>110.54969176262389</v>
      </c>
      <c r="L8" s="6"/>
    </row>
    <row r="9" spans="1:14" x14ac:dyDescent="0.3">
      <c r="A9" s="6" t="s">
        <v>15</v>
      </c>
      <c r="B9" s="6">
        <v>157</v>
      </c>
      <c r="C9" s="6">
        <v>727.5</v>
      </c>
      <c r="D9" s="6">
        <f t="shared" si="0"/>
        <v>4.6337579617834397</v>
      </c>
      <c r="E9" s="6">
        <f t="shared" si="1"/>
        <v>7.9590483713216065</v>
      </c>
      <c r="F9" s="6">
        <f>E9*$N$12</f>
        <v>98.289520129419245</v>
      </c>
      <c r="G9">
        <v>249.1</v>
      </c>
      <c r="H9" s="6">
        <f t="shared" si="2"/>
        <v>1.586624203821656</v>
      </c>
      <c r="I9" s="6">
        <f t="shared" si="3"/>
        <v>2.2221627504504986</v>
      </c>
      <c r="J9" s="6">
        <f>I9*$N$12</f>
        <v>27.442390120187429</v>
      </c>
      <c r="K9" s="6">
        <f t="shared" si="4"/>
        <v>125.73191024960667</v>
      </c>
      <c r="L9" s="6"/>
    </row>
    <row r="10" spans="1:14" x14ac:dyDescent="0.3">
      <c r="A10" s="6" t="s">
        <v>16</v>
      </c>
      <c r="B10" s="6">
        <v>329.6</v>
      </c>
      <c r="C10" s="6">
        <v>1248.2</v>
      </c>
      <c r="D10" s="6">
        <f t="shared" si="0"/>
        <v>3.787014563106796</v>
      </c>
      <c r="E10" s="6">
        <f t="shared" si="1"/>
        <v>6.5046625955115003</v>
      </c>
      <c r="F10" s="6">
        <f>E10*$N$12</f>
        <v>80.328719626872314</v>
      </c>
      <c r="G10">
        <v>876.8</v>
      </c>
      <c r="H10" s="6">
        <f t="shared" si="2"/>
        <v>2.6601941747572813</v>
      </c>
      <c r="I10" s="6">
        <f t="shared" si="3"/>
        <v>3.7257621495200017</v>
      </c>
      <c r="J10" s="6">
        <f>I10*$N$12</f>
        <v>46.01094963968238</v>
      </c>
      <c r="K10" s="6">
        <f t="shared" si="4"/>
        <v>126.33966926655469</v>
      </c>
      <c r="L10" s="6"/>
      <c r="M10" t="s">
        <v>8</v>
      </c>
      <c r="N10">
        <v>130.21093127138079</v>
      </c>
    </row>
    <row r="11" spans="1:14" x14ac:dyDescent="0.3">
      <c r="A11" s="7" t="s">
        <v>17</v>
      </c>
      <c r="B11" s="7">
        <v>132.5</v>
      </c>
      <c r="C11" s="7">
        <v>483.9</v>
      </c>
      <c r="D11" s="7">
        <f t="shared" si="0"/>
        <v>3.652075471698113</v>
      </c>
      <c r="E11" s="7">
        <f t="shared" si="1"/>
        <v>6.2728881341430993</v>
      </c>
      <c r="F11" s="7">
        <f>E11*$N$20</f>
        <v>76.534257096923056</v>
      </c>
      <c r="G11">
        <v>378.9</v>
      </c>
      <c r="H11" s="7">
        <f t="shared" si="2"/>
        <v>2.8596226415094339</v>
      </c>
      <c r="I11" s="7">
        <f t="shared" si="3"/>
        <v>4.0050737276042492</v>
      </c>
      <c r="J11" s="7">
        <f>I11*$N$20</f>
        <v>48.865105802252302</v>
      </c>
      <c r="K11" s="7">
        <f t="shared" si="4"/>
        <v>125.39936289917536</v>
      </c>
      <c r="L11" s="7"/>
      <c r="M11" t="s">
        <v>10</v>
      </c>
      <c r="N11">
        <v>123.6594384461506</v>
      </c>
    </row>
    <row r="12" spans="1:14" x14ac:dyDescent="0.3">
      <c r="A12" s="7" t="s">
        <v>18</v>
      </c>
      <c r="B12" s="7">
        <v>52.3</v>
      </c>
      <c r="C12" s="7">
        <v>127.6</v>
      </c>
      <c r="D12" s="7">
        <f t="shared" si="0"/>
        <v>2.4397705544933079</v>
      </c>
      <c r="E12" s="7">
        <f t="shared" si="1"/>
        <v>4.1906055556394843</v>
      </c>
      <c r="F12" s="7">
        <f>E12*$N$20</f>
        <v>51.128742634738316</v>
      </c>
      <c r="G12">
        <v>250.6</v>
      </c>
      <c r="H12" s="7">
        <f t="shared" si="2"/>
        <v>4.7915869980879542</v>
      </c>
      <c r="I12" s="7">
        <f t="shared" si="3"/>
        <v>6.7109061597870507</v>
      </c>
      <c r="J12" s="7">
        <f>I12*$N$20</f>
        <v>81.878427672077152</v>
      </c>
      <c r="K12" s="7">
        <f t="shared" si="4"/>
        <v>133.00717030681545</v>
      </c>
      <c r="L12" s="7"/>
      <c r="M12" t="s">
        <v>1</v>
      </c>
      <c r="N12">
        <v>12.349406052560299</v>
      </c>
    </row>
    <row r="13" spans="1:14" x14ac:dyDescent="0.3">
      <c r="A13" s="7" t="s">
        <v>19</v>
      </c>
      <c r="B13" s="7">
        <v>140.5</v>
      </c>
      <c r="C13" s="7">
        <v>291.8</v>
      </c>
      <c r="D13" s="7">
        <f t="shared" si="0"/>
        <v>2.0768683274021353</v>
      </c>
      <c r="E13" s="7">
        <f t="shared" si="1"/>
        <v>3.5672764125766663</v>
      </c>
      <c r="F13" s="7">
        <f>E13*$N$20</f>
        <v>43.523628073311301</v>
      </c>
      <c r="G13">
        <v>616.20000000000005</v>
      </c>
      <c r="H13" s="7">
        <f t="shared" si="2"/>
        <v>4.3857651245551601</v>
      </c>
      <c r="I13" s="7">
        <f t="shared" si="3"/>
        <v>6.1425281856514848</v>
      </c>
      <c r="J13" s="7">
        <f>I13*$N$20</f>
        <v>74.943761363594987</v>
      </c>
      <c r="K13" s="7">
        <f t="shared" si="4"/>
        <v>118.46738943690629</v>
      </c>
      <c r="L13" s="7"/>
      <c r="M13" t="s">
        <v>20</v>
      </c>
      <c r="N13">
        <v>0</v>
      </c>
    </row>
    <row r="14" spans="1:14" x14ac:dyDescent="0.3">
      <c r="A14" s="4" t="s">
        <v>21</v>
      </c>
      <c r="B14" s="4">
        <v>281</v>
      </c>
      <c r="C14" s="4">
        <v>600.5</v>
      </c>
      <c r="D14" s="4">
        <f t="shared" si="0"/>
        <v>2.1370106761565837</v>
      </c>
      <c r="E14" s="4">
        <f t="shared" si="1"/>
        <v>3.6705782826461415</v>
      </c>
      <c r="F14" s="4">
        <f>E14*$N$28</f>
        <v>44.161101691603236</v>
      </c>
      <c r="G14">
        <v>1372.7</v>
      </c>
      <c r="H14" s="4">
        <f t="shared" si="2"/>
        <v>4.8850533807829182</v>
      </c>
      <c r="I14" s="4">
        <f t="shared" si="3"/>
        <v>6.8418114576791575</v>
      </c>
      <c r="J14" s="4">
        <f>I14*$N$28</f>
        <v>82.314531463835053</v>
      </c>
      <c r="K14" s="4">
        <f t="shared" si="4"/>
        <v>126.47563315543829</v>
      </c>
      <c r="L14" s="4"/>
    </row>
    <row r="15" spans="1:14" x14ac:dyDescent="0.3">
      <c r="A15" s="4" t="s">
        <v>22</v>
      </c>
      <c r="B15" s="4">
        <v>101.3</v>
      </c>
      <c r="C15" s="4">
        <v>181.2</v>
      </c>
      <c r="D15" s="4">
        <f t="shared" si="0"/>
        <v>1.7887462981243829</v>
      </c>
      <c r="E15" s="4">
        <f t="shared" si="1"/>
        <v>3.0723914430168029</v>
      </c>
      <c r="F15" s="4">
        <f>E15*$N$28</f>
        <v>36.964254813185455</v>
      </c>
      <c r="G15">
        <v>558.5</v>
      </c>
      <c r="H15" s="4">
        <f t="shared" si="2"/>
        <v>5.5133267522211256</v>
      </c>
      <c r="I15" s="4">
        <f t="shared" si="3"/>
        <v>7.7217461515702039</v>
      </c>
      <c r="J15" s="4">
        <f>I15*$N$28</f>
        <v>92.901115513168733</v>
      </c>
      <c r="K15" s="4">
        <f t="shared" si="4"/>
        <v>129.8653703263542</v>
      </c>
      <c r="L15" s="4"/>
    </row>
    <row r="16" spans="1:14" x14ac:dyDescent="0.3">
      <c r="A16" s="4" t="s">
        <v>23</v>
      </c>
      <c r="B16" s="4">
        <v>289.39999999999998</v>
      </c>
      <c r="C16" s="4">
        <v>209.2</v>
      </c>
      <c r="D16" s="4">
        <f t="shared" si="0"/>
        <v>0.72287491361437461</v>
      </c>
      <c r="E16" s="4">
        <f t="shared" si="1"/>
        <v>1.2416264404231785</v>
      </c>
      <c r="F16" s="4">
        <f>E16*$N$28</f>
        <v>14.938134341868038</v>
      </c>
      <c r="G16">
        <v>1963.6</v>
      </c>
      <c r="H16" s="4">
        <f t="shared" si="2"/>
        <v>6.7850725639253628</v>
      </c>
      <c r="I16" s="4">
        <f t="shared" si="3"/>
        <v>9.5029027505957462</v>
      </c>
      <c r="J16" s="4">
        <f>I16*$N$28</f>
        <v>114.33039222145139</v>
      </c>
      <c r="K16" s="4">
        <f t="shared" si="4"/>
        <v>129.26852656331943</v>
      </c>
      <c r="L16" s="4"/>
    </row>
    <row r="18" spans="1:14" x14ac:dyDescent="0.3">
      <c r="M18" t="s">
        <v>8</v>
      </c>
      <c r="N18">
        <v>128.64404953416721</v>
      </c>
    </row>
    <row r="19" spans="1:14" x14ac:dyDescent="0.3">
      <c r="M19" t="s">
        <v>10</v>
      </c>
      <c r="N19">
        <v>122.1713935190197</v>
      </c>
    </row>
    <row r="20" spans="1:14" x14ac:dyDescent="0.3">
      <c r="M20" t="s">
        <v>1</v>
      </c>
      <c r="N20">
        <v>12.20080056590678</v>
      </c>
    </row>
    <row r="21" spans="1:14" x14ac:dyDescent="0.3">
      <c r="A21" t="s">
        <v>24</v>
      </c>
      <c r="B21">
        <v>0.58220000000000005</v>
      </c>
      <c r="M21" t="s">
        <v>20</v>
      </c>
      <c r="N21">
        <v>136.8159649839468</v>
      </c>
    </row>
    <row r="22" spans="1:14" x14ac:dyDescent="0.3">
      <c r="A22" t="s">
        <v>25</v>
      </c>
      <c r="B22">
        <v>0.71399999999999997</v>
      </c>
    </row>
    <row r="26" spans="1:14" x14ac:dyDescent="0.3">
      <c r="M26" t="s">
        <v>8</v>
      </c>
      <c r="N26">
        <v>288.13943095873628</v>
      </c>
    </row>
    <row r="27" spans="1:14" x14ac:dyDescent="0.3">
      <c r="M27" t="s">
        <v>10</v>
      </c>
      <c r="N27">
        <v>120.4721352592864</v>
      </c>
    </row>
    <row r="28" spans="1:14" x14ac:dyDescent="0.3">
      <c r="M28" t="s">
        <v>1</v>
      </c>
      <c r="N28">
        <v>12.03110199294462</v>
      </c>
    </row>
    <row r="29" spans="1:14" x14ac:dyDescent="0.3">
      <c r="M29" t="s">
        <v>20</v>
      </c>
      <c r="N29">
        <v>134.91301821493769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I21"/>
  <sheetViews>
    <sheetView workbookViewId="0">
      <selection activeCell="G1" sqref="G1"/>
    </sheetView>
  </sheetViews>
  <sheetFormatPr defaultRowHeight="14.4" x14ac:dyDescent="0.3"/>
  <cols>
    <col min="2" max="2" width="15.109375" bestFit="1" customWidth="1"/>
  </cols>
  <sheetData>
    <row r="1" spans="1:9" x14ac:dyDescent="0.3">
      <c r="A1" s="1" t="s">
        <v>26</v>
      </c>
      <c r="B1" s="3">
        <v>38353.371736111112</v>
      </c>
      <c r="C1" s="2">
        <f>(B1-$B$2)*86400/60</f>
        <v>-16.150000003399327</v>
      </c>
      <c r="F1" t="s">
        <v>27</v>
      </c>
      <c r="G1" s="2">
        <f>C2</f>
        <v>0</v>
      </c>
      <c r="H1" t="s">
        <v>28</v>
      </c>
      <c r="I1">
        <f>0</f>
        <v>0</v>
      </c>
    </row>
    <row r="2" spans="1:9" x14ac:dyDescent="0.3">
      <c r="A2" s="1" t="s">
        <v>29</v>
      </c>
      <c r="B2" s="3">
        <v>38353.382951388892</v>
      </c>
      <c r="C2" s="2">
        <f>(B2-$B$2)*86400/60</f>
        <v>0</v>
      </c>
      <c r="F2" t="s">
        <v>30</v>
      </c>
      <c r="G2" s="2">
        <f>C3</f>
        <v>471.41666667535901</v>
      </c>
      <c r="H2" t="s">
        <v>31</v>
      </c>
      <c r="I2" s="2">
        <f>C7</f>
        <v>141.58333333209157</v>
      </c>
    </row>
    <row r="3" spans="1:9" x14ac:dyDescent="0.3">
      <c r="A3" s="1" t="s">
        <v>32</v>
      </c>
      <c r="B3" s="3">
        <v>38353.710324074083</v>
      </c>
      <c r="C3" s="2">
        <f>(B3-$B$2)*86400/60</f>
        <v>471.41666667535901</v>
      </c>
      <c r="F3" t="s">
        <v>33</v>
      </c>
      <c r="G3" s="2">
        <f>C4</f>
        <v>710.06666666013189</v>
      </c>
      <c r="H3" t="s">
        <v>34</v>
      </c>
      <c r="I3" s="2">
        <f>C8</f>
        <v>337.89999999920838</v>
      </c>
    </row>
    <row r="4" spans="1:9" x14ac:dyDescent="0.3">
      <c r="A4" s="1" t="s">
        <v>35</v>
      </c>
      <c r="B4" s="3">
        <v>38353.87605324074</v>
      </c>
      <c r="C4" s="2">
        <f>(B4-$B$2)*86400/60</f>
        <v>710.06666666013189</v>
      </c>
      <c r="F4" t="s">
        <v>36</v>
      </c>
      <c r="G4" s="2">
        <f>C5</f>
        <v>1434.3166666582692</v>
      </c>
      <c r="H4" t="s">
        <v>37</v>
      </c>
      <c r="I4" s="2">
        <f>C9</f>
        <v>464.33333332068287</v>
      </c>
    </row>
    <row r="5" spans="1:9" x14ac:dyDescent="0.3">
      <c r="A5" s="1" t="s">
        <v>38</v>
      </c>
      <c r="B5" s="3">
        <v>38354.379004629627</v>
      </c>
      <c r="C5" s="2">
        <f>(B5-$B$2)*86400/60</f>
        <v>1434.3166666582692</v>
      </c>
      <c r="H5" t="s">
        <v>39</v>
      </c>
      <c r="I5" s="2">
        <f>C11</f>
        <v>481.38333332492039</v>
      </c>
    </row>
    <row r="6" spans="1:9" x14ac:dyDescent="0.3">
      <c r="A6" s="1"/>
      <c r="C6" s="2"/>
      <c r="H6" t="s">
        <v>40</v>
      </c>
      <c r="I6" s="2">
        <f>C12</f>
        <v>520.04999998840503</v>
      </c>
    </row>
    <row r="7" spans="1:9" x14ac:dyDescent="0.3">
      <c r="A7" s="1" t="s">
        <v>41</v>
      </c>
      <c r="B7" s="3">
        <v>38353.481273148151</v>
      </c>
      <c r="C7" s="2">
        <f>(B7-$B$2)*86400/60</f>
        <v>141.58333333209157</v>
      </c>
      <c r="H7" t="s">
        <v>42</v>
      </c>
      <c r="I7" s="2">
        <f>C13</f>
        <v>702.68333332962357</v>
      </c>
    </row>
    <row r="8" spans="1:9" x14ac:dyDescent="0.3">
      <c r="A8" s="1" t="s">
        <v>43</v>
      </c>
      <c r="B8" s="3">
        <v>38353.617604166669</v>
      </c>
      <c r="C8" s="2">
        <f>(B8-$B$2)*86400/60</f>
        <v>337.89999999920838</v>
      </c>
      <c r="H8" t="s">
        <v>44</v>
      </c>
      <c r="I8" s="2">
        <f>C15</f>
        <v>721.84999999240972</v>
      </c>
    </row>
    <row r="9" spans="1:9" x14ac:dyDescent="0.3">
      <c r="A9" s="1" t="s">
        <v>45</v>
      </c>
      <c r="B9" s="3">
        <v>38353.705405092587</v>
      </c>
      <c r="C9" s="2">
        <f>(B9-$B$2)*86400/60</f>
        <v>464.33333332068287</v>
      </c>
      <c r="H9" t="s">
        <v>46</v>
      </c>
      <c r="I9" s="2">
        <f>C16</f>
        <v>1427.1666666632518</v>
      </c>
    </row>
    <row r="10" spans="1:9" x14ac:dyDescent="0.3">
      <c r="A10" s="1"/>
      <c r="C10" s="2"/>
      <c r="H10" t="s">
        <v>47</v>
      </c>
      <c r="I10" s="2">
        <f>C17</f>
        <v>1433.0833333299961</v>
      </c>
    </row>
    <row r="11" spans="1:9" x14ac:dyDescent="0.3">
      <c r="A11" s="1" t="s">
        <v>48</v>
      </c>
      <c r="B11" s="3">
        <v>38353.717245370368</v>
      </c>
      <c r="C11" s="2">
        <f>(B11-$B$2)*86400/60</f>
        <v>481.38333332492039</v>
      </c>
      <c r="H11" t="s">
        <v>49</v>
      </c>
      <c r="I11" s="2">
        <f>C19</f>
        <v>1445.1833333296236</v>
      </c>
    </row>
    <row r="12" spans="1:9" x14ac:dyDescent="0.3">
      <c r="A12" s="1" t="s">
        <v>50</v>
      </c>
      <c r="B12" s="3">
        <v>38353.744097222218</v>
      </c>
      <c r="C12" s="2">
        <f>(B12-$B$2)*86400/60</f>
        <v>520.04999998840503</v>
      </c>
      <c r="H12" t="s">
        <v>51</v>
      </c>
      <c r="I12" s="2">
        <f>C20</f>
        <v>1504.6166666736826</v>
      </c>
    </row>
    <row r="13" spans="1:9" x14ac:dyDescent="0.3">
      <c r="A13" s="1" t="s">
        <v>52</v>
      </c>
      <c r="B13" s="3">
        <v>38353.870925925927</v>
      </c>
      <c r="C13" s="2">
        <f>(B13-$B$2)*86400/60</f>
        <v>702.68333332962357</v>
      </c>
      <c r="H13" t="s">
        <v>53</v>
      </c>
      <c r="I13" s="2">
        <f>C21</f>
        <v>1829.0333333308809</v>
      </c>
    </row>
    <row r="14" spans="1:9" x14ac:dyDescent="0.3">
      <c r="C14" s="2"/>
      <c r="H14" t="s">
        <v>54</v>
      </c>
    </row>
    <row r="15" spans="1:9" x14ac:dyDescent="0.3">
      <c r="A15" s="1" t="s">
        <v>55</v>
      </c>
      <c r="B15" s="3">
        <v>38353.884236111109</v>
      </c>
      <c r="C15" s="2">
        <f>(B15-$B$2)*86400/60</f>
        <v>721.84999999240972</v>
      </c>
    </row>
    <row r="16" spans="1:9" x14ac:dyDescent="0.3">
      <c r="A16" s="1" t="s">
        <v>56</v>
      </c>
      <c r="B16" s="3">
        <v>38354.374039351853</v>
      </c>
      <c r="C16" s="2">
        <f>(B16-$B$2)*86400/60</f>
        <v>1427.1666666632518</v>
      </c>
    </row>
    <row r="17" spans="1:3" x14ac:dyDescent="0.3">
      <c r="A17" s="1" t="s">
        <v>57</v>
      </c>
      <c r="B17" s="3">
        <v>38354.378148148149</v>
      </c>
      <c r="C17" s="2">
        <f>(B17-$B$2)*86400/60</f>
        <v>1433.0833333299961</v>
      </c>
    </row>
    <row r="18" spans="1:3" x14ac:dyDescent="0.3">
      <c r="C18" s="2"/>
    </row>
    <row r="19" spans="1:3" x14ac:dyDescent="0.3">
      <c r="A19" s="1" t="s">
        <v>58</v>
      </c>
      <c r="B19" s="3">
        <v>38354.386550925927</v>
      </c>
      <c r="C19" s="2">
        <f>(B19-$B$2)*86400/60</f>
        <v>1445.1833333296236</v>
      </c>
    </row>
    <row r="20" spans="1:3" x14ac:dyDescent="0.3">
      <c r="A20" s="1" t="s">
        <v>59</v>
      </c>
      <c r="B20" s="3">
        <v>38354.427824074082</v>
      </c>
      <c r="C20" s="2">
        <f>(B20-$B$2)*86400/60</f>
        <v>1504.6166666736826</v>
      </c>
    </row>
    <row r="21" spans="1:3" x14ac:dyDescent="0.3">
      <c r="A21" s="1" t="s">
        <v>60</v>
      </c>
      <c r="B21" s="3">
        <v>38354.653113425928</v>
      </c>
      <c r="C21" s="2">
        <f>(B21-$B$2)*86400/60</f>
        <v>1829.0333333308809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C14"/>
  <sheetViews>
    <sheetView tabSelected="1" workbookViewId="0">
      <selection activeCell="M14" sqref="M14"/>
    </sheetView>
  </sheetViews>
  <sheetFormatPr defaultRowHeight="14.4" x14ac:dyDescent="0.3"/>
  <sheetData>
    <row r="1" spans="1:3" x14ac:dyDescent="0.3">
      <c r="A1" t="s">
        <v>61</v>
      </c>
      <c r="B1" t="s">
        <v>62</v>
      </c>
      <c r="C1" t="s">
        <v>63</v>
      </c>
    </row>
    <row r="2" spans="1:3" x14ac:dyDescent="0.3">
      <c r="A2">
        <v>0</v>
      </c>
      <c r="B2">
        <v>132.94370653320669</v>
      </c>
      <c r="C2">
        <v>0</v>
      </c>
    </row>
    <row r="3" spans="1:3" x14ac:dyDescent="0.3">
      <c r="A3">
        <v>141.5833333320916</v>
      </c>
      <c r="B3">
        <v>124.9845235555932</v>
      </c>
      <c r="C3">
        <v>7.9591829776135183</v>
      </c>
    </row>
    <row r="4" spans="1:3" x14ac:dyDescent="0.3">
      <c r="A4">
        <v>337.89999999920838</v>
      </c>
      <c r="B4">
        <v>116.76064414303551</v>
      </c>
      <c r="C4">
        <v>16.183062390171131</v>
      </c>
    </row>
    <row r="5" spans="1:3" x14ac:dyDescent="0.3">
      <c r="A5">
        <v>464.33333333116019</v>
      </c>
      <c r="B5">
        <v>112.0710617545009</v>
      </c>
      <c r="C5">
        <v>20.872644778705759</v>
      </c>
    </row>
    <row r="6" spans="1:3" x14ac:dyDescent="0.3">
      <c r="A6">
        <v>481.38333332492039</v>
      </c>
      <c r="B6">
        <v>109.32348197839561</v>
      </c>
      <c r="C6">
        <v>22.554263362091401</v>
      </c>
    </row>
    <row r="7" spans="1:3" x14ac:dyDescent="0.3">
      <c r="A7">
        <v>520.04999999888241</v>
      </c>
      <c r="B7">
        <v>103.09395824443681</v>
      </c>
      <c r="C7">
        <v>28.78378709605024</v>
      </c>
    </row>
    <row r="8" spans="1:3" x14ac:dyDescent="0.3">
      <c r="A8">
        <v>702.68333332962357</v>
      </c>
      <c r="B8">
        <v>83.849914219178956</v>
      </c>
      <c r="C8">
        <v>48.02783112130809</v>
      </c>
    </row>
    <row r="9" spans="1:3" x14ac:dyDescent="0.3">
      <c r="A9">
        <v>721.84999999240972</v>
      </c>
      <c r="B9">
        <v>79.456079461391383</v>
      </c>
      <c r="C9">
        <v>50.730612366121093</v>
      </c>
    </row>
    <row r="10" spans="1:3" x14ac:dyDescent="0.3">
      <c r="A10">
        <v>1427.166666663252</v>
      </c>
      <c r="B10">
        <v>50.044534031980682</v>
      </c>
      <c r="C10">
        <v>80.14215779553183</v>
      </c>
    </row>
    <row r="11" spans="1:3" x14ac:dyDescent="0.3">
      <c r="A11">
        <v>1433.0833333299961</v>
      </c>
      <c r="B11">
        <v>47.829172079571912</v>
      </c>
      <c r="C11">
        <v>82.357519747940614</v>
      </c>
    </row>
    <row r="12" spans="1:3" x14ac:dyDescent="0.3">
      <c r="A12">
        <v>1445.183333329624</v>
      </c>
      <c r="B12">
        <v>44.783763647055501</v>
      </c>
      <c r="C12">
        <v>83.475148503720945</v>
      </c>
    </row>
    <row r="13" spans="1:3" x14ac:dyDescent="0.3">
      <c r="A13">
        <v>1504.616666663205</v>
      </c>
      <c r="B13">
        <v>36.507000279512987</v>
      </c>
      <c r="C13">
        <v>91.751911871263459</v>
      </c>
    </row>
    <row r="14" spans="1:3" x14ac:dyDescent="0.3">
      <c r="A14">
        <v>1829.0333333308811</v>
      </c>
      <c r="B14">
        <v>14.82146436713397</v>
      </c>
      <c r="C14">
        <v>113.4374477836425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C3_E5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Dalland, Daniel</dc:creator>
  <cp:lastModifiedBy>Dalland, Daniel</cp:lastModifiedBy>
  <dcterms:created xsi:type="dcterms:W3CDTF">2025-02-05T07:12:19Z</dcterms:created>
  <dcterms:modified xsi:type="dcterms:W3CDTF">2026-01-12T11:12:29Z</dcterms:modified>
</cp:coreProperties>
</file>
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383FE635B67B5AFB282E356D4F425D5D53D2DF42" xr6:coauthVersionLast="47" xr6:coauthVersionMax="47" xr10:uidLastSave="{3B4D47BD-4948-4400-97D0-A68409AC34C5}"/>
  <bookViews>
    <workbookView xWindow="-108" yWindow="-108" windowWidth="23256" windowHeight="12456" activeTab="2" xr2:uid="{00000000-000D-0000-FFFF-FFFF00000000}"/>
  </bookViews>
  <sheets>
    <sheet name="C1_E3 HPLC 254 nm" sheetId="1" r:id="rId1"/>
    <sheet name="Sample and addition times" sheetId="2" r:id="rId2"/>
    <sheet name="Concentration vs time HPLC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D11" i="3"/>
  <c r="D10" i="3"/>
  <c r="D9" i="3"/>
  <c r="D8" i="3"/>
  <c r="D7" i="3"/>
  <c r="D6" i="3"/>
  <c r="D5" i="3"/>
  <c r="D4" i="3"/>
  <c r="D3" i="3"/>
  <c r="D2" i="3"/>
  <c r="C17" i="2"/>
  <c r="K14" i="2" s="1"/>
  <c r="C16" i="2"/>
  <c r="F16" i="2" s="1"/>
  <c r="C15" i="2"/>
  <c r="F15" i="2" s="1"/>
  <c r="C14" i="2"/>
  <c r="C13" i="2"/>
  <c r="F13" i="2" s="1"/>
  <c r="K12" i="2"/>
  <c r="C12" i="2"/>
  <c r="K10" i="2" s="1"/>
  <c r="K11" i="2"/>
  <c r="C11" i="2"/>
  <c r="F11" i="2" s="1"/>
  <c r="C10" i="2"/>
  <c r="C9" i="2"/>
  <c r="F9" i="2" s="1"/>
  <c r="C8" i="2"/>
  <c r="F8" i="2" s="1"/>
  <c r="K7" i="2"/>
  <c r="C7" i="2"/>
  <c r="F7" i="2" s="1"/>
  <c r="N3" i="2" s="1"/>
  <c r="C6" i="2"/>
  <c r="F6" i="2" s="1"/>
  <c r="K5" i="2"/>
  <c r="C5" i="2"/>
  <c r="K4" i="2"/>
  <c r="C4" i="2"/>
  <c r="C3" i="2"/>
  <c r="F3" i="2" s="1"/>
  <c r="C2" i="2"/>
  <c r="K2" i="2" s="1"/>
  <c r="C1" i="2"/>
  <c r="F10" i="2" s="1"/>
  <c r="N4" i="2" s="1"/>
  <c r="M25" i="1"/>
  <c r="M17" i="1"/>
  <c r="I17" i="1"/>
  <c r="H17" i="1"/>
  <c r="H16" i="1"/>
  <c r="I16" i="1" s="1"/>
  <c r="E16" i="1"/>
  <c r="H15" i="1"/>
  <c r="E15" i="1"/>
  <c r="I15" i="1" s="1"/>
  <c r="H14" i="1"/>
  <c r="E14" i="1"/>
  <c r="I14" i="1" s="1"/>
  <c r="H13" i="1"/>
  <c r="E13" i="1"/>
  <c r="I13" i="1" s="1"/>
  <c r="I12" i="1"/>
  <c r="H12" i="1"/>
  <c r="E12" i="1"/>
  <c r="H11" i="1"/>
  <c r="E11" i="1"/>
  <c r="I11" i="1" s="1"/>
  <c r="M10" i="1"/>
  <c r="H10" i="1"/>
  <c r="E10" i="1"/>
  <c r="I10" i="1" s="1"/>
  <c r="H9" i="1"/>
  <c r="E9" i="1"/>
  <c r="I9" i="1" s="1"/>
  <c r="H8" i="1"/>
  <c r="E8" i="1"/>
  <c r="I8" i="1" s="1"/>
  <c r="I7" i="1"/>
  <c r="H7" i="1"/>
  <c r="E7" i="1"/>
  <c r="H6" i="1"/>
  <c r="E6" i="1"/>
  <c r="I6" i="1" s="1"/>
  <c r="H5" i="1"/>
  <c r="E5" i="1"/>
  <c r="I5" i="1" s="1"/>
  <c r="H4" i="1"/>
  <c r="E4" i="1"/>
  <c r="I4" i="1" s="1"/>
  <c r="M3" i="1"/>
  <c r="K3" i="2" l="1"/>
  <c r="K13" i="2"/>
  <c r="F17" i="2"/>
  <c r="F2" i="2"/>
  <c r="N2" i="2" s="1"/>
  <c r="F12" i="2"/>
  <c r="K8" i="2"/>
  <c r="K6" i="2"/>
  <c r="F4" i="2"/>
  <c r="F14" i="2"/>
  <c r="N5" i="2" s="1"/>
  <c r="K9" i="2"/>
  <c r="F5" i="2"/>
</calcChain>
</file>

<file path=xl/sharedStrings.xml><?xml version="1.0" encoding="utf-8"?>
<sst xmlns="http://schemas.openxmlformats.org/spreadsheetml/2006/main" count="83" uniqueCount="65">
  <si>
    <t>Compound</t>
  </si>
  <si>
    <t>initial conc. / mM</t>
  </si>
  <si>
    <t>filename</t>
  </si>
  <si>
    <t>Biphenyl</t>
  </si>
  <si>
    <t>4-SO2Me-ArOPh</t>
  </si>
  <si>
    <t>Ratio of integral with IS</t>
  </si>
  <si>
    <t>concentrations</t>
  </si>
  <si>
    <t>Product</t>
  </si>
  <si>
    <t>4-Me-piperidine</t>
  </si>
  <si>
    <t>nan</t>
  </si>
  <si>
    <t>Ar-4SO2Me-Oph</t>
  </si>
  <si>
    <t>C1_E3-S03</t>
  </si>
  <si>
    <t>C1_E3-S1</t>
  </si>
  <si>
    <t>Phenol</t>
  </si>
  <si>
    <t>C1_E3-S2</t>
  </si>
  <si>
    <t>C1_E3-S3</t>
  </si>
  <si>
    <t>C1_E3-S4</t>
  </si>
  <si>
    <t>C1_E3-S5</t>
  </si>
  <si>
    <t>C1_E3-S6</t>
  </si>
  <si>
    <t>C1_E3-S7</t>
  </si>
  <si>
    <t>C1_E3-S8</t>
  </si>
  <si>
    <t>C1_E3-S9</t>
  </si>
  <si>
    <t>C1_E3-S10</t>
  </si>
  <si>
    <t>C1_E3-S11</t>
  </si>
  <si>
    <t>C1_E3-S12</t>
  </si>
  <si>
    <t>SUM</t>
  </si>
  <si>
    <t>CC254 4SO2MeArOPh</t>
  </si>
  <si>
    <t>CC254 Product</t>
  </si>
  <si>
    <t>IR:</t>
  </si>
  <si>
    <t>V1:</t>
  </si>
  <si>
    <t>S0</t>
  </si>
  <si>
    <t>V1</t>
  </si>
  <si>
    <t>S1:</t>
  </si>
  <si>
    <t>S1</t>
  </si>
  <si>
    <t>V2</t>
  </si>
  <si>
    <t>S2:</t>
  </si>
  <si>
    <t>S2</t>
  </si>
  <si>
    <t>V3</t>
  </si>
  <si>
    <t>S3:</t>
  </si>
  <si>
    <t>S3</t>
  </si>
  <si>
    <t>V4</t>
  </si>
  <si>
    <t>S4:</t>
  </si>
  <si>
    <t>S4</t>
  </si>
  <si>
    <t>V2:</t>
  </si>
  <si>
    <t>S5</t>
  </si>
  <si>
    <t>S5:</t>
  </si>
  <si>
    <t>S6</t>
  </si>
  <si>
    <t>S6:</t>
  </si>
  <si>
    <t>S7</t>
  </si>
  <si>
    <t>Phenol:</t>
  </si>
  <si>
    <t>S8</t>
  </si>
  <si>
    <t>S7:</t>
  </si>
  <si>
    <t>S9</t>
  </si>
  <si>
    <t>S8:</t>
  </si>
  <si>
    <t>S10</t>
  </si>
  <si>
    <t>S9:</t>
  </si>
  <si>
    <t>S11</t>
  </si>
  <si>
    <t>V3:</t>
  </si>
  <si>
    <t>S12</t>
  </si>
  <si>
    <t>S10:</t>
  </si>
  <si>
    <t>S11:</t>
  </si>
  <si>
    <t>S12:</t>
  </si>
  <si>
    <t>Time / min</t>
  </si>
  <si>
    <t>4SO2Me-ArOPh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</si>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</sst>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 concentration vs time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14785651794"/>
          <c:y val="0.17171296296296296"/>
          <c:w val="0.83259951881014871"/>
          <c:h val="0.59125729075532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4SO2Me-ArOPh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HPLC'!$A$2:$A$15</c:f>
              <c:numCache>
                <c:formatCode>General</c:formatCode>
                <c:ptCount val="14"/>
                <c:pt idx="0">
                  <c:v>0</c:v>
                </c:pt>
                <c:pt idx="1">
                  <c:v>7.550000004703179</c:v>
                </c:pt>
                <c:pt idx="2">
                  <c:v>26.983333333628249</c:v>
                </c:pt>
                <c:pt idx="3">
                  <c:v>76.999999999534339</c:v>
                </c:pt>
                <c:pt idx="4">
                  <c:v>144.94999999995341</c:v>
                </c:pt>
                <c:pt idx="5">
                  <c:v>150.75000000419101</c:v>
                </c:pt>
                <c:pt idx="6">
                  <c:v>172.95000000740399</c:v>
                </c:pt>
                <c:pt idx="7">
                  <c:v>177.66666666604581</c:v>
                </c:pt>
                <c:pt idx="8">
                  <c:v>225.83333333954221</c:v>
                </c:pt>
                <c:pt idx="9">
                  <c:v>243.2166666712146</c:v>
                </c:pt>
                <c:pt idx="10">
                  <c:v>246.8833333358634</c:v>
                </c:pt>
                <c:pt idx="11">
                  <c:v>406.38333333190531</c:v>
                </c:pt>
                <c:pt idx="12">
                  <c:v>414.25000000395812</c:v>
                </c:pt>
                <c:pt idx="13">
                  <c:v>955</c:v>
                </c:pt>
              </c:numCache>
            </c:numRef>
          </c:xVal>
          <c:yVal>
            <c:numRef>
              <c:f>'Concentration vs time HPLC'!$B$2:$B$15</c:f>
              <c:numCache>
                <c:formatCode>General</c:formatCode>
                <c:ptCount val="14"/>
                <c:pt idx="0">
                  <c:v>138.78854136947629</c:v>
                </c:pt>
                <c:pt idx="1">
                  <c:v>133.66328653349601</c:v>
                </c:pt>
                <c:pt idx="2">
                  <c:v>125.0038775175952</c:v>
                </c:pt>
                <c:pt idx="3">
                  <c:v>112.7545268130112</c:v>
                </c:pt>
                <c:pt idx="4">
                  <c:v>106.2655998706599</c:v>
                </c:pt>
                <c:pt idx="5">
                  <c:v>100.2083897012721</c:v>
                </c:pt>
                <c:pt idx="6">
                  <c:v>83.988342415436406</c:v>
                </c:pt>
                <c:pt idx="7">
                  <c:v>81.033661741365478</c:v>
                </c:pt>
                <c:pt idx="8">
                  <c:v>65.562079429135295</c:v>
                </c:pt>
                <c:pt idx="9">
                  <c:v>61.85431400939158</c:v>
                </c:pt>
                <c:pt idx="10">
                  <c:v>55.514414743334129</c:v>
                </c:pt>
                <c:pt idx="11">
                  <c:v>3.5517508799637012</c:v>
                </c:pt>
                <c:pt idx="12">
                  <c:v>3.047167323374993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B-495D-8E9E-6C96EEB1D677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HPLC'!$A$2:$A$15</c:f>
              <c:numCache>
                <c:formatCode>General</c:formatCode>
                <c:ptCount val="14"/>
                <c:pt idx="0">
                  <c:v>0</c:v>
                </c:pt>
                <c:pt idx="1">
                  <c:v>7.550000004703179</c:v>
                </c:pt>
                <c:pt idx="2">
                  <c:v>26.983333333628249</c:v>
                </c:pt>
                <c:pt idx="3">
                  <c:v>76.999999999534339</c:v>
                </c:pt>
                <c:pt idx="4">
                  <c:v>144.94999999995341</c:v>
                </c:pt>
                <c:pt idx="5">
                  <c:v>150.75000000419101</c:v>
                </c:pt>
                <c:pt idx="6">
                  <c:v>172.95000000740399</c:v>
                </c:pt>
                <c:pt idx="7">
                  <c:v>177.66666666604581</c:v>
                </c:pt>
                <c:pt idx="8">
                  <c:v>225.83333333954221</c:v>
                </c:pt>
                <c:pt idx="9">
                  <c:v>243.2166666712146</c:v>
                </c:pt>
                <c:pt idx="10">
                  <c:v>246.8833333358634</c:v>
                </c:pt>
                <c:pt idx="11">
                  <c:v>406.38333333190531</c:v>
                </c:pt>
                <c:pt idx="12">
                  <c:v>414.25000000395812</c:v>
                </c:pt>
                <c:pt idx="13">
                  <c:v>955</c:v>
                </c:pt>
              </c:numCache>
            </c:numRef>
          </c:xVal>
          <c:yVal>
            <c:numRef>
              <c:f>'Concentration vs time HPLC'!$C$2:$C$15</c:f>
              <c:numCache>
                <c:formatCode>General</c:formatCode>
                <c:ptCount val="14"/>
                <c:pt idx="0">
                  <c:v>0</c:v>
                </c:pt>
                <c:pt idx="1">
                  <c:v>5.3139290166447726</c:v>
                </c:pt>
                <c:pt idx="2">
                  <c:v>14.65831301289054</c:v>
                </c:pt>
                <c:pt idx="3">
                  <c:v>28.02298319665373</c:v>
                </c:pt>
                <c:pt idx="4">
                  <c:v>35.099820103489947</c:v>
                </c:pt>
                <c:pt idx="5">
                  <c:v>39.261415779265143</c:v>
                </c:pt>
                <c:pt idx="6">
                  <c:v>55.578879590213212</c:v>
                </c:pt>
                <c:pt idx="7">
                  <c:v>57.555275964191857</c:v>
                </c:pt>
                <c:pt idx="8">
                  <c:v>73.24331169591666</c:v>
                </c:pt>
                <c:pt idx="9">
                  <c:v>76.982714436493055</c:v>
                </c:pt>
                <c:pt idx="10">
                  <c:v>78.417220104515408</c:v>
                </c:pt>
                <c:pt idx="11">
                  <c:v>134.05300054064341</c:v>
                </c:pt>
                <c:pt idx="12">
                  <c:v>135.575641227468</c:v>
                </c:pt>
                <c:pt idx="13">
                  <c:v>135.039154984503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DB-495D-8E9E-6C96EEB1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041984"/>
        <c:axId val="1399041024"/>
      </c:scatterChart>
      <c:valAx>
        <c:axId val="139904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/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41024"/>
        <c:crosses val="autoZero"/>
        <c:crossBetween val="midCat"/>
      </c:valAx>
      <c:valAx>
        <c:axId val="13990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/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4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405008748906385"/>
          <c:y val="0.90798556430446198"/>
          <c:w val="0.2132220278020803"/>
          <c:h val="7.8947920983561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447151</xdr:colOff>
      <xdr:row>14</xdr:row>
      <xdr:rowOff>135548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B1D2F4-EA4F-47DA-964E-F750B4FC1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HPLC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personal/dd4518_ic_ac_uk/Documents/PhD/SAKE%20publication%20with%20SI%20material/Cleaned%20Python%20Scripts%20for%20Github/Excel%20files%20with%20HPLC%20analysis/C1_E4b%20HPLC%20data%20processing.xlsx" TargetMode="External"/><Relationship Id="rId1" Type="http://schemas.openxmlformats.org/officeDocument/2006/relationships/externalLinkPath" Target="C1_E4b%20HPLC%20data%20process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HPL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1_E4b HPLC 254 nm"/>
      <sheetName val="Sample and addition times"/>
      <sheetName val="Concentration vs time HPLC"/>
    </sheetNames>
    <sheetDataSet>
      <sheetData sheetId="0"/>
      <sheetData sheetId="1"/>
      <sheetData sheetId="2">
        <row r="1">
          <cell r="B1" t="str">
            <v>A</v>
          </cell>
          <cell r="C1" t="str">
            <v>P</v>
          </cell>
        </row>
        <row r="2">
          <cell r="A2">
            <v>0</v>
          </cell>
          <cell r="B2">
            <v>126.76921700688369</v>
          </cell>
          <cell r="C2">
            <v>0</v>
          </cell>
        </row>
        <row r="3">
          <cell r="A3">
            <v>3.0333333333332222</v>
          </cell>
          <cell r="B3">
            <v>122.3005374384922</v>
          </cell>
          <cell r="C3">
            <v>3.0779667197354388</v>
          </cell>
        </row>
        <row r="4">
          <cell r="A4">
            <v>15.633333333333271</v>
          </cell>
          <cell r="B4">
            <v>113.6297027250116</v>
          </cell>
          <cell r="C4">
            <v>12.39721940730497</v>
          </cell>
        </row>
        <row r="5">
          <cell r="A5">
            <v>65.833333333333286</v>
          </cell>
          <cell r="B5">
            <v>103.0322961940619</v>
          </cell>
          <cell r="C5">
            <v>25.597814089205659</v>
          </cell>
        </row>
        <row r="6">
          <cell r="A6">
            <v>71.049999999999912</v>
          </cell>
          <cell r="B6">
            <v>97.380143331214583</v>
          </cell>
          <cell r="C6">
            <v>30.72240310515685</v>
          </cell>
        </row>
        <row r="7">
          <cell r="A7">
            <v>74.249999999999943</v>
          </cell>
          <cell r="B7">
            <v>90.378610403594323</v>
          </cell>
          <cell r="C7">
            <v>35.344561589410468</v>
          </cell>
        </row>
        <row r="8">
          <cell r="A8">
            <v>80.233333333333306</v>
          </cell>
          <cell r="B8">
            <v>83.150789928384626</v>
          </cell>
          <cell r="C8">
            <v>43.749862751026761</v>
          </cell>
        </row>
        <row r="9">
          <cell r="A9">
            <v>87.816666666666592</v>
          </cell>
          <cell r="B9">
            <v>74.886470654764992</v>
          </cell>
          <cell r="C9">
            <v>50.992019823013699</v>
          </cell>
        </row>
        <row r="10">
          <cell r="A10">
            <v>96.066666666666606</v>
          </cell>
          <cell r="B10">
            <v>70.196778322029914</v>
          </cell>
          <cell r="C10">
            <v>56.139138291420799</v>
          </cell>
        </row>
        <row r="11">
          <cell r="A11">
            <v>101.3666666666666</v>
          </cell>
          <cell r="B11">
            <v>67.418296859163988</v>
          </cell>
          <cell r="C11">
            <v>60.086845398396761</v>
          </cell>
        </row>
        <row r="12">
          <cell r="A12">
            <v>111.2166666666666</v>
          </cell>
          <cell r="B12">
            <v>57.337379516719558</v>
          </cell>
          <cell r="C12">
            <v>66.290549930989229</v>
          </cell>
        </row>
        <row r="13">
          <cell r="A13">
            <v>118.93333333333329</v>
          </cell>
          <cell r="B13">
            <v>44.287479476153209</v>
          </cell>
          <cell r="C13">
            <v>80.25484759761828</v>
          </cell>
        </row>
        <row r="14">
          <cell r="A14">
            <v>140.19999999999979</v>
          </cell>
          <cell r="B14">
            <v>25.32294849813233</v>
          </cell>
          <cell r="C14">
            <v>99.408880231217495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zoomScale="79" workbookViewId="0">
      <selection activeCell="D43" sqref="D43"/>
    </sheetView>
  </sheetViews>
  <sheetFormatPr defaultRowHeight="14.4" x14ac:dyDescent="0.3"/>
  <cols>
    <col min="1" max="1" width="20.44140625" bestFit="1" customWidth="1"/>
    <col min="10" max="10" width="10" bestFit="1" customWidth="1"/>
    <col min="18" max="19" width="18.8867187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K1" t="s">
        <v>0</v>
      </c>
      <c r="L1" t="s">
        <v>1</v>
      </c>
    </row>
    <row r="2" spans="1:14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5</v>
      </c>
      <c r="H2" t="s">
        <v>6</v>
      </c>
      <c r="K2" t="s">
        <v>8</v>
      </c>
      <c r="L2">
        <v>41.257761059829107</v>
      </c>
      <c r="N2" s="7"/>
    </row>
    <row r="3" spans="1:14" x14ac:dyDescent="0.3">
      <c r="B3">
        <v>4.0532072067260696</v>
      </c>
      <c r="C3">
        <v>2.20803792953491</v>
      </c>
      <c r="E3">
        <v>0</v>
      </c>
      <c r="F3" t="s">
        <v>9</v>
      </c>
      <c r="H3">
        <v>0</v>
      </c>
      <c r="K3" t="s">
        <v>10</v>
      </c>
      <c r="L3">
        <v>139.34689388114131</v>
      </c>
      <c r="M3" t="e">
        <f>L4*$N$2/$N$3</f>
        <v>#DIV/0!</v>
      </c>
      <c r="N3" s="7"/>
    </row>
    <row r="4" spans="1:14" x14ac:dyDescent="0.3">
      <c r="A4" s="3" t="s">
        <v>11</v>
      </c>
      <c r="B4" s="3">
        <v>395.17529296875</v>
      </c>
      <c r="C4" s="3">
        <v>2898.54418945313</v>
      </c>
      <c r="D4" s="3">
        <v>7.3348315064887997</v>
      </c>
      <c r="E4" s="3">
        <f>D4/$B$21*$L$4</f>
        <v>138.78854136947629</v>
      </c>
      <c r="F4" s="3" t="s">
        <v>9</v>
      </c>
      <c r="G4" s="3">
        <v>0</v>
      </c>
      <c r="H4" s="3">
        <f>G4/$B$21*$L$4</f>
        <v>0</v>
      </c>
      <c r="I4">
        <f t="shared" ref="I4:I17" si="0">SUM(E4,H4)</f>
        <v>138.78854136947629</v>
      </c>
      <c r="K4" t="s">
        <v>3</v>
      </c>
      <c r="L4">
        <v>11.01629788139326</v>
      </c>
    </row>
    <row r="5" spans="1:14" x14ac:dyDescent="0.3">
      <c r="A5" s="3" t="s">
        <v>12</v>
      </c>
      <c r="B5" s="3">
        <v>392.352783203125</v>
      </c>
      <c r="C5" s="3">
        <v>2771.56713867188</v>
      </c>
      <c r="D5" s="3">
        <v>7.0639670656726503</v>
      </c>
      <c r="E5" s="3">
        <f>D5/$B$21*$L$4</f>
        <v>133.66328653349601</v>
      </c>
      <c r="F5" s="3">
        <v>119.11968994140599</v>
      </c>
      <c r="G5" s="3">
        <v>0.30360352988686801</v>
      </c>
      <c r="H5" s="3">
        <f>G5/$B$22*$L$4</f>
        <v>5.3139290166447726</v>
      </c>
      <c r="I5">
        <f t="shared" si="0"/>
        <v>138.97721555014078</v>
      </c>
      <c r="K5" t="s">
        <v>13</v>
      </c>
      <c r="L5">
        <v>4.7812567072902761</v>
      </c>
    </row>
    <row r="6" spans="1:14" x14ac:dyDescent="0.3">
      <c r="A6" s="3" t="s">
        <v>14</v>
      </c>
      <c r="B6" s="3">
        <v>534.54016113281295</v>
      </c>
      <c r="C6" s="3">
        <v>3531.3466796875</v>
      </c>
      <c r="D6" s="3">
        <v>6.6063262154217997</v>
      </c>
      <c r="E6" s="3">
        <f>D6/$B$21*$L$4</f>
        <v>125.0038775175952</v>
      </c>
      <c r="F6" s="3">
        <v>447.66732788086</v>
      </c>
      <c r="G6" s="3">
        <v>0.83748118557107099</v>
      </c>
      <c r="H6" s="3">
        <f>G6/$B$22*$L$4</f>
        <v>14.65831301289054</v>
      </c>
      <c r="I6">
        <f t="shared" si="0"/>
        <v>139.66219053048573</v>
      </c>
    </row>
    <row r="7" spans="1:14" x14ac:dyDescent="0.3">
      <c r="A7" s="3" t="s">
        <v>15</v>
      </c>
      <c r="B7" s="3">
        <v>187.91731262207099</v>
      </c>
      <c r="C7" s="3">
        <v>1119.79187011719</v>
      </c>
      <c r="D7" s="3">
        <v>5.9589606433402604</v>
      </c>
      <c r="E7" s="3">
        <f>D7/$B$21*$L$4</f>
        <v>112.75452681301121</v>
      </c>
      <c r="F7" s="3">
        <v>300.86538696289102</v>
      </c>
      <c r="G7" s="3">
        <v>1.6010519880516501</v>
      </c>
      <c r="H7" s="3">
        <f>G7/$B$22*$L$4</f>
        <v>28.022983196653733</v>
      </c>
      <c r="I7">
        <f t="shared" si="0"/>
        <v>140.77751000966495</v>
      </c>
    </row>
    <row r="8" spans="1:14" x14ac:dyDescent="0.3">
      <c r="A8" s="3" t="s">
        <v>16</v>
      </c>
      <c r="B8" s="3">
        <v>314.59378051757801</v>
      </c>
      <c r="C8" s="3">
        <v>1766.76733398438</v>
      </c>
      <c r="D8" s="3">
        <v>5.6160275358198302</v>
      </c>
      <c r="E8" s="3">
        <f>D8/$B$21*$L$4</f>
        <v>106.26559987065991</v>
      </c>
      <c r="F8" s="3">
        <v>630.87902832031295</v>
      </c>
      <c r="G8" s="3">
        <v>2.0053766710911201</v>
      </c>
      <c r="H8" s="3">
        <f>G8/$B$22*$L$4</f>
        <v>35.099820103489954</v>
      </c>
      <c r="I8">
        <f t="shared" si="0"/>
        <v>141.36541997414986</v>
      </c>
    </row>
    <row r="9" spans="1:14" x14ac:dyDescent="0.3">
      <c r="A9" s="4" t="s">
        <v>17</v>
      </c>
      <c r="B9" s="4">
        <v>394.90203857421898</v>
      </c>
      <c r="C9" s="4">
        <v>2107.51147460938</v>
      </c>
      <c r="D9" s="4">
        <v>5.33679563219901</v>
      </c>
      <c r="E9" s="4">
        <f>D9/$B$21*$L$11</f>
        <v>100.20838970127217</v>
      </c>
      <c r="F9" s="4">
        <v>892.66058349609398</v>
      </c>
      <c r="G9" s="4">
        <v>2.2604608138236402</v>
      </c>
      <c r="H9" s="4">
        <f>G9/$B$22*$L$11</f>
        <v>39.26141577926515</v>
      </c>
      <c r="I9">
        <f t="shared" si="0"/>
        <v>139.46980548053733</v>
      </c>
      <c r="K9" t="s">
        <v>8</v>
      </c>
      <c r="L9">
        <v>105.6785337574959</v>
      </c>
    </row>
    <row r="10" spans="1:14" x14ac:dyDescent="0.3">
      <c r="A10" s="4" t="s">
        <v>18</v>
      </c>
      <c r="B10" s="4">
        <v>162.88236999511699</v>
      </c>
      <c r="C10" s="4">
        <v>728.567138671875</v>
      </c>
      <c r="D10" s="4">
        <v>4.4729649912001896</v>
      </c>
      <c r="E10" s="4">
        <f>D10/$B$21*$L$11</f>
        <v>83.988342415436435</v>
      </c>
      <c r="F10" s="4">
        <v>521.21258544921898</v>
      </c>
      <c r="G10" s="4">
        <v>3.1999324755947698</v>
      </c>
      <c r="H10" s="4">
        <f>G10/$B$22*$L$11</f>
        <v>55.578879590213234</v>
      </c>
      <c r="I10">
        <f t="shared" si="0"/>
        <v>139.56722200564968</v>
      </c>
      <c r="K10" t="s">
        <v>10</v>
      </c>
      <c r="L10">
        <v>138.27935143575041</v>
      </c>
      <c r="M10" t="e">
        <f>L11*$N$2/$N$3</f>
        <v>#DIV/0!</v>
      </c>
    </row>
    <row r="11" spans="1:14" x14ac:dyDescent="0.3">
      <c r="A11" s="5" t="s">
        <v>19</v>
      </c>
      <c r="B11" s="5">
        <v>295.92037963867199</v>
      </c>
      <c r="C11" s="5">
        <v>1287.9140625</v>
      </c>
      <c r="D11" s="5">
        <v>4.3522317187906499</v>
      </c>
      <c r="E11" s="5">
        <f>D11/$B$21*$L$18</f>
        <v>81.033661741365464</v>
      </c>
      <c r="F11" s="5">
        <v>988.91986083984398</v>
      </c>
      <c r="G11" s="5">
        <v>3.3418443908707598</v>
      </c>
      <c r="H11" s="5">
        <f>G11/$B$22*$L$18</f>
        <v>57.55527596419185</v>
      </c>
      <c r="I11">
        <f t="shared" si="0"/>
        <v>138.58893770555733</v>
      </c>
      <c r="K11" t="s">
        <v>3</v>
      </c>
      <c r="L11">
        <v>10.931901557572161</v>
      </c>
    </row>
    <row r="12" spans="1:14" x14ac:dyDescent="0.3">
      <c r="A12" s="5" t="s">
        <v>20</v>
      </c>
      <c r="B12" s="5">
        <v>343.33511352539102</v>
      </c>
      <c r="C12" s="5">
        <v>1208.97546386719</v>
      </c>
      <c r="D12" s="5">
        <v>3.52126950096463</v>
      </c>
      <c r="E12" s="5">
        <f>D12/$B$21*$L$18</f>
        <v>65.562079429135281</v>
      </c>
      <c r="F12" s="5">
        <v>1460.11572265625</v>
      </c>
      <c r="G12" s="5">
        <v>4.2527421901700304</v>
      </c>
      <c r="H12" s="5">
        <f>G12/$B$22*$L$18</f>
        <v>73.243311695916645</v>
      </c>
      <c r="I12">
        <f t="shared" si="0"/>
        <v>138.80539112505193</v>
      </c>
      <c r="K12" t="s">
        <v>13</v>
      </c>
      <c r="L12">
        <v>4.7446272975117116</v>
      </c>
    </row>
    <row r="13" spans="1:14" x14ac:dyDescent="0.3">
      <c r="A13" s="5" t="s">
        <v>21</v>
      </c>
      <c r="B13" s="5">
        <v>304.8916015625</v>
      </c>
      <c r="C13" s="5">
        <v>1012.88934326172</v>
      </c>
      <c r="D13" s="5">
        <v>3.32212936686643</v>
      </c>
      <c r="E13" s="5">
        <f>D13/$B$21*$L$18</f>
        <v>61.854314009391572</v>
      </c>
      <c r="F13" s="5">
        <v>1362.82397460938</v>
      </c>
      <c r="G13" s="5">
        <v>4.4698639372984204</v>
      </c>
      <c r="H13" s="5">
        <f>G13/$B$22*$L$18</f>
        <v>76.98271443649304</v>
      </c>
      <c r="I13">
        <f t="shared" si="0"/>
        <v>138.83702844588461</v>
      </c>
    </row>
    <row r="14" spans="1:14" x14ac:dyDescent="0.3">
      <c r="A14" s="6" t="s">
        <v>22</v>
      </c>
      <c r="B14" s="6">
        <v>217.21592712402401</v>
      </c>
      <c r="C14" s="6">
        <v>657.61474609375</v>
      </c>
      <c r="D14" s="6">
        <v>3.0274701988969301</v>
      </c>
      <c r="E14" s="6">
        <f>D14/$B$21*$L$26</f>
        <v>55.514414743334129</v>
      </c>
      <c r="F14" s="6">
        <v>1004.22668457031</v>
      </c>
      <c r="G14" s="6">
        <v>4.6231724250907504</v>
      </c>
      <c r="H14" s="6">
        <f>G14/$B$22*$L$26</f>
        <v>78.417220104515408</v>
      </c>
      <c r="I14">
        <f t="shared" si="0"/>
        <v>133.93163484784952</v>
      </c>
    </row>
    <row r="15" spans="1:14" x14ac:dyDescent="0.3">
      <c r="A15" s="6" t="s">
        <v>23</v>
      </c>
      <c r="B15" s="6">
        <v>623.544677734375</v>
      </c>
      <c r="C15" s="6">
        <v>120.776985168457</v>
      </c>
      <c r="D15" s="6">
        <v>0.19369419623192899</v>
      </c>
      <c r="E15" s="6">
        <f>D15/$B$21*$L$26</f>
        <v>3.5517508799637008</v>
      </c>
      <c r="F15" s="6">
        <v>4928.0234375</v>
      </c>
      <c r="G15" s="6">
        <v>7.90324031856992</v>
      </c>
      <c r="H15" s="6">
        <f>G15/$B$22*$L$26</f>
        <v>134.05300054064335</v>
      </c>
      <c r="I15">
        <f t="shared" si="0"/>
        <v>137.60475142060704</v>
      </c>
    </row>
    <row r="16" spans="1:14" x14ac:dyDescent="0.3">
      <c r="A16" s="6" t="s">
        <v>24</v>
      </c>
      <c r="B16" s="6">
        <v>182.00332641601599</v>
      </c>
      <c r="C16" s="6">
        <v>30.2447319030762</v>
      </c>
      <c r="D16" s="6">
        <v>0.16617680840592899</v>
      </c>
      <c r="E16" s="6">
        <f>D16/$B$21*$L$26</f>
        <v>3.0471673233749925</v>
      </c>
      <c r="F16" s="6">
        <v>1454.75427246094</v>
      </c>
      <c r="G16" s="6">
        <v>7.9930092548732796</v>
      </c>
      <c r="H16" s="6">
        <f>G16/$B$22*$L$26</f>
        <v>135.57564122746797</v>
      </c>
      <c r="I16">
        <f t="shared" si="0"/>
        <v>138.62280855084296</v>
      </c>
      <c r="K16" t="s">
        <v>8</v>
      </c>
      <c r="L16">
        <v>104.7892476741083</v>
      </c>
    </row>
    <row r="17" spans="1:13" x14ac:dyDescent="0.3">
      <c r="G17">
        <v>8.8102378875307394</v>
      </c>
      <c r="H17" s="6">
        <f>G17/$B$22*$L$26</f>
        <v>149.43729112289756</v>
      </c>
      <c r="I17">
        <f t="shared" si="0"/>
        <v>149.43729112289756</v>
      </c>
      <c r="K17" t="s">
        <v>10</v>
      </c>
      <c r="L17">
        <v>137.115729094681</v>
      </c>
      <c r="M17" t="e">
        <f>L18*$N$2/$N$3</f>
        <v>#DIV/0!</v>
      </c>
    </row>
    <row r="18" spans="1:13" x14ac:dyDescent="0.3">
      <c r="K18" t="s">
        <v>3</v>
      </c>
      <c r="L18">
        <v>10.839909479574359</v>
      </c>
    </row>
    <row r="19" spans="1:13" x14ac:dyDescent="0.3">
      <c r="K19" t="s">
        <v>13</v>
      </c>
      <c r="L19">
        <v>100.3806375652934</v>
      </c>
    </row>
    <row r="20" spans="1:13" x14ac:dyDescent="0.3">
      <c r="K20" t="s">
        <v>25</v>
      </c>
    </row>
    <row r="21" spans="1:13" x14ac:dyDescent="0.3">
      <c r="A21" t="s">
        <v>26</v>
      </c>
      <c r="B21">
        <v>0.58220000000000005</v>
      </c>
    </row>
    <row r="22" spans="1:13" x14ac:dyDescent="0.3">
      <c r="A22" t="s">
        <v>27</v>
      </c>
      <c r="B22">
        <v>0.62939999999999996</v>
      </c>
    </row>
    <row r="24" spans="1:13" x14ac:dyDescent="0.3">
      <c r="K24" t="s">
        <v>8</v>
      </c>
      <c r="L24">
        <v>231.17687213163831</v>
      </c>
    </row>
    <row r="25" spans="1:13" x14ac:dyDescent="0.3">
      <c r="K25" t="s">
        <v>10</v>
      </c>
      <c r="L25">
        <v>135.039154984503</v>
      </c>
      <c r="M25" t="e">
        <f>L26*$N$2/$N$3</f>
        <v>#DIV/0!</v>
      </c>
    </row>
    <row r="26" spans="1:13" x14ac:dyDescent="0.3">
      <c r="K26" t="s">
        <v>3</v>
      </c>
      <c r="L26">
        <v>10.67574249792623</v>
      </c>
    </row>
    <row r="27" spans="1:13" x14ac:dyDescent="0.3">
      <c r="K27" t="s">
        <v>13</v>
      </c>
      <c r="L27">
        <v>98.860404733454615</v>
      </c>
    </row>
    <row r="28" spans="1:13" x14ac:dyDescent="0.3">
      <c r="K2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K6" sqref="K6"/>
    </sheetView>
  </sheetViews>
  <sheetFormatPr defaultRowHeight="14.4" x14ac:dyDescent="0.3"/>
  <cols>
    <col min="2" max="2" width="15.109375" bestFit="1" customWidth="1"/>
  </cols>
  <sheetData>
    <row r="1" spans="1:14" x14ac:dyDescent="0.3">
      <c r="A1" s="1" t="s">
        <v>28</v>
      </c>
      <c r="B1" s="2">
        <v>45292.455925925933</v>
      </c>
      <c r="C1">
        <f t="shared" ref="C1:C17" si="0">(B1-$B$2)*86400/60</f>
        <v>-21.499999986262992</v>
      </c>
    </row>
    <row r="2" spans="1:14" x14ac:dyDescent="0.3">
      <c r="A2" s="1" t="s">
        <v>29</v>
      </c>
      <c r="B2" s="2">
        <v>45292.470856481479</v>
      </c>
      <c r="C2">
        <f t="shared" si="0"/>
        <v>0</v>
      </c>
      <c r="E2">
        <v>-21.499999996740371</v>
      </c>
      <c r="F2">
        <f t="shared" ref="F2:F17" si="1">C2-$C$1</f>
        <v>21.499999986262992</v>
      </c>
      <c r="J2" t="s">
        <v>30</v>
      </c>
      <c r="K2">
        <f>C2</f>
        <v>0</v>
      </c>
      <c r="M2" t="s">
        <v>31</v>
      </c>
      <c r="N2">
        <f>F2</f>
        <v>21.499999986262992</v>
      </c>
    </row>
    <row r="3" spans="1:14" x14ac:dyDescent="0.3">
      <c r="A3" s="1" t="s">
        <v>32</v>
      </c>
      <c r="B3" s="2">
        <v>45292.476099537038</v>
      </c>
      <c r="C3">
        <f t="shared" si="0"/>
        <v>7.550000004703179</v>
      </c>
      <c r="E3">
        <v>0</v>
      </c>
      <c r="F3">
        <f t="shared" si="1"/>
        <v>29.049999990966171</v>
      </c>
      <c r="J3" t="s">
        <v>33</v>
      </c>
      <c r="K3">
        <f>C3</f>
        <v>7.550000004703179</v>
      </c>
      <c r="M3" t="s">
        <v>34</v>
      </c>
      <c r="N3">
        <f>F7</f>
        <v>168.18333332659677</v>
      </c>
    </row>
    <row r="4" spans="1:14" x14ac:dyDescent="0.3">
      <c r="A4" s="1" t="s">
        <v>35</v>
      </c>
      <c r="B4" s="2">
        <v>45292.489594907413</v>
      </c>
      <c r="C4">
        <f t="shared" si="0"/>
        <v>26.983333344105631</v>
      </c>
      <c r="E4">
        <v>7.550000004703179</v>
      </c>
      <c r="F4">
        <f t="shared" si="1"/>
        <v>48.483333330368623</v>
      </c>
      <c r="J4" t="s">
        <v>36</v>
      </c>
      <c r="K4">
        <f>C4</f>
        <v>26.983333344105631</v>
      </c>
      <c r="M4" t="s">
        <v>37</v>
      </c>
      <c r="N4">
        <f>F10</f>
        <v>196.89999999012798</v>
      </c>
    </row>
    <row r="5" spans="1:14" x14ac:dyDescent="0.3">
      <c r="A5" s="1" t="s">
        <v>38</v>
      </c>
      <c r="B5" s="2">
        <v>45292.524328703701</v>
      </c>
      <c r="C5">
        <f t="shared" si="0"/>
        <v>76.999999999534339</v>
      </c>
      <c r="E5">
        <v>26.983333333628249</v>
      </c>
      <c r="F5">
        <f t="shared" si="1"/>
        <v>98.499999985797331</v>
      </c>
      <c r="J5" t="s">
        <v>39</v>
      </c>
      <c r="K5">
        <f>C5</f>
        <v>76.999999999534339</v>
      </c>
      <c r="M5" t="s">
        <v>40</v>
      </c>
      <c r="N5">
        <f>F14</f>
        <v>266.44999998738058</v>
      </c>
    </row>
    <row r="6" spans="1:14" x14ac:dyDescent="0.3">
      <c r="A6" s="1" t="s">
        <v>41</v>
      </c>
      <c r="B6" s="2">
        <v>45292.571516203701</v>
      </c>
      <c r="C6">
        <f t="shared" si="0"/>
        <v>144.94999999995343</v>
      </c>
      <c r="E6">
        <v>76.999999999534339</v>
      </c>
      <c r="F6">
        <f t="shared" si="1"/>
        <v>166.44999998621643</v>
      </c>
      <c r="J6" t="s">
        <v>42</v>
      </c>
      <c r="K6">
        <f>C6</f>
        <v>144.94999999995343</v>
      </c>
    </row>
    <row r="7" spans="1:14" x14ac:dyDescent="0.3">
      <c r="A7" s="1" t="s">
        <v>43</v>
      </c>
      <c r="B7" s="2">
        <v>45292.57271990741</v>
      </c>
      <c r="C7">
        <f t="shared" si="0"/>
        <v>146.68333334033377</v>
      </c>
      <c r="E7">
        <v>144.94999999995341</v>
      </c>
      <c r="F7">
        <f t="shared" si="1"/>
        <v>168.18333332659677</v>
      </c>
      <c r="J7" t="s">
        <v>44</v>
      </c>
      <c r="K7">
        <f>C8</f>
        <v>150.75000000419095</v>
      </c>
    </row>
    <row r="8" spans="1:14" x14ac:dyDescent="0.3">
      <c r="A8" s="1" t="s">
        <v>45</v>
      </c>
      <c r="B8" s="2">
        <v>45292.575543981482</v>
      </c>
      <c r="C8">
        <f t="shared" si="0"/>
        <v>150.75000000419095</v>
      </c>
      <c r="E8">
        <v>146.6833333403338</v>
      </c>
      <c r="F8">
        <f t="shared" si="1"/>
        <v>172.24999999045394</v>
      </c>
      <c r="J8" t="s">
        <v>46</v>
      </c>
      <c r="K8">
        <f>C9</f>
        <v>172.95000000740401</v>
      </c>
    </row>
    <row r="9" spans="1:14" x14ac:dyDescent="0.3">
      <c r="A9" s="1" t="s">
        <v>47</v>
      </c>
      <c r="B9" s="2">
        <v>45292.590960648151</v>
      </c>
      <c r="C9">
        <f t="shared" si="0"/>
        <v>172.95000000740401</v>
      </c>
      <c r="E9">
        <v>150.75000000419101</v>
      </c>
      <c r="F9">
        <f t="shared" si="1"/>
        <v>194.44999999366701</v>
      </c>
      <c r="J9" t="s">
        <v>48</v>
      </c>
      <c r="K9">
        <f>C11</f>
        <v>177.66666666604578</v>
      </c>
    </row>
    <row r="10" spans="1:14" x14ac:dyDescent="0.3">
      <c r="A10" s="1" t="s">
        <v>49</v>
      </c>
      <c r="B10" s="2">
        <v>45292.592662037037</v>
      </c>
      <c r="C10">
        <f t="shared" si="0"/>
        <v>175.40000000386499</v>
      </c>
      <c r="E10">
        <v>172.95000000740399</v>
      </c>
      <c r="F10">
        <f t="shared" si="1"/>
        <v>196.89999999012798</v>
      </c>
      <c r="J10" t="s">
        <v>50</v>
      </c>
      <c r="K10">
        <f>C12</f>
        <v>225.83333333954215</v>
      </c>
    </row>
    <row r="11" spans="1:14" x14ac:dyDescent="0.3">
      <c r="A11" s="1" t="s">
        <v>51</v>
      </c>
      <c r="B11" s="2">
        <v>45292.594236111108</v>
      </c>
      <c r="C11">
        <f t="shared" si="0"/>
        <v>177.66666666604578</v>
      </c>
      <c r="E11">
        <v>175.40000000386499</v>
      </c>
      <c r="F11">
        <f t="shared" si="1"/>
        <v>199.16666665230878</v>
      </c>
      <c r="J11" t="s">
        <v>52</v>
      </c>
      <c r="K11">
        <f>C13</f>
        <v>243.216666681692</v>
      </c>
    </row>
    <row r="12" spans="1:14" x14ac:dyDescent="0.3">
      <c r="A12" s="1" t="s">
        <v>53</v>
      </c>
      <c r="B12" s="2">
        <v>45292.627685185187</v>
      </c>
      <c r="C12">
        <f t="shared" si="0"/>
        <v>225.83333333954215</v>
      </c>
      <c r="E12">
        <v>177.66666666604581</v>
      </c>
      <c r="F12">
        <f t="shared" si="1"/>
        <v>247.33333332580514</v>
      </c>
      <c r="J12" t="s">
        <v>54</v>
      </c>
      <c r="K12">
        <f>C15</f>
        <v>246.88333333586343</v>
      </c>
    </row>
    <row r="13" spans="1:14" x14ac:dyDescent="0.3">
      <c r="A13" s="1" t="s">
        <v>55</v>
      </c>
      <c r="B13" s="2">
        <v>45292.639756944453</v>
      </c>
      <c r="C13">
        <f t="shared" si="0"/>
        <v>243.216666681692</v>
      </c>
      <c r="E13">
        <v>225.83333333954221</v>
      </c>
      <c r="F13">
        <f t="shared" si="1"/>
        <v>264.716666667955</v>
      </c>
      <c r="J13" t="s">
        <v>56</v>
      </c>
      <c r="K13">
        <f>C16</f>
        <v>406.38333334238268</v>
      </c>
    </row>
    <row r="14" spans="1:14" x14ac:dyDescent="0.3">
      <c r="A14" s="1" t="s">
        <v>57</v>
      </c>
      <c r="B14" s="2">
        <v>45292.640960648147</v>
      </c>
      <c r="C14">
        <f t="shared" si="0"/>
        <v>244.95000000111759</v>
      </c>
      <c r="E14">
        <v>243.2166666712146</v>
      </c>
      <c r="F14">
        <f t="shared" si="1"/>
        <v>266.44999998738058</v>
      </c>
      <c r="J14" t="s">
        <v>58</v>
      </c>
      <c r="K14">
        <f>C17</f>
        <v>414.25000000395812</v>
      </c>
    </row>
    <row r="15" spans="1:14" x14ac:dyDescent="0.3">
      <c r="A15" s="1" t="s">
        <v>59</v>
      </c>
      <c r="B15" s="2">
        <v>45292.64230324074</v>
      </c>
      <c r="C15">
        <f t="shared" si="0"/>
        <v>246.88333333586343</v>
      </c>
      <c r="E15">
        <v>244.95000000111759</v>
      </c>
      <c r="F15">
        <f t="shared" si="1"/>
        <v>268.38333332212642</v>
      </c>
    </row>
    <row r="16" spans="1:14" x14ac:dyDescent="0.3">
      <c r="A16" s="1" t="s">
        <v>60</v>
      </c>
      <c r="B16" s="2">
        <v>45292.753067129634</v>
      </c>
      <c r="C16">
        <f t="shared" si="0"/>
        <v>406.38333334238268</v>
      </c>
      <c r="E16">
        <v>246.8833333358634</v>
      </c>
      <c r="F16">
        <f t="shared" si="1"/>
        <v>427.88333332864568</v>
      </c>
    </row>
    <row r="17" spans="1:6" x14ac:dyDescent="0.3">
      <c r="A17" s="1" t="s">
        <v>61</v>
      </c>
      <c r="B17" s="2">
        <v>45292.758530092593</v>
      </c>
      <c r="C17">
        <f t="shared" si="0"/>
        <v>414.25000000395812</v>
      </c>
      <c r="E17">
        <v>406.38333333190531</v>
      </c>
      <c r="F17">
        <f t="shared" si="1"/>
        <v>435.74999999022111</v>
      </c>
    </row>
    <row r="18" spans="1:6" x14ac:dyDescent="0.3">
      <c r="E18">
        <v>414.25000000395812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abSelected="1" zoomScale="91" workbookViewId="0">
      <selection activeCell="G23" sqref="G23"/>
    </sheetView>
  </sheetViews>
  <sheetFormatPr defaultRowHeight="14.4" x14ac:dyDescent="0.3"/>
  <cols>
    <col min="2" max="2" width="13.5546875" bestFit="1" customWidth="1"/>
  </cols>
  <sheetData>
    <row r="1" spans="1:4" x14ac:dyDescent="0.3">
      <c r="A1" t="s">
        <v>62</v>
      </c>
      <c r="B1" t="s">
        <v>63</v>
      </c>
      <c r="C1" t="s">
        <v>7</v>
      </c>
      <c r="D1" t="s">
        <v>64</v>
      </c>
    </row>
    <row r="2" spans="1:4" x14ac:dyDescent="0.3">
      <c r="A2">
        <v>0</v>
      </c>
      <c r="B2">
        <v>138.78854136947629</v>
      </c>
      <c r="C2" s="3">
        <v>0</v>
      </c>
      <c r="D2">
        <f t="shared" ref="D2:D15" si="0">SUM(B2:C2)</f>
        <v>138.78854136947629</v>
      </c>
    </row>
    <row r="3" spans="1:4" x14ac:dyDescent="0.3">
      <c r="A3">
        <v>7.550000004703179</v>
      </c>
      <c r="B3">
        <v>133.66328653349601</v>
      </c>
      <c r="C3" s="3">
        <v>5.3139290166447726</v>
      </c>
      <c r="D3">
        <f t="shared" si="0"/>
        <v>138.97721555014078</v>
      </c>
    </row>
    <row r="4" spans="1:4" x14ac:dyDescent="0.3">
      <c r="A4">
        <v>26.983333333628249</v>
      </c>
      <c r="B4">
        <v>125.0038775175952</v>
      </c>
      <c r="C4" s="3">
        <v>14.65831301289054</v>
      </c>
      <c r="D4">
        <f t="shared" si="0"/>
        <v>139.66219053048573</v>
      </c>
    </row>
    <row r="5" spans="1:4" x14ac:dyDescent="0.3">
      <c r="A5">
        <v>76.999999999534339</v>
      </c>
      <c r="B5">
        <v>112.7545268130112</v>
      </c>
      <c r="C5" s="3">
        <v>28.02298319665373</v>
      </c>
      <c r="D5">
        <f t="shared" si="0"/>
        <v>140.77751000966492</v>
      </c>
    </row>
    <row r="6" spans="1:4" x14ac:dyDescent="0.3">
      <c r="A6">
        <v>144.94999999995341</v>
      </c>
      <c r="B6">
        <v>106.2655998706599</v>
      </c>
      <c r="C6" s="3">
        <v>35.099820103489947</v>
      </c>
      <c r="D6">
        <f t="shared" si="0"/>
        <v>141.36541997414986</v>
      </c>
    </row>
    <row r="7" spans="1:4" x14ac:dyDescent="0.3">
      <c r="A7">
        <v>150.75000000419101</v>
      </c>
      <c r="B7">
        <v>100.2083897012721</v>
      </c>
      <c r="C7" s="4">
        <v>39.261415779265143</v>
      </c>
      <c r="D7">
        <f t="shared" si="0"/>
        <v>139.46980548053725</v>
      </c>
    </row>
    <row r="8" spans="1:4" x14ac:dyDescent="0.3">
      <c r="A8">
        <v>172.95000000740399</v>
      </c>
      <c r="B8">
        <v>83.988342415436406</v>
      </c>
      <c r="C8" s="4">
        <v>55.578879590213212</v>
      </c>
      <c r="D8">
        <f t="shared" si="0"/>
        <v>139.56722200564963</v>
      </c>
    </row>
    <row r="9" spans="1:4" x14ac:dyDescent="0.3">
      <c r="A9">
        <v>177.66666666604581</v>
      </c>
      <c r="B9">
        <v>81.033661741365478</v>
      </c>
      <c r="C9" s="5">
        <v>57.555275964191857</v>
      </c>
      <c r="D9">
        <f t="shared" si="0"/>
        <v>138.58893770555733</v>
      </c>
    </row>
    <row r="10" spans="1:4" x14ac:dyDescent="0.3">
      <c r="A10">
        <v>225.83333333954221</v>
      </c>
      <c r="B10">
        <v>65.562079429135295</v>
      </c>
      <c r="C10" s="5">
        <v>73.24331169591666</v>
      </c>
      <c r="D10">
        <f t="shared" si="0"/>
        <v>138.80539112505195</v>
      </c>
    </row>
    <row r="11" spans="1:4" x14ac:dyDescent="0.3">
      <c r="A11">
        <v>243.2166666712146</v>
      </c>
      <c r="B11">
        <v>61.85431400939158</v>
      </c>
      <c r="C11" s="5">
        <v>76.982714436493055</v>
      </c>
      <c r="D11">
        <f t="shared" si="0"/>
        <v>138.83702844588464</v>
      </c>
    </row>
    <row r="12" spans="1:4" x14ac:dyDescent="0.3">
      <c r="A12">
        <v>246.8833333358634</v>
      </c>
      <c r="B12">
        <v>55.514414743334129</v>
      </c>
      <c r="C12" s="6">
        <v>78.417220104515408</v>
      </c>
      <c r="D12">
        <f t="shared" si="0"/>
        <v>133.93163484784952</v>
      </c>
    </row>
    <row r="13" spans="1:4" x14ac:dyDescent="0.3">
      <c r="A13">
        <v>406.38333333190531</v>
      </c>
      <c r="B13">
        <v>3.5517508799637012</v>
      </c>
      <c r="C13" s="6">
        <v>134.05300054064341</v>
      </c>
      <c r="D13">
        <f t="shared" si="0"/>
        <v>137.6047514206071</v>
      </c>
    </row>
    <row r="14" spans="1:4" x14ac:dyDescent="0.3">
      <c r="A14">
        <v>414.25000000395812</v>
      </c>
      <c r="B14">
        <v>3.047167323374993</v>
      </c>
      <c r="C14" s="6">
        <v>135.575641227468</v>
      </c>
      <c r="D14">
        <f t="shared" si="0"/>
        <v>138.62280855084299</v>
      </c>
    </row>
    <row r="15" spans="1:4" x14ac:dyDescent="0.3">
      <c r="A15">
        <v>955</v>
      </c>
      <c r="B15">
        <v>0</v>
      </c>
      <c r="C15">
        <v>135.039154984503</v>
      </c>
      <c r="D15">
        <f t="shared" si="0"/>
        <v>135.039154984503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C1_E3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2024-12-02T22:14:26Z</dcterms:created>
  <dcterms:modified xsi:type="dcterms:W3CDTF">2026-01-12T10:47:03Z</dcterms:modified>
</cp:coreProperties>
</file>
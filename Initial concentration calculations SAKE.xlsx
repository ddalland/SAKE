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"/>
    </mc:Choice>
  </mc:AlternateContent>
  <xr:revisionPtr revIDLastSave="76" documentId="11_8D8C91693B017BD8C1E173FF798F5CE97477D9E3" xr6:coauthVersionLast="47" xr6:coauthVersionMax="47" xr10:uidLastSave="{8087D78D-3BE8-4232-BAEC-4A172E6F85DA}"/>
  <bookViews>
    <workbookView xWindow="-108" yWindow="-108" windowWidth="23256" windowHeight="12456" firstSheet="22" activeTab="33" xr2:uid="{00000000-000D-0000-FFFF-FFFF00000000}"/>
  </bookViews>
  <sheets>
    <sheet name="C1_E1" sheetId="1" r:id="rId1"/>
    <sheet name="C1_E2" sheetId="2" r:id="rId2"/>
    <sheet name="C1_E3" sheetId="3" r:id="rId3"/>
    <sheet name="C1_E4a" sheetId="4" r:id="rId4"/>
    <sheet name="C1_E4b" sheetId="35" r:id="rId5"/>
    <sheet name="C1_E5" sheetId="5" r:id="rId6"/>
    <sheet name="C1_E6" sheetId="6" r:id="rId7"/>
    <sheet name="C1_E7" sheetId="7" r:id="rId8"/>
    <sheet name="C2_E1" sheetId="8" r:id="rId9"/>
    <sheet name="C2_E2" sheetId="9" r:id="rId10"/>
    <sheet name="C2_E3" sheetId="10" r:id="rId11"/>
    <sheet name="C2_E4" sheetId="11" r:id="rId12"/>
    <sheet name="C2_E5" sheetId="12" r:id="rId13"/>
    <sheet name="C2_E6" sheetId="13" r:id="rId14"/>
    <sheet name="C2_E7a" sheetId="14" r:id="rId15"/>
    <sheet name="C2_E7b" sheetId="15" r:id="rId16"/>
    <sheet name="C3_E1" sheetId="17" r:id="rId17"/>
    <sheet name="C3_E2" sheetId="18" r:id="rId18"/>
    <sheet name="C3_E3" sheetId="19" r:id="rId19"/>
    <sheet name="C3_E4" sheetId="20" r:id="rId20"/>
    <sheet name="C4_E1a" sheetId="21" r:id="rId21"/>
    <sheet name="C4_E1b" sheetId="22" r:id="rId22"/>
    <sheet name="C4_E2" sheetId="23" r:id="rId23"/>
    <sheet name="C4_E3" sheetId="24" r:id="rId24"/>
    <sheet name="C4_E4" sheetId="25" r:id="rId25"/>
    <sheet name="C4_E5" sheetId="26" r:id="rId26"/>
    <sheet name="C4_E6" sheetId="27" r:id="rId27"/>
    <sheet name="C4_E7" sheetId="28" r:id="rId28"/>
    <sheet name="C4_E8" sheetId="29" r:id="rId29"/>
    <sheet name="C4_E9" sheetId="30" r:id="rId30"/>
    <sheet name="C4_E10" sheetId="31" r:id="rId31"/>
    <sheet name="C4_E11" sheetId="32" r:id="rId32"/>
    <sheet name="C4_E12" sheetId="33" r:id="rId33"/>
    <sheet name="Sheet1" sheetId="36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5" l="1"/>
  <c r="J3" i="20"/>
  <c r="K3" i="20"/>
  <c r="J4" i="20"/>
  <c r="K4" i="20"/>
  <c r="J5" i="20"/>
  <c r="K5" i="20"/>
  <c r="J6" i="20"/>
  <c r="K6" i="20"/>
  <c r="J3" i="5"/>
  <c r="K3" i="5"/>
  <c r="J4" i="5"/>
  <c r="K4" i="5"/>
  <c r="J5" i="5"/>
  <c r="K5" i="5"/>
  <c r="J6" i="5"/>
  <c r="K6" i="5"/>
  <c r="E34" i="35"/>
  <c r="F34" i="35" s="1"/>
  <c r="E33" i="35"/>
  <c r="F33" i="35" s="1"/>
  <c r="D35" i="35" s="1"/>
  <c r="F2" i="35" s="1"/>
  <c r="C29" i="35"/>
  <c r="F29" i="35" s="1"/>
  <c r="F28" i="35"/>
  <c r="C28" i="35"/>
  <c r="D28" i="35" s="1"/>
  <c r="C27" i="35"/>
  <c r="F27" i="35" s="1"/>
  <c r="F21" i="35"/>
  <c r="D21" i="35"/>
  <c r="C20" i="35"/>
  <c r="D20" i="35" s="1"/>
  <c r="F19" i="35"/>
  <c r="D19" i="35"/>
  <c r="C19" i="35"/>
  <c r="F13" i="35"/>
  <c r="D13" i="35"/>
  <c r="C12" i="35"/>
  <c r="F12" i="35" s="1"/>
  <c r="C11" i="35"/>
  <c r="D11" i="35" s="1"/>
  <c r="C10" i="35"/>
  <c r="F10" i="35" s="1"/>
  <c r="F5" i="35"/>
  <c r="D5" i="35"/>
  <c r="F4" i="35"/>
  <c r="D4" i="35"/>
  <c r="K3" i="35"/>
  <c r="F3" i="35"/>
  <c r="D3" i="35"/>
  <c r="G3" i="35" l="1"/>
  <c r="F9" i="35"/>
  <c r="F6" i="35"/>
  <c r="G4" i="35" s="1"/>
  <c r="F17" i="35"/>
  <c r="F25" i="35"/>
  <c r="D10" i="35"/>
  <c r="F20" i="35"/>
  <c r="F11" i="35"/>
  <c r="D12" i="35"/>
  <c r="D29" i="35"/>
  <c r="C18" i="35"/>
  <c r="D27" i="35"/>
  <c r="N3" i="35" l="1"/>
  <c r="H3" i="35"/>
  <c r="J3" i="35" s="1"/>
  <c r="N4" i="35"/>
  <c r="H4" i="35"/>
  <c r="F18" i="35"/>
  <c r="D18" i="35"/>
  <c r="F22" i="35"/>
  <c r="F14" i="35"/>
  <c r="G5" i="35"/>
  <c r="G11" i="35" l="1"/>
  <c r="G13" i="35"/>
  <c r="G19" i="35"/>
  <c r="G21" i="35"/>
  <c r="G20" i="35"/>
  <c r="G10" i="35"/>
  <c r="G12" i="35"/>
  <c r="H5" i="35"/>
  <c r="N5" i="35"/>
  <c r="F26" i="35"/>
  <c r="F30" i="35" s="1"/>
  <c r="D26" i="35"/>
  <c r="G26" i="35" s="1"/>
  <c r="G18" i="35"/>
  <c r="H19" i="35" l="1"/>
  <c r="N19" i="35"/>
  <c r="H13" i="35"/>
  <c r="K4" i="35" s="1"/>
  <c r="N13" i="35"/>
  <c r="H18" i="35"/>
  <c r="J5" i="35" s="1"/>
  <c r="N18" i="35"/>
  <c r="N26" i="35"/>
  <c r="H26" i="35"/>
  <c r="J6" i="35" s="1"/>
  <c r="G28" i="35"/>
  <c r="G29" i="35"/>
  <c r="G27" i="35"/>
  <c r="H12" i="35"/>
  <c r="N12" i="35"/>
  <c r="H10" i="35"/>
  <c r="J4" i="35" s="1"/>
  <c r="N10" i="35"/>
  <c r="H20" i="35"/>
  <c r="N20" i="35"/>
  <c r="N21" i="35"/>
  <c r="H21" i="35"/>
  <c r="K5" i="35" s="1"/>
  <c r="H11" i="35"/>
  <c r="N11" i="35"/>
  <c r="H27" i="35" l="1"/>
  <c r="N27" i="35"/>
  <c r="N29" i="35"/>
  <c r="H29" i="35"/>
  <c r="K6" i="35" s="1"/>
  <c r="H28" i="35"/>
  <c r="N28" i="35"/>
  <c r="E34" i="33" l="1"/>
  <c r="F34" i="33" s="1"/>
  <c r="F33" i="33"/>
  <c r="D35" i="33" s="1"/>
  <c r="F2" i="33" s="1"/>
  <c r="E33" i="33"/>
  <c r="F29" i="33"/>
  <c r="D29" i="33"/>
  <c r="F28" i="33"/>
  <c r="D28" i="33"/>
  <c r="C28" i="33"/>
  <c r="C27" i="33"/>
  <c r="F27" i="33" s="1"/>
  <c r="F26" i="33"/>
  <c r="D26" i="33"/>
  <c r="C26" i="33"/>
  <c r="F21" i="33"/>
  <c r="D21" i="33"/>
  <c r="C20" i="33"/>
  <c r="F20" i="33" s="1"/>
  <c r="C19" i="33"/>
  <c r="F19" i="33" s="1"/>
  <c r="F18" i="33"/>
  <c r="D18" i="33"/>
  <c r="C18" i="33"/>
  <c r="F13" i="33"/>
  <c r="D13" i="33"/>
  <c r="C12" i="33"/>
  <c r="D12" i="33" s="1"/>
  <c r="F11" i="33"/>
  <c r="C11" i="33"/>
  <c r="D11" i="33" s="1"/>
  <c r="F10" i="33"/>
  <c r="D10" i="33"/>
  <c r="C10" i="33"/>
  <c r="F5" i="33"/>
  <c r="D5" i="33"/>
  <c r="F4" i="33"/>
  <c r="D4" i="33"/>
  <c r="K3" i="33"/>
  <c r="F3" i="33"/>
  <c r="D3" i="33"/>
  <c r="E25" i="32"/>
  <c r="E26" i="32" s="1"/>
  <c r="F2" i="32" s="1"/>
  <c r="D25" i="32"/>
  <c r="D24" i="32"/>
  <c r="M20" i="32"/>
  <c r="L20" i="32"/>
  <c r="O20" i="32" s="1"/>
  <c r="L19" i="32"/>
  <c r="O19" i="32" s="1"/>
  <c r="F19" i="32"/>
  <c r="D19" i="32"/>
  <c r="L18" i="32"/>
  <c r="M18" i="32" s="1"/>
  <c r="F18" i="32"/>
  <c r="D18" i="32"/>
  <c r="O13" i="32"/>
  <c r="L13" i="32"/>
  <c r="M13" i="32" s="1"/>
  <c r="O12" i="32"/>
  <c r="M12" i="32"/>
  <c r="L12" i="32"/>
  <c r="F12" i="32"/>
  <c r="D12" i="32"/>
  <c r="O11" i="32"/>
  <c r="M11" i="32"/>
  <c r="L11" i="32"/>
  <c r="F11" i="32"/>
  <c r="D11" i="32"/>
  <c r="M10" i="32"/>
  <c r="L10" i="32"/>
  <c r="O10" i="32" s="1"/>
  <c r="F10" i="32"/>
  <c r="C10" i="32"/>
  <c r="D10" i="32" s="1"/>
  <c r="L6" i="32"/>
  <c r="O6" i="32" s="1"/>
  <c r="O5" i="32"/>
  <c r="M5" i="32"/>
  <c r="L5" i="32"/>
  <c r="F5" i="32"/>
  <c r="D5" i="32"/>
  <c r="M4" i="32"/>
  <c r="L4" i="32"/>
  <c r="O4" i="32" s="1"/>
  <c r="F4" i="32"/>
  <c r="D4" i="32"/>
  <c r="O3" i="32"/>
  <c r="M3" i="32"/>
  <c r="F3" i="32"/>
  <c r="D3" i="32"/>
  <c r="D35" i="31"/>
  <c r="F2" i="31" s="1"/>
  <c r="C34" i="31"/>
  <c r="C33" i="31"/>
  <c r="F29" i="31"/>
  <c r="D29" i="31"/>
  <c r="C29" i="31"/>
  <c r="C28" i="31"/>
  <c r="F28" i="31" s="1"/>
  <c r="B28" i="31"/>
  <c r="D27" i="31"/>
  <c r="C27" i="31"/>
  <c r="F27" i="31" s="1"/>
  <c r="B27" i="31"/>
  <c r="A25" i="31"/>
  <c r="F21" i="31"/>
  <c r="D21" i="31"/>
  <c r="B21" i="31"/>
  <c r="D20" i="31"/>
  <c r="C20" i="31"/>
  <c r="F20" i="31" s="1"/>
  <c r="B20" i="31"/>
  <c r="C19" i="31"/>
  <c r="F19" i="31" s="1"/>
  <c r="B19" i="31"/>
  <c r="A17" i="31"/>
  <c r="F13" i="31"/>
  <c r="D13" i="31"/>
  <c r="C12" i="31"/>
  <c r="F12" i="31" s="1"/>
  <c r="B12" i="31"/>
  <c r="F11" i="31"/>
  <c r="C11" i="31"/>
  <c r="B11" i="31"/>
  <c r="D11" i="31" s="1"/>
  <c r="C10" i="31"/>
  <c r="F10" i="31" s="1"/>
  <c r="B10" i="31"/>
  <c r="A9" i="31"/>
  <c r="F5" i="31"/>
  <c r="D5" i="31"/>
  <c r="F4" i="31"/>
  <c r="D4" i="31"/>
  <c r="K3" i="31"/>
  <c r="F3" i="31"/>
  <c r="D3" i="31"/>
  <c r="D32" i="30"/>
  <c r="D33" i="30" s="1"/>
  <c r="F2" i="30" s="1"/>
  <c r="C32" i="30"/>
  <c r="C31" i="30"/>
  <c r="L27" i="30"/>
  <c r="M27" i="30" s="1"/>
  <c r="F27" i="30"/>
  <c r="D27" i="30"/>
  <c r="L26" i="30"/>
  <c r="O26" i="30" s="1"/>
  <c r="F26" i="30"/>
  <c r="D26" i="30"/>
  <c r="J24" i="30"/>
  <c r="L20" i="30"/>
  <c r="M20" i="30" s="1"/>
  <c r="O19" i="30"/>
  <c r="L19" i="30"/>
  <c r="M19" i="30" s="1"/>
  <c r="F19" i="30"/>
  <c r="D19" i="30"/>
  <c r="O18" i="30"/>
  <c r="M18" i="30"/>
  <c r="L18" i="30"/>
  <c r="F18" i="30"/>
  <c r="D18" i="30"/>
  <c r="J16" i="30"/>
  <c r="O13" i="30"/>
  <c r="L13" i="30"/>
  <c r="M13" i="30" s="1"/>
  <c r="O12" i="30"/>
  <c r="M12" i="30"/>
  <c r="L12" i="30"/>
  <c r="F12" i="30"/>
  <c r="D12" i="30"/>
  <c r="O11" i="30"/>
  <c r="M11" i="30"/>
  <c r="L11" i="30"/>
  <c r="F11" i="30"/>
  <c r="D11" i="30"/>
  <c r="C10" i="30"/>
  <c r="L10" i="30" s="1"/>
  <c r="J9" i="30"/>
  <c r="O6" i="30"/>
  <c r="M6" i="30"/>
  <c r="L6" i="30"/>
  <c r="L5" i="30"/>
  <c r="O5" i="30" s="1"/>
  <c r="F5" i="30"/>
  <c r="D5" i="30"/>
  <c r="O4" i="30"/>
  <c r="M4" i="30"/>
  <c r="L4" i="30"/>
  <c r="F4" i="30"/>
  <c r="D4" i="30"/>
  <c r="M3" i="30"/>
  <c r="L3" i="30"/>
  <c r="O3" i="30" s="1"/>
  <c r="F3" i="30"/>
  <c r="D3" i="30"/>
  <c r="J2" i="30"/>
  <c r="D35" i="29"/>
  <c r="D34" i="29"/>
  <c r="B35" i="29" s="1"/>
  <c r="C34" i="29"/>
  <c r="C33" i="29"/>
  <c r="D29" i="29"/>
  <c r="C29" i="29"/>
  <c r="F29" i="29" s="1"/>
  <c r="F28" i="29"/>
  <c r="C28" i="29"/>
  <c r="D28" i="29" s="1"/>
  <c r="B28" i="29"/>
  <c r="C27" i="29"/>
  <c r="F27" i="29" s="1"/>
  <c r="B27" i="29"/>
  <c r="F25" i="29"/>
  <c r="A25" i="29"/>
  <c r="F21" i="29"/>
  <c r="B21" i="29"/>
  <c r="D21" i="29" s="1"/>
  <c r="F20" i="29"/>
  <c r="C20" i="29"/>
  <c r="B20" i="29"/>
  <c r="D20" i="29" s="1"/>
  <c r="F19" i="29"/>
  <c r="D19" i="29"/>
  <c r="C19" i="29"/>
  <c r="B19" i="29"/>
  <c r="A17" i="29"/>
  <c r="F13" i="29"/>
  <c r="D13" i="29"/>
  <c r="C12" i="29"/>
  <c r="F12" i="29" s="1"/>
  <c r="B12" i="29"/>
  <c r="D11" i="29"/>
  <c r="C11" i="29"/>
  <c r="F11" i="29" s="1"/>
  <c r="B11" i="29"/>
  <c r="C10" i="29"/>
  <c r="F10" i="29" s="1"/>
  <c r="B10" i="29"/>
  <c r="A9" i="29"/>
  <c r="F5" i="29"/>
  <c r="D5" i="29"/>
  <c r="F4" i="29"/>
  <c r="D4" i="29"/>
  <c r="K3" i="29"/>
  <c r="F3" i="29"/>
  <c r="D3" i="29"/>
  <c r="G3" i="29" s="1"/>
  <c r="H3" i="29" s="1"/>
  <c r="F2" i="29"/>
  <c r="F6" i="29" s="1"/>
  <c r="D35" i="28"/>
  <c r="F2" i="28" s="1"/>
  <c r="B35" i="28"/>
  <c r="D34" i="28"/>
  <c r="C34" i="28"/>
  <c r="C33" i="28"/>
  <c r="C29" i="28"/>
  <c r="F29" i="28" s="1"/>
  <c r="C28" i="28"/>
  <c r="F28" i="28" s="1"/>
  <c r="B28" i="28"/>
  <c r="C27" i="28"/>
  <c r="F27" i="28" s="1"/>
  <c r="B27" i="28"/>
  <c r="F21" i="28"/>
  <c r="D21" i="28"/>
  <c r="B21" i="28"/>
  <c r="C20" i="28"/>
  <c r="F20" i="28" s="1"/>
  <c r="B20" i="28"/>
  <c r="C19" i="28"/>
  <c r="F19" i="28" s="1"/>
  <c r="B19" i="28"/>
  <c r="F13" i="28"/>
  <c r="D13" i="28"/>
  <c r="C12" i="28"/>
  <c r="F12" i="28" s="1"/>
  <c r="B12" i="28"/>
  <c r="C11" i="28"/>
  <c r="F11" i="28" s="1"/>
  <c r="B11" i="28"/>
  <c r="C10" i="28"/>
  <c r="F10" i="28" s="1"/>
  <c r="B10" i="28"/>
  <c r="F5" i="28"/>
  <c r="D5" i="28"/>
  <c r="F4" i="28"/>
  <c r="D4" i="28"/>
  <c r="K3" i="28"/>
  <c r="F3" i="28"/>
  <c r="D3" i="28"/>
  <c r="D34" i="27"/>
  <c r="D35" i="27" s="1"/>
  <c r="F2" i="27" s="1"/>
  <c r="C34" i="27"/>
  <c r="C33" i="27"/>
  <c r="C29" i="27"/>
  <c r="F29" i="27" s="1"/>
  <c r="C28" i="27"/>
  <c r="F28" i="27" s="1"/>
  <c r="F27" i="27"/>
  <c r="C27" i="27"/>
  <c r="D27" i="27" s="1"/>
  <c r="A25" i="27"/>
  <c r="F21" i="27"/>
  <c r="D21" i="27"/>
  <c r="C20" i="27"/>
  <c r="F20" i="27" s="1"/>
  <c r="C19" i="27"/>
  <c r="F19" i="27" s="1"/>
  <c r="A17" i="27"/>
  <c r="F13" i="27"/>
  <c r="D13" i="27"/>
  <c r="F12" i="27"/>
  <c r="D12" i="27"/>
  <c r="C12" i="27"/>
  <c r="C11" i="27"/>
  <c r="F11" i="27" s="1"/>
  <c r="F10" i="27"/>
  <c r="D10" i="27"/>
  <c r="C10" i="27"/>
  <c r="C18" i="27" s="1"/>
  <c r="A9" i="27"/>
  <c r="F5" i="27"/>
  <c r="D5" i="27"/>
  <c r="F4" i="27"/>
  <c r="D4" i="27"/>
  <c r="K3" i="27"/>
  <c r="F3" i="27"/>
  <c r="D3" i="27"/>
  <c r="F24" i="26"/>
  <c r="F25" i="26" s="1"/>
  <c r="F2" i="26" s="1"/>
  <c r="E24" i="26"/>
  <c r="E23" i="26"/>
  <c r="O20" i="26"/>
  <c r="L20" i="26"/>
  <c r="M20" i="26" s="1"/>
  <c r="M19" i="26"/>
  <c r="L19" i="26"/>
  <c r="O19" i="26" s="1"/>
  <c r="F19" i="26"/>
  <c r="D19" i="26"/>
  <c r="O18" i="26"/>
  <c r="M18" i="26"/>
  <c r="L18" i="26"/>
  <c r="F18" i="26"/>
  <c r="D18" i="26"/>
  <c r="L17" i="26"/>
  <c r="O17" i="26" s="1"/>
  <c r="C17" i="26"/>
  <c r="F17" i="26" s="1"/>
  <c r="L13" i="26"/>
  <c r="O13" i="26" s="1"/>
  <c r="L12" i="26"/>
  <c r="O12" i="26" s="1"/>
  <c r="F12" i="26"/>
  <c r="D12" i="26"/>
  <c r="L11" i="26"/>
  <c r="O11" i="26" s="1"/>
  <c r="F11" i="26"/>
  <c r="D11" i="26"/>
  <c r="O10" i="26"/>
  <c r="L10" i="26"/>
  <c r="M10" i="26" s="1"/>
  <c r="C10" i="26"/>
  <c r="F10" i="26" s="1"/>
  <c r="M6" i="26"/>
  <c r="L6" i="26"/>
  <c r="O6" i="26" s="1"/>
  <c r="M5" i="26"/>
  <c r="L5" i="26"/>
  <c r="O5" i="26" s="1"/>
  <c r="F5" i="26"/>
  <c r="D5" i="26"/>
  <c r="L4" i="26"/>
  <c r="O4" i="26" s="1"/>
  <c r="F4" i="26"/>
  <c r="D4" i="26"/>
  <c r="O3" i="26"/>
  <c r="M3" i="26"/>
  <c r="F3" i="26"/>
  <c r="D3" i="26"/>
  <c r="B35" i="25"/>
  <c r="D34" i="25"/>
  <c r="D35" i="25" s="1"/>
  <c r="F2" i="25" s="1"/>
  <c r="C34" i="25"/>
  <c r="C33" i="25"/>
  <c r="F29" i="25"/>
  <c r="D29" i="25"/>
  <c r="C29" i="25"/>
  <c r="C28" i="25"/>
  <c r="F28" i="25" s="1"/>
  <c r="C27" i="25"/>
  <c r="F27" i="25" s="1"/>
  <c r="F21" i="25"/>
  <c r="D21" i="25"/>
  <c r="F20" i="25"/>
  <c r="D20" i="25"/>
  <c r="C20" i="25"/>
  <c r="C19" i="25"/>
  <c r="F19" i="25" s="1"/>
  <c r="F18" i="25"/>
  <c r="C18" i="25"/>
  <c r="C26" i="25" s="1"/>
  <c r="F13" i="25"/>
  <c r="D13" i="25"/>
  <c r="F12" i="25"/>
  <c r="D12" i="25"/>
  <c r="C12" i="25"/>
  <c r="C11" i="25"/>
  <c r="F11" i="25" s="1"/>
  <c r="F10" i="25"/>
  <c r="D10" i="25"/>
  <c r="C10" i="25"/>
  <c r="F5" i="25"/>
  <c r="D5" i="25"/>
  <c r="F4" i="25"/>
  <c r="D4" i="25"/>
  <c r="K3" i="25"/>
  <c r="F3" i="25"/>
  <c r="D3" i="25"/>
  <c r="C34" i="24"/>
  <c r="D34" i="24" s="1"/>
  <c r="D35" i="24" s="1"/>
  <c r="F2" i="24" s="1"/>
  <c r="C33" i="24"/>
  <c r="F29" i="24"/>
  <c r="D29" i="24"/>
  <c r="C29" i="24"/>
  <c r="C28" i="24"/>
  <c r="F28" i="24" s="1"/>
  <c r="B28" i="24"/>
  <c r="D28" i="24" s="1"/>
  <c r="F27" i="24"/>
  <c r="D27" i="24"/>
  <c r="C27" i="24"/>
  <c r="B27" i="24"/>
  <c r="F21" i="24"/>
  <c r="D21" i="24"/>
  <c r="B21" i="24"/>
  <c r="C20" i="24"/>
  <c r="F20" i="24" s="1"/>
  <c r="B20" i="24"/>
  <c r="F19" i="24"/>
  <c r="C19" i="24"/>
  <c r="D19" i="24" s="1"/>
  <c r="B19" i="24"/>
  <c r="F13" i="24"/>
  <c r="D13" i="24"/>
  <c r="C12" i="24"/>
  <c r="F12" i="24" s="1"/>
  <c r="B12" i="24"/>
  <c r="C11" i="24"/>
  <c r="F11" i="24" s="1"/>
  <c r="B11" i="24"/>
  <c r="C10" i="24"/>
  <c r="C18" i="24" s="1"/>
  <c r="B10" i="24"/>
  <c r="F5" i="24"/>
  <c r="D5" i="24"/>
  <c r="F4" i="24"/>
  <c r="D4" i="24"/>
  <c r="K3" i="24"/>
  <c r="F3" i="24"/>
  <c r="D3" i="24"/>
  <c r="D25" i="23"/>
  <c r="F2" i="23" s="1"/>
  <c r="B25" i="23"/>
  <c r="D24" i="23"/>
  <c r="C24" i="23"/>
  <c r="C23" i="23"/>
  <c r="O20" i="23"/>
  <c r="L20" i="23"/>
  <c r="M20" i="23" s="1"/>
  <c r="O19" i="23"/>
  <c r="L19" i="23"/>
  <c r="M19" i="23" s="1"/>
  <c r="F19" i="23"/>
  <c r="D19" i="23"/>
  <c r="O18" i="23"/>
  <c r="M18" i="23"/>
  <c r="L18" i="23"/>
  <c r="F18" i="23"/>
  <c r="D18" i="23"/>
  <c r="J16" i="23"/>
  <c r="O13" i="23"/>
  <c r="L13" i="23"/>
  <c r="M13" i="23" s="1"/>
  <c r="M12" i="23"/>
  <c r="L12" i="23"/>
  <c r="O12" i="23" s="1"/>
  <c r="F12" i="23"/>
  <c r="D12" i="23"/>
  <c r="O11" i="23"/>
  <c r="M11" i="23"/>
  <c r="L11" i="23"/>
  <c r="F11" i="23"/>
  <c r="D11" i="23"/>
  <c r="L10" i="23"/>
  <c r="O10" i="23" s="1"/>
  <c r="F10" i="23"/>
  <c r="C10" i="23"/>
  <c r="D10" i="23" s="1"/>
  <c r="J9" i="23"/>
  <c r="O6" i="23"/>
  <c r="M6" i="23"/>
  <c r="L6" i="23"/>
  <c r="L5" i="23"/>
  <c r="O5" i="23" s="1"/>
  <c r="F5" i="23"/>
  <c r="D5" i="23"/>
  <c r="O4" i="23"/>
  <c r="L4" i="23"/>
  <c r="M4" i="23" s="1"/>
  <c r="F4" i="23"/>
  <c r="D4" i="23"/>
  <c r="O3" i="23"/>
  <c r="M3" i="23"/>
  <c r="L3" i="23"/>
  <c r="F3" i="23"/>
  <c r="D3" i="23"/>
  <c r="J2" i="23"/>
  <c r="D27" i="22"/>
  <c r="F2" i="22" s="1"/>
  <c r="D26" i="22"/>
  <c r="B27" i="22" s="1"/>
  <c r="C26" i="22"/>
  <c r="C25" i="22"/>
  <c r="F21" i="22"/>
  <c r="D21" i="22"/>
  <c r="F20" i="22"/>
  <c r="D20" i="22"/>
  <c r="F19" i="22"/>
  <c r="D19" i="22"/>
  <c r="F18" i="22"/>
  <c r="D18" i="22"/>
  <c r="C18" i="22"/>
  <c r="F13" i="22"/>
  <c r="D13" i="22"/>
  <c r="F12" i="22"/>
  <c r="D12" i="22"/>
  <c r="F11" i="22"/>
  <c r="D11" i="22"/>
  <c r="C10" i="22"/>
  <c r="F10" i="22" s="1"/>
  <c r="F5" i="22"/>
  <c r="D5" i="22"/>
  <c r="F4" i="22"/>
  <c r="D4" i="22"/>
  <c r="F3" i="22"/>
  <c r="D3" i="22"/>
  <c r="D32" i="21"/>
  <c r="D33" i="21" s="1"/>
  <c r="C32" i="21"/>
  <c r="C31" i="21"/>
  <c r="F26" i="21"/>
  <c r="D26" i="21"/>
  <c r="F25" i="21"/>
  <c r="D25" i="21"/>
  <c r="C24" i="21"/>
  <c r="F24" i="21" s="1"/>
  <c r="F19" i="21"/>
  <c r="D19" i="21"/>
  <c r="F18" i="21"/>
  <c r="D18" i="21"/>
  <c r="D17" i="21"/>
  <c r="C17" i="21"/>
  <c r="F17" i="21" s="1"/>
  <c r="F12" i="21"/>
  <c r="D12" i="21"/>
  <c r="F11" i="21"/>
  <c r="D11" i="21"/>
  <c r="F10" i="21"/>
  <c r="D10" i="21"/>
  <c r="C10" i="21"/>
  <c r="K6" i="21"/>
  <c r="K5" i="21"/>
  <c r="F5" i="21"/>
  <c r="D5" i="21"/>
  <c r="K4" i="21"/>
  <c r="F4" i="21"/>
  <c r="D4" i="21"/>
  <c r="K3" i="21"/>
  <c r="F3" i="21"/>
  <c r="D3" i="21"/>
  <c r="F2" i="21"/>
  <c r="D35" i="20"/>
  <c r="F2" i="20" s="1"/>
  <c r="E34" i="20"/>
  <c r="F34" i="20" s="1"/>
  <c r="F33" i="20"/>
  <c r="E33" i="20"/>
  <c r="F29" i="20"/>
  <c r="D29" i="20"/>
  <c r="C29" i="20"/>
  <c r="F28" i="20"/>
  <c r="D28" i="20"/>
  <c r="C28" i="20"/>
  <c r="F27" i="20"/>
  <c r="E27" i="20"/>
  <c r="C27" i="20"/>
  <c r="D27" i="20" s="1"/>
  <c r="B27" i="20"/>
  <c r="A27" i="20"/>
  <c r="E26" i="20"/>
  <c r="B26" i="20"/>
  <c r="A26" i="20"/>
  <c r="F21" i="20"/>
  <c r="D21" i="20"/>
  <c r="F20" i="20"/>
  <c r="D20" i="20"/>
  <c r="C20" i="20"/>
  <c r="F19" i="20"/>
  <c r="E19" i="20"/>
  <c r="C19" i="20"/>
  <c r="D19" i="20" s="1"/>
  <c r="B19" i="20"/>
  <c r="A19" i="20"/>
  <c r="F18" i="20"/>
  <c r="E18" i="20"/>
  <c r="B18" i="20"/>
  <c r="A18" i="20"/>
  <c r="F13" i="20"/>
  <c r="D13" i="20"/>
  <c r="F12" i="20"/>
  <c r="D12" i="20"/>
  <c r="C12" i="20"/>
  <c r="E11" i="20"/>
  <c r="C11" i="20"/>
  <c r="F11" i="20" s="1"/>
  <c r="B11" i="20"/>
  <c r="A11" i="20"/>
  <c r="E10" i="20"/>
  <c r="D10" i="20"/>
  <c r="C10" i="20"/>
  <c r="C18" i="20" s="1"/>
  <c r="C26" i="20" s="1"/>
  <c r="B10" i="20"/>
  <c r="A10" i="20"/>
  <c r="R9" i="20"/>
  <c r="F5" i="20"/>
  <c r="D5" i="20"/>
  <c r="F4" i="20"/>
  <c r="D4" i="20"/>
  <c r="F3" i="20"/>
  <c r="D3" i="20"/>
  <c r="F34" i="19"/>
  <c r="D35" i="19" s="1"/>
  <c r="F2" i="19" s="1"/>
  <c r="E34" i="19"/>
  <c r="F33" i="19"/>
  <c r="E33" i="19"/>
  <c r="D29" i="19"/>
  <c r="C29" i="19"/>
  <c r="F29" i="19" s="1"/>
  <c r="D28" i="19"/>
  <c r="C28" i="19"/>
  <c r="F28" i="19" s="1"/>
  <c r="F27" i="19"/>
  <c r="E27" i="19"/>
  <c r="C27" i="19"/>
  <c r="D27" i="19" s="1"/>
  <c r="B27" i="19"/>
  <c r="A27" i="19"/>
  <c r="B26" i="19"/>
  <c r="F21" i="19"/>
  <c r="D21" i="19"/>
  <c r="C20" i="19"/>
  <c r="D20" i="19" s="1"/>
  <c r="E19" i="19"/>
  <c r="C19" i="19"/>
  <c r="F19" i="19" s="1"/>
  <c r="B19" i="19"/>
  <c r="A19" i="19"/>
  <c r="B18" i="19"/>
  <c r="F17" i="19"/>
  <c r="F13" i="19"/>
  <c r="D13" i="19"/>
  <c r="D12" i="19"/>
  <c r="C12" i="19"/>
  <c r="F12" i="19" s="1"/>
  <c r="F11" i="19"/>
  <c r="E11" i="19"/>
  <c r="C11" i="19"/>
  <c r="B11" i="19"/>
  <c r="D11" i="19" s="1"/>
  <c r="A11" i="19"/>
  <c r="E10" i="19"/>
  <c r="E18" i="19" s="1"/>
  <c r="E26" i="19" s="1"/>
  <c r="C10" i="19"/>
  <c r="B10" i="19"/>
  <c r="R9" i="19"/>
  <c r="F5" i="19"/>
  <c r="D5" i="19"/>
  <c r="F4" i="19"/>
  <c r="D4" i="19"/>
  <c r="F3" i="19"/>
  <c r="D3" i="19"/>
  <c r="F58" i="18"/>
  <c r="E58" i="18"/>
  <c r="E57" i="18"/>
  <c r="F57" i="18" s="1"/>
  <c r="D59" i="18" s="1"/>
  <c r="F2" i="18" s="1"/>
  <c r="F44" i="18"/>
  <c r="C44" i="18"/>
  <c r="D44" i="18" s="1"/>
  <c r="E42" i="18"/>
  <c r="B42" i="18"/>
  <c r="A42" i="18"/>
  <c r="D37" i="18"/>
  <c r="D36" i="18"/>
  <c r="C36" i="18"/>
  <c r="F36" i="18" s="1"/>
  <c r="E34" i="18"/>
  <c r="B34" i="18"/>
  <c r="A34" i="18"/>
  <c r="F29" i="18"/>
  <c r="C29" i="18"/>
  <c r="C37" i="18" s="1"/>
  <c r="C28" i="18"/>
  <c r="E26" i="18"/>
  <c r="B26" i="18"/>
  <c r="A26" i="18"/>
  <c r="F21" i="18"/>
  <c r="D21" i="18"/>
  <c r="C20" i="18"/>
  <c r="F20" i="18" s="1"/>
  <c r="C19" i="18"/>
  <c r="E18" i="18"/>
  <c r="B18" i="18"/>
  <c r="A18" i="18"/>
  <c r="F13" i="18"/>
  <c r="D13" i="18"/>
  <c r="D12" i="18"/>
  <c r="C12" i="18"/>
  <c r="F12" i="18" s="1"/>
  <c r="F11" i="18"/>
  <c r="C11" i="18"/>
  <c r="D11" i="18" s="1"/>
  <c r="X10" i="18"/>
  <c r="E10" i="18"/>
  <c r="C10" i="18"/>
  <c r="B10" i="18"/>
  <c r="A10" i="18"/>
  <c r="X9" i="18"/>
  <c r="X8" i="18"/>
  <c r="X7" i="18"/>
  <c r="F5" i="18"/>
  <c r="D5" i="18"/>
  <c r="F4" i="18"/>
  <c r="D4" i="18"/>
  <c r="K3" i="18"/>
  <c r="F3" i="18"/>
  <c r="D3" i="18"/>
  <c r="F34" i="17"/>
  <c r="E34" i="17"/>
  <c r="E33" i="17"/>
  <c r="F33" i="17" s="1"/>
  <c r="D35" i="17" s="1"/>
  <c r="F2" i="17" s="1"/>
  <c r="C29" i="17"/>
  <c r="E28" i="17"/>
  <c r="F28" i="17" s="1"/>
  <c r="D28" i="17"/>
  <c r="C28" i="17"/>
  <c r="B28" i="17"/>
  <c r="E27" i="17"/>
  <c r="C27" i="17"/>
  <c r="F27" i="17" s="1"/>
  <c r="B27" i="17"/>
  <c r="D27" i="17" s="1"/>
  <c r="E26" i="17"/>
  <c r="B26" i="17"/>
  <c r="F25" i="17"/>
  <c r="F21" i="17"/>
  <c r="D21" i="17"/>
  <c r="B21" i="17"/>
  <c r="E20" i="17"/>
  <c r="D20" i="17"/>
  <c r="C20" i="17"/>
  <c r="F20" i="17" s="1"/>
  <c r="B20" i="17"/>
  <c r="E19" i="17"/>
  <c r="F19" i="17" s="1"/>
  <c r="C19" i="17"/>
  <c r="D19" i="17" s="1"/>
  <c r="B19" i="17"/>
  <c r="E18" i="17"/>
  <c r="B18" i="17"/>
  <c r="F13" i="17"/>
  <c r="D13" i="17"/>
  <c r="E12" i="17"/>
  <c r="C12" i="17"/>
  <c r="B12" i="17"/>
  <c r="E11" i="17"/>
  <c r="C11" i="17"/>
  <c r="F11" i="17" s="1"/>
  <c r="B11" i="17"/>
  <c r="E10" i="17"/>
  <c r="C10" i="17"/>
  <c r="B10" i="17"/>
  <c r="F9" i="17"/>
  <c r="F5" i="17"/>
  <c r="D5" i="17"/>
  <c r="F4" i="17"/>
  <c r="D4" i="17"/>
  <c r="K3" i="17"/>
  <c r="F3" i="17"/>
  <c r="D3" i="17"/>
  <c r="E34" i="15"/>
  <c r="F34" i="15" s="1"/>
  <c r="F33" i="15"/>
  <c r="E33" i="15"/>
  <c r="D29" i="15"/>
  <c r="C29" i="15"/>
  <c r="F29" i="15" s="1"/>
  <c r="C28" i="15"/>
  <c r="F28" i="15" s="1"/>
  <c r="F27" i="15"/>
  <c r="E27" i="15"/>
  <c r="D27" i="15"/>
  <c r="C27" i="15"/>
  <c r="B27" i="15"/>
  <c r="A27" i="15"/>
  <c r="F21" i="15"/>
  <c r="D21" i="15"/>
  <c r="C20" i="15"/>
  <c r="E19" i="15"/>
  <c r="F19" i="15" s="1"/>
  <c r="C19" i="15"/>
  <c r="D19" i="15" s="1"/>
  <c r="B19" i="15"/>
  <c r="A19" i="15"/>
  <c r="F18" i="15"/>
  <c r="F13" i="15"/>
  <c r="D13" i="15"/>
  <c r="F12" i="15"/>
  <c r="C12" i="15"/>
  <c r="D12" i="15" s="1"/>
  <c r="E11" i="15"/>
  <c r="C11" i="15"/>
  <c r="F11" i="15" s="1"/>
  <c r="B11" i="15"/>
  <c r="D11" i="15" s="1"/>
  <c r="A11" i="15"/>
  <c r="F10" i="15"/>
  <c r="D10" i="15"/>
  <c r="C10" i="15"/>
  <c r="C18" i="15" s="1"/>
  <c r="D18" i="15" s="1"/>
  <c r="R9" i="15"/>
  <c r="F5" i="15"/>
  <c r="D5" i="15"/>
  <c r="F4" i="15"/>
  <c r="D4" i="15"/>
  <c r="K3" i="15"/>
  <c r="F3" i="15"/>
  <c r="D3" i="15"/>
  <c r="E34" i="14"/>
  <c r="F34" i="14" s="1"/>
  <c r="E33" i="14"/>
  <c r="F33" i="14" s="1"/>
  <c r="C29" i="14"/>
  <c r="C28" i="14"/>
  <c r="F28" i="14" s="1"/>
  <c r="E27" i="14"/>
  <c r="D27" i="14"/>
  <c r="C27" i="14"/>
  <c r="F27" i="14" s="1"/>
  <c r="B27" i="14"/>
  <c r="A27" i="14"/>
  <c r="F26" i="14"/>
  <c r="C26" i="14"/>
  <c r="D26" i="14" s="1"/>
  <c r="F21" i="14"/>
  <c r="D21" i="14"/>
  <c r="C20" i="14"/>
  <c r="F19" i="14"/>
  <c r="E19" i="14"/>
  <c r="D19" i="14"/>
  <c r="C19" i="14"/>
  <c r="B19" i="14"/>
  <c r="A19" i="14"/>
  <c r="F13" i="14"/>
  <c r="D13" i="14"/>
  <c r="C12" i="14"/>
  <c r="E11" i="14"/>
  <c r="C11" i="14"/>
  <c r="F11" i="14" s="1"/>
  <c r="B11" i="14"/>
  <c r="A11" i="14"/>
  <c r="F10" i="14"/>
  <c r="D10" i="14"/>
  <c r="C10" i="14"/>
  <c r="C18" i="14" s="1"/>
  <c r="F5" i="14"/>
  <c r="D5" i="14"/>
  <c r="F4" i="14"/>
  <c r="D4" i="14"/>
  <c r="K3" i="14"/>
  <c r="F3" i="14"/>
  <c r="D3" i="14"/>
  <c r="D35" i="13"/>
  <c r="F34" i="13"/>
  <c r="E34" i="13"/>
  <c r="F33" i="13"/>
  <c r="E33" i="13"/>
  <c r="C29" i="13"/>
  <c r="F28" i="13"/>
  <c r="D28" i="13"/>
  <c r="C28" i="13"/>
  <c r="E27" i="13"/>
  <c r="C27" i="13"/>
  <c r="F27" i="13" s="1"/>
  <c r="B27" i="13"/>
  <c r="A27" i="13"/>
  <c r="C26" i="13"/>
  <c r="F26" i="13" s="1"/>
  <c r="F21" i="13"/>
  <c r="D21" i="13"/>
  <c r="C20" i="13"/>
  <c r="F20" i="13" s="1"/>
  <c r="E19" i="13"/>
  <c r="C19" i="13"/>
  <c r="F19" i="13" s="1"/>
  <c r="B19" i="13"/>
  <c r="D19" i="13" s="1"/>
  <c r="A19" i="13"/>
  <c r="F13" i="13"/>
  <c r="D13" i="13"/>
  <c r="F12" i="13"/>
  <c r="D12" i="13"/>
  <c r="C12" i="13"/>
  <c r="F11" i="13"/>
  <c r="E11" i="13"/>
  <c r="D11" i="13"/>
  <c r="C11" i="13"/>
  <c r="B11" i="13"/>
  <c r="A11" i="13"/>
  <c r="F10" i="13"/>
  <c r="D10" i="13"/>
  <c r="C10" i="13"/>
  <c r="C18" i="13" s="1"/>
  <c r="F6" i="13"/>
  <c r="G3" i="13" s="1"/>
  <c r="F5" i="13"/>
  <c r="D5" i="13"/>
  <c r="F4" i="13"/>
  <c r="D4" i="13"/>
  <c r="G4" i="13" s="1"/>
  <c r="K3" i="13"/>
  <c r="F3" i="13"/>
  <c r="D3" i="13"/>
  <c r="F2" i="13"/>
  <c r="E34" i="12"/>
  <c r="F34" i="12" s="1"/>
  <c r="E33" i="12"/>
  <c r="F33" i="12" s="1"/>
  <c r="D35" i="12" s="1"/>
  <c r="F2" i="12" s="1"/>
  <c r="F29" i="12"/>
  <c r="D29" i="12"/>
  <c r="C29" i="12"/>
  <c r="C28" i="12"/>
  <c r="B28" i="12"/>
  <c r="A28" i="12"/>
  <c r="C27" i="12"/>
  <c r="F27" i="12" s="1"/>
  <c r="B27" i="12"/>
  <c r="A27" i="12"/>
  <c r="B26" i="12"/>
  <c r="A26" i="12"/>
  <c r="F21" i="12"/>
  <c r="B21" i="12"/>
  <c r="D21" i="12" s="1"/>
  <c r="C20" i="12"/>
  <c r="D20" i="12" s="1"/>
  <c r="B20" i="12"/>
  <c r="A20" i="12"/>
  <c r="C19" i="12"/>
  <c r="B19" i="12"/>
  <c r="A19" i="12"/>
  <c r="B18" i="12"/>
  <c r="A18" i="12"/>
  <c r="F13" i="12"/>
  <c r="D13" i="12"/>
  <c r="D12" i="12"/>
  <c r="C12" i="12"/>
  <c r="F12" i="12" s="1"/>
  <c r="B12" i="12"/>
  <c r="A12" i="12"/>
  <c r="F11" i="12"/>
  <c r="C11" i="12"/>
  <c r="D11" i="12" s="1"/>
  <c r="B11" i="12"/>
  <c r="A11" i="12"/>
  <c r="D10" i="12"/>
  <c r="C10" i="12"/>
  <c r="C18" i="12" s="1"/>
  <c r="B10" i="12"/>
  <c r="A10" i="12"/>
  <c r="F5" i="12"/>
  <c r="D5" i="12"/>
  <c r="F4" i="12"/>
  <c r="D4" i="12"/>
  <c r="K3" i="12"/>
  <c r="F3" i="12"/>
  <c r="F6" i="12" s="1"/>
  <c r="D3" i="12"/>
  <c r="F34" i="11"/>
  <c r="E34" i="11"/>
  <c r="E33" i="11"/>
  <c r="F33" i="11" s="1"/>
  <c r="D35" i="11" s="1"/>
  <c r="F2" i="11" s="1"/>
  <c r="C29" i="11"/>
  <c r="F29" i="11" s="1"/>
  <c r="F28" i="11"/>
  <c r="D28" i="11"/>
  <c r="C28" i="11"/>
  <c r="E27" i="11"/>
  <c r="F27" i="11" s="1"/>
  <c r="D27" i="11"/>
  <c r="C27" i="11"/>
  <c r="B27" i="11"/>
  <c r="A27" i="11"/>
  <c r="F21" i="11"/>
  <c r="D21" i="11"/>
  <c r="F20" i="11"/>
  <c r="D20" i="11"/>
  <c r="C20" i="11"/>
  <c r="E19" i="11"/>
  <c r="D19" i="11"/>
  <c r="C19" i="11"/>
  <c r="B19" i="11"/>
  <c r="A19" i="11"/>
  <c r="C18" i="11"/>
  <c r="F13" i="11"/>
  <c r="D13" i="11"/>
  <c r="C12" i="11"/>
  <c r="F12" i="11" s="1"/>
  <c r="E11" i="11"/>
  <c r="C11" i="11"/>
  <c r="B11" i="11"/>
  <c r="A11" i="11"/>
  <c r="F10" i="11"/>
  <c r="C10" i="11"/>
  <c r="D10" i="11" s="1"/>
  <c r="F5" i="11"/>
  <c r="D5" i="11"/>
  <c r="F4" i="11"/>
  <c r="D4" i="11"/>
  <c r="F3" i="11"/>
  <c r="D3" i="11"/>
  <c r="E34" i="10"/>
  <c r="F34" i="10" s="1"/>
  <c r="E33" i="10"/>
  <c r="F33" i="10" s="1"/>
  <c r="D35" i="10" s="1"/>
  <c r="F29" i="10"/>
  <c r="D29" i="10"/>
  <c r="C29" i="10"/>
  <c r="F28" i="10"/>
  <c r="D28" i="10"/>
  <c r="C28" i="10"/>
  <c r="F27" i="10"/>
  <c r="C27" i="10"/>
  <c r="D27" i="10" s="1"/>
  <c r="F21" i="10"/>
  <c r="D21" i="10"/>
  <c r="F20" i="10"/>
  <c r="D20" i="10"/>
  <c r="C20" i="10"/>
  <c r="F19" i="10"/>
  <c r="C19" i="10"/>
  <c r="D19" i="10" s="1"/>
  <c r="F13" i="10"/>
  <c r="D13" i="10"/>
  <c r="F12" i="10"/>
  <c r="C12" i="10"/>
  <c r="D12" i="10" s="1"/>
  <c r="F11" i="10"/>
  <c r="D11" i="10"/>
  <c r="C11" i="10"/>
  <c r="C10" i="10"/>
  <c r="F5" i="10"/>
  <c r="D5" i="10"/>
  <c r="F4" i="10"/>
  <c r="D4" i="10"/>
  <c r="F3" i="10"/>
  <c r="D3" i="10"/>
  <c r="F2" i="10"/>
  <c r="D35" i="9"/>
  <c r="F2" i="9" s="1"/>
  <c r="E34" i="9"/>
  <c r="F34" i="9" s="1"/>
  <c r="E33" i="9"/>
  <c r="F33" i="9" s="1"/>
  <c r="C29" i="9"/>
  <c r="F29" i="9" s="1"/>
  <c r="F28" i="9"/>
  <c r="C28" i="9"/>
  <c r="B28" i="9"/>
  <c r="F27" i="9"/>
  <c r="C27" i="9"/>
  <c r="B27" i="9"/>
  <c r="D27" i="9" s="1"/>
  <c r="F21" i="9"/>
  <c r="B21" i="9"/>
  <c r="D21" i="9" s="1"/>
  <c r="F20" i="9"/>
  <c r="D20" i="9"/>
  <c r="C20" i="9"/>
  <c r="B20" i="9"/>
  <c r="C19" i="9"/>
  <c r="F19" i="9" s="1"/>
  <c r="B19" i="9"/>
  <c r="D18" i="9"/>
  <c r="F13" i="9"/>
  <c r="D13" i="9"/>
  <c r="F12" i="9"/>
  <c r="D12" i="9"/>
  <c r="C12" i="9"/>
  <c r="B12" i="9"/>
  <c r="F11" i="9"/>
  <c r="C11" i="9"/>
  <c r="B11" i="9"/>
  <c r="D11" i="9" s="1"/>
  <c r="C10" i="9"/>
  <c r="C18" i="9" s="1"/>
  <c r="B10" i="9"/>
  <c r="F5" i="9"/>
  <c r="D5" i="9"/>
  <c r="F4" i="9"/>
  <c r="D4" i="9"/>
  <c r="K3" i="9"/>
  <c r="F3" i="9"/>
  <c r="D3" i="9"/>
  <c r="E34" i="8"/>
  <c r="F34" i="8" s="1"/>
  <c r="E33" i="8"/>
  <c r="F33" i="8" s="1"/>
  <c r="D35" i="8" s="1"/>
  <c r="F2" i="8" s="1"/>
  <c r="C29" i="8"/>
  <c r="F29" i="8" s="1"/>
  <c r="C28" i="8"/>
  <c r="F28" i="8" s="1"/>
  <c r="B28" i="8"/>
  <c r="A28" i="8"/>
  <c r="E27" i="8"/>
  <c r="C27" i="8"/>
  <c r="B27" i="8"/>
  <c r="A27" i="8"/>
  <c r="F21" i="8"/>
  <c r="D21" i="8"/>
  <c r="C20" i="8"/>
  <c r="B20" i="8"/>
  <c r="A20" i="8"/>
  <c r="E19" i="8"/>
  <c r="F19" i="8" s="1"/>
  <c r="D19" i="8"/>
  <c r="C19" i="8"/>
  <c r="B19" i="8"/>
  <c r="A19" i="8"/>
  <c r="F13" i="8"/>
  <c r="D13" i="8"/>
  <c r="F12" i="8"/>
  <c r="D12" i="8"/>
  <c r="C12" i="8"/>
  <c r="B12" i="8"/>
  <c r="A12" i="8"/>
  <c r="E11" i="8"/>
  <c r="C11" i="8"/>
  <c r="B11" i="8"/>
  <c r="A11" i="8"/>
  <c r="C10" i="8"/>
  <c r="F5" i="8"/>
  <c r="D5" i="8"/>
  <c r="F4" i="8"/>
  <c r="D4" i="8"/>
  <c r="K3" i="8"/>
  <c r="F3" i="8"/>
  <c r="D3" i="8"/>
  <c r="E34" i="7"/>
  <c r="F34" i="7" s="1"/>
  <c r="F33" i="7"/>
  <c r="D35" i="7" s="1"/>
  <c r="F2" i="7" s="1"/>
  <c r="E33" i="7"/>
  <c r="F29" i="7"/>
  <c r="D29" i="7"/>
  <c r="F28" i="7"/>
  <c r="D28" i="7"/>
  <c r="F27" i="7"/>
  <c r="D27" i="7"/>
  <c r="F21" i="7"/>
  <c r="D21" i="7"/>
  <c r="F20" i="7"/>
  <c r="D20" i="7"/>
  <c r="F19" i="7"/>
  <c r="D19" i="7"/>
  <c r="F13" i="7"/>
  <c r="D13" i="7"/>
  <c r="F12" i="7"/>
  <c r="D12" i="7"/>
  <c r="F11" i="7"/>
  <c r="D11" i="7"/>
  <c r="C10" i="7"/>
  <c r="F10" i="7" s="1"/>
  <c r="F5" i="7"/>
  <c r="D5" i="7"/>
  <c r="F4" i="7"/>
  <c r="D4" i="7"/>
  <c r="K3" i="7"/>
  <c r="F3" i="7"/>
  <c r="D3" i="7"/>
  <c r="E34" i="6"/>
  <c r="F34" i="6" s="1"/>
  <c r="E33" i="6"/>
  <c r="F33" i="6" s="1"/>
  <c r="D35" i="6" s="1"/>
  <c r="F2" i="6" s="1"/>
  <c r="C29" i="6"/>
  <c r="F28" i="6"/>
  <c r="D28" i="6"/>
  <c r="C28" i="6"/>
  <c r="F27" i="6"/>
  <c r="D27" i="6"/>
  <c r="C27" i="6"/>
  <c r="F21" i="6"/>
  <c r="D21" i="6"/>
  <c r="F20" i="6"/>
  <c r="C20" i="6"/>
  <c r="D20" i="6" s="1"/>
  <c r="C19" i="6"/>
  <c r="C18" i="6"/>
  <c r="F18" i="6" s="1"/>
  <c r="F13" i="6"/>
  <c r="D13" i="6"/>
  <c r="C12" i="6"/>
  <c r="D11" i="6"/>
  <c r="C11" i="6"/>
  <c r="F11" i="6" s="1"/>
  <c r="F10" i="6"/>
  <c r="C10" i="6"/>
  <c r="D10" i="6" s="1"/>
  <c r="F5" i="6"/>
  <c r="D5" i="6"/>
  <c r="F4" i="6"/>
  <c r="D4" i="6"/>
  <c r="K3" i="6"/>
  <c r="F3" i="6"/>
  <c r="D3" i="6"/>
  <c r="F34" i="5"/>
  <c r="E34" i="5"/>
  <c r="F33" i="5"/>
  <c r="E33" i="5"/>
  <c r="F29" i="5"/>
  <c r="D29" i="5"/>
  <c r="F28" i="5"/>
  <c r="D28" i="5"/>
  <c r="F27" i="5"/>
  <c r="D27" i="5"/>
  <c r="C26" i="5"/>
  <c r="F26" i="5" s="1"/>
  <c r="F21" i="5"/>
  <c r="D21" i="5"/>
  <c r="F20" i="5"/>
  <c r="D20" i="5"/>
  <c r="F19" i="5"/>
  <c r="D19" i="5"/>
  <c r="F18" i="5"/>
  <c r="D18" i="5"/>
  <c r="C18" i="5"/>
  <c r="F13" i="5"/>
  <c r="D13" i="5"/>
  <c r="F12" i="5"/>
  <c r="D12" i="5"/>
  <c r="F11" i="5"/>
  <c r="D11" i="5"/>
  <c r="C10" i="5"/>
  <c r="F10" i="5" s="1"/>
  <c r="F5" i="5"/>
  <c r="D5" i="5"/>
  <c r="F4" i="5"/>
  <c r="D4" i="5"/>
  <c r="F3" i="5"/>
  <c r="D3" i="5"/>
  <c r="E34" i="4"/>
  <c r="F34" i="4" s="1"/>
  <c r="D35" i="4" s="1"/>
  <c r="F2" i="4" s="1"/>
  <c r="F33" i="4"/>
  <c r="E33" i="4"/>
  <c r="F29" i="4"/>
  <c r="D29" i="4"/>
  <c r="C29" i="4"/>
  <c r="C28" i="4"/>
  <c r="F28" i="4" s="1"/>
  <c r="F27" i="4"/>
  <c r="D27" i="4"/>
  <c r="C27" i="4"/>
  <c r="F21" i="4"/>
  <c r="D21" i="4"/>
  <c r="C20" i="4"/>
  <c r="F20" i="4" s="1"/>
  <c r="F19" i="4"/>
  <c r="D19" i="4"/>
  <c r="C19" i="4"/>
  <c r="F13" i="4"/>
  <c r="D13" i="4"/>
  <c r="F12" i="4"/>
  <c r="C12" i="4"/>
  <c r="D12" i="4" s="1"/>
  <c r="C11" i="4"/>
  <c r="F11" i="4" s="1"/>
  <c r="C10" i="4"/>
  <c r="C18" i="4" s="1"/>
  <c r="F5" i="4"/>
  <c r="D5" i="4"/>
  <c r="F4" i="4"/>
  <c r="D4" i="4"/>
  <c r="K3" i="4"/>
  <c r="F3" i="4"/>
  <c r="D3" i="4"/>
  <c r="F34" i="3"/>
  <c r="E34" i="3"/>
  <c r="E33" i="3"/>
  <c r="F33" i="3" s="1"/>
  <c r="D35" i="3" s="1"/>
  <c r="F2" i="3" s="1"/>
  <c r="L28" i="3"/>
  <c r="O27" i="3"/>
  <c r="M27" i="3"/>
  <c r="L27" i="3"/>
  <c r="C27" i="3"/>
  <c r="F27" i="3" s="1"/>
  <c r="O26" i="3"/>
  <c r="L26" i="3"/>
  <c r="M26" i="3" s="1"/>
  <c r="F26" i="3"/>
  <c r="D26" i="3"/>
  <c r="J24" i="3"/>
  <c r="O20" i="3"/>
  <c r="M20" i="3"/>
  <c r="L20" i="3"/>
  <c r="C19" i="3"/>
  <c r="O18" i="3"/>
  <c r="M18" i="3"/>
  <c r="L18" i="3"/>
  <c r="F18" i="3"/>
  <c r="D18" i="3"/>
  <c r="F17" i="3"/>
  <c r="D17" i="3"/>
  <c r="C17" i="3"/>
  <c r="J16" i="3"/>
  <c r="L13" i="3"/>
  <c r="M13" i="3" s="1"/>
  <c r="L12" i="3"/>
  <c r="O12" i="3" s="1"/>
  <c r="C12" i="3"/>
  <c r="F12" i="3" s="1"/>
  <c r="L11" i="3"/>
  <c r="O11" i="3" s="1"/>
  <c r="F11" i="3"/>
  <c r="D11" i="3"/>
  <c r="O10" i="3"/>
  <c r="M10" i="3"/>
  <c r="L10" i="3"/>
  <c r="C10" i="3"/>
  <c r="F10" i="3" s="1"/>
  <c r="J9" i="3"/>
  <c r="L6" i="3"/>
  <c r="O5" i="3"/>
  <c r="L5" i="3"/>
  <c r="M5" i="3" s="1"/>
  <c r="F5" i="3"/>
  <c r="D5" i="3"/>
  <c r="O4" i="3"/>
  <c r="M4" i="3"/>
  <c r="L4" i="3"/>
  <c r="F4" i="3"/>
  <c r="D4" i="3"/>
  <c r="L3" i="3"/>
  <c r="O3" i="3" s="1"/>
  <c r="F3" i="3"/>
  <c r="D3" i="3"/>
  <c r="J2" i="3"/>
  <c r="F34" i="2"/>
  <c r="E34" i="2"/>
  <c r="E33" i="2"/>
  <c r="F33" i="2" s="1"/>
  <c r="D35" i="2" s="1"/>
  <c r="F2" i="2" s="1"/>
  <c r="D29" i="2"/>
  <c r="C29" i="2"/>
  <c r="F29" i="2" s="1"/>
  <c r="C28" i="2"/>
  <c r="F28" i="2" s="1"/>
  <c r="C27" i="2"/>
  <c r="F21" i="2"/>
  <c r="D21" i="2"/>
  <c r="C20" i="2"/>
  <c r="F20" i="2" s="1"/>
  <c r="C19" i="2"/>
  <c r="F19" i="2" s="1"/>
  <c r="F13" i="2"/>
  <c r="D13" i="2"/>
  <c r="F12" i="2"/>
  <c r="D12" i="2"/>
  <c r="C12" i="2"/>
  <c r="F11" i="2"/>
  <c r="D11" i="2"/>
  <c r="C11" i="2"/>
  <c r="C10" i="2"/>
  <c r="F5" i="2"/>
  <c r="D5" i="2"/>
  <c r="F4" i="2"/>
  <c r="D4" i="2"/>
  <c r="K3" i="2"/>
  <c r="F3" i="2"/>
  <c r="D3" i="2"/>
  <c r="F34" i="1"/>
  <c r="E34" i="1"/>
  <c r="E33" i="1"/>
  <c r="F33" i="1" s="1"/>
  <c r="D35" i="1" s="1"/>
  <c r="F2" i="1" s="1"/>
  <c r="C29" i="1"/>
  <c r="F29" i="1" s="1"/>
  <c r="F28" i="1"/>
  <c r="D28" i="1"/>
  <c r="C28" i="1"/>
  <c r="F27" i="1"/>
  <c r="D27" i="1"/>
  <c r="C27" i="1"/>
  <c r="F26" i="1"/>
  <c r="C26" i="1"/>
  <c r="D26" i="1" s="1"/>
  <c r="F21" i="1"/>
  <c r="D21" i="1"/>
  <c r="C20" i="1"/>
  <c r="F20" i="1" s="1"/>
  <c r="C19" i="1"/>
  <c r="D19" i="1" s="1"/>
  <c r="F13" i="1"/>
  <c r="D13" i="1"/>
  <c r="C12" i="1"/>
  <c r="D12" i="1" s="1"/>
  <c r="C11" i="1"/>
  <c r="F11" i="1" s="1"/>
  <c r="C10" i="1"/>
  <c r="C18" i="1" s="1"/>
  <c r="F5" i="1"/>
  <c r="D5" i="1"/>
  <c r="F4" i="1"/>
  <c r="D4" i="1"/>
  <c r="K3" i="1"/>
  <c r="F3" i="1"/>
  <c r="D3" i="1"/>
  <c r="F17" i="9" l="1"/>
  <c r="F9" i="9"/>
  <c r="F25" i="9"/>
  <c r="F6" i="9"/>
  <c r="G10" i="13"/>
  <c r="F17" i="2"/>
  <c r="F6" i="2"/>
  <c r="G5" i="2" s="1"/>
  <c r="H5" i="2" s="1"/>
  <c r="F9" i="2"/>
  <c r="F14" i="2" s="1"/>
  <c r="G12" i="2" s="1"/>
  <c r="H12" i="2" s="1"/>
  <c r="F25" i="2"/>
  <c r="F9" i="4"/>
  <c r="F25" i="4"/>
  <c r="F17" i="4"/>
  <c r="F6" i="4"/>
  <c r="G4" i="11"/>
  <c r="F17" i="7"/>
  <c r="F6" i="7"/>
  <c r="G5" i="7" s="1"/>
  <c r="H5" i="7" s="1"/>
  <c r="F9" i="7"/>
  <c r="F14" i="7" s="1"/>
  <c r="G11" i="7" s="1"/>
  <c r="H11" i="7" s="1"/>
  <c r="F25" i="7"/>
  <c r="G4" i="4"/>
  <c r="H4" i="4" s="1"/>
  <c r="F17" i="11"/>
  <c r="F25" i="11"/>
  <c r="F9" i="11"/>
  <c r="F6" i="11"/>
  <c r="G3" i="11" s="1"/>
  <c r="F9" i="3"/>
  <c r="O2" i="3"/>
  <c r="F24" i="3"/>
  <c r="F16" i="3"/>
  <c r="F6" i="3"/>
  <c r="F25" i="1"/>
  <c r="F30" i="1" s="1"/>
  <c r="G26" i="1" s="1"/>
  <c r="H26" i="1" s="1"/>
  <c r="F17" i="1"/>
  <c r="F22" i="1" s="1"/>
  <c r="G21" i="1" s="1"/>
  <c r="H21" i="1" s="1"/>
  <c r="F9" i="1"/>
  <c r="F6" i="1"/>
  <c r="G3" i="1" s="1"/>
  <c r="H3" i="1" s="1"/>
  <c r="F6" i="8"/>
  <c r="F17" i="8"/>
  <c r="F9" i="8"/>
  <c r="F25" i="8"/>
  <c r="G12" i="10"/>
  <c r="G4" i="1"/>
  <c r="H4" i="1" s="1"/>
  <c r="G5" i="12"/>
  <c r="H5" i="12" s="1"/>
  <c r="G3" i="12"/>
  <c r="H3" i="12" s="1"/>
  <c r="P20" i="26"/>
  <c r="Q20" i="26" s="1"/>
  <c r="D11" i="8"/>
  <c r="F9" i="10"/>
  <c r="F14" i="10" s="1"/>
  <c r="G13" i="10" s="1"/>
  <c r="F17" i="10"/>
  <c r="F6" i="10"/>
  <c r="G3" i="10" s="1"/>
  <c r="F25" i="10"/>
  <c r="F17" i="12"/>
  <c r="F25" i="12"/>
  <c r="F9" i="12"/>
  <c r="D26" i="13"/>
  <c r="D20" i="1"/>
  <c r="F18" i="24"/>
  <c r="D18" i="24"/>
  <c r="C26" i="24"/>
  <c r="M12" i="3"/>
  <c r="D20" i="4"/>
  <c r="C18" i="10"/>
  <c r="F10" i="10"/>
  <c r="D10" i="10"/>
  <c r="O6" i="3"/>
  <c r="M6" i="3"/>
  <c r="F11" i="8"/>
  <c r="G13" i="13"/>
  <c r="D28" i="14"/>
  <c r="O16" i="26"/>
  <c r="O21" i="26" s="1"/>
  <c r="P18" i="26" s="1"/>
  <c r="Q18" i="26" s="1"/>
  <c r="F16" i="26"/>
  <c r="F20" i="26" s="1"/>
  <c r="G19" i="26" s="1"/>
  <c r="H19" i="26" s="1"/>
  <c r="O2" i="26"/>
  <c r="O7" i="26" s="1"/>
  <c r="P3" i="26" s="1"/>
  <c r="Q3" i="26" s="1"/>
  <c r="F6" i="26"/>
  <c r="O9" i="26"/>
  <c r="O14" i="26" s="1"/>
  <c r="F9" i="26"/>
  <c r="F13" i="26" s="1"/>
  <c r="G12" i="26" s="1"/>
  <c r="H12" i="26" s="1"/>
  <c r="F25" i="28"/>
  <c r="F6" i="28"/>
  <c r="F17" i="28"/>
  <c r="F9" i="28"/>
  <c r="F14" i="28" s="1"/>
  <c r="G13" i="28" s="1"/>
  <c r="H13" i="28" s="1"/>
  <c r="F12" i="1"/>
  <c r="O28" i="3"/>
  <c r="M28" i="3"/>
  <c r="C18" i="7"/>
  <c r="D10" i="7"/>
  <c r="G10" i="6"/>
  <c r="H10" i="6" s="1"/>
  <c r="F19" i="6"/>
  <c r="D19" i="6"/>
  <c r="F27" i="8"/>
  <c r="D27" i="8"/>
  <c r="J3" i="29"/>
  <c r="H4" i="13"/>
  <c r="F29" i="14"/>
  <c r="D29" i="14"/>
  <c r="F9" i="20"/>
  <c r="F14" i="20" s="1"/>
  <c r="G12" i="20" s="1"/>
  <c r="F17" i="20"/>
  <c r="F22" i="20" s="1"/>
  <c r="F25" i="20"/>
  <c r="F6" i="20"/>
  <c r="C18" i="2"/>
  <c r="F10" i="2"/>
  <c r="D10" i="2"/>
  <c r="F27" i="2"/>
  <c r="D27" i="2"/>
  <c r="F6" i="6"/>
  <c r="G5" i="6" s="1"/>
  <c r="H5" i="6" s="1"/>
  <c r="F17" i="6"/>
  <c r="F25" i="6"/>
  <c r="F9" i="6"/>
  <c r="F14" i="6" s="1"/>
  <c r="G13" i="6" s="1"/>
  <c r="H13" i="6" s="1"/>
  <c r="K4" i="6" s="1"/>
  <c r="P6" i="23"/>
  <c r="Q6" i="23" s="1"/>
  <c r="G18" i="26"/>
  <c r="H18" i="26" s="1"/>
  <c r="D19" i="2"/>
  <c r="G5" i="3"/>
  <c r="H5" i="3" s="1"/>
  <c r="C25" i="3"/>
  <c r="L17" i="3"/>
  <c r="D35" i="5"/>
  <c r="F2" i="5" s="1"/>
  <c r="F19" i="12"/>
  <c r="D19" i="12"/>
  <c r="L19" i="3"/>
  <c r="F19" i="3"/>
  <c r="D19" i="3"/>
  <c r="F11" i="11"/>
  <c r="D11" i="11"/>
  <c r="F18" i="4"/>
  <c r="C26" i="4"/>
  <c r="D18" i="4"/>
  <c r="F10" i="8"/>
  <c r="C18" i="8"/>
  <c r="F28" i="12"/>
  <c r="D28" i="12"/>
  <c r="F29" i="13"/>
  <c r="D29" i="13"/>
  <c r="F18" i="1"/>
  <c r="D18" i="1"/>
  <c r="G5" i="4"/>
  <c r="H5" i="4" s="1"/>
  <c r="D10" i="4"/>
  <c r="D10" i="8"/>
  <c r="F20" i="15"/>
  <c r="D20" i="15"/>
  <c r="G5" i="1"/>
  <c r="H5" i="1" s="1"/>
  <c r="F19" i="1"/>
  <c r="F9" i="19"/>
  <c r="F25" i="19"/>
  <c r="F6" i="19"/>
  <c r="M3" i="3"/>
  <c r="D12" i="3"/>
  <c r="F10" i="4"/>
  <c r="D26" i="5"/>
  <c r="D12" i="11"/>
  <c r="F10" i="1"/>
  <c r="G28" i="1"/>
  <c r="H28" i="1" s="1"/>
  <c r="D28" i="4"/>
  <c r="G3" i="6"/>
  <c r="H3" i="6" s="1"/>
  <c r="F12" i="6"/>
  <c r="D12" i="6"/>
  <c r="D29" i="8"/>
  <c r="H3" i="13"/>
  <c r="F29" i="17"/>
  <c r="D29" i="17"/>
  <c r="D10" i="1"/>
  <c r="G3" i="4"/>
  <c r="H3" i="4" s="1"/>
  <c r="D35" i="15"/>
  <c r="F2" i="15" s="1"/>
  <c r="G3" i="30"/>
  <c r="H3" i="30" s="1"/>
  <c r="O10" i="30"/>
  <c r="M10" i="30"/>
  <c r="P4" i="32"/>
  <c r="Q4" i="32" s="1"/>
  <c r="G12" i="32"/>
  <c r="H12" i="32" s="1"/>
  <c r="G20" i="22"/>
  <c r="H20" i="22" s="1"/>
  <c r="P4" i="23"/>
  <c r="Q4" i="23" s="1"/>
  <c r="G20" i="25"/>
  <c r="F16" i="30"/>
  <c r="O2" i="30"/>
  <c r="O7" i="30" s="1"/>
  <c r="P6" i="30" s="1"/>
  <c r="Q6" i="30" s="1"/>
  <c r="F24" i="30"/>
  <c r="F6" i="30"/>
  <c r="G4" i="30" s="1"/>
  <c r="H4" i="30" s="1"/>
  <c r="F9" i="30"/>
  <c r="O16" i="32"/>
  <c r="F16" i="32"/>
  <c r="F6" i="32"/>
  <c r="G5" i="32" s="1"/>
  <c r="H5" i="32" s="1"/>
  <c r="O2" i="32"/>
  <c r="O7" i="32" s="1"/>
  <c r="P5" i="32" s="1"/>
  <c r="Q5" i="32" s="1"/>
  <c r="O9" i="32"/>
  <c r="O14" i="32" s="1"/>
  <c r="P12" i="32" s="1"/>
  <c r="Q12" i="32" s="1"/>
  <c r="F9" i="32"/>
  <c r="F13" i="32" s="1"/>
  <c r="G11" i="32" s="1"/>
  <c r="H11" i="32" s="1"/>
  <c r="F6" i="33"/>
  <c r="G3" i="33" s="1"/>
  <c r="F17" i="33"/>
  <c r="F22" i="33" s="1"/>
  <c r="G18" i="33" s="1"/>
  <c r="F25" i="33"/>
  <c r="F30" i="33" s="1"/>
  <c r="G29" i="33" s="1"/>
  <c r="F9" i="33"/>
  <c r="F18" i="14"/>
  <c r="D18" i="14"/>
  <c r="F14" i="17"/>
  <c r="G13" i="17" s="1"/>
  <c r="H13" i="17" s="1"/>
  <c r="G3" i="27"/>
  <c r="G13" i="27"/>
  <c r="G4" i="29"/>
  <c r="H4" i="29" s="1"/>
  <c r="G5" i="29"/>
  <c r="H5" i="29" s="1"/>
  <c r="G4" i="31"/>
  <c r="H4" i="31" s="1"/>
  <c r="P13" i="32"/>
  <c r="Q13" i="32" s="1"/>
  <c r="F33" i="18"/>
  <c r="F9" i="18"/>
  <c r="F14" i="18" s="1"/>
  <c r="G11" i="18" s="1"/>
  <c r="F25" i="18"/>
  <c r="F6" i="18"/>
  <c r="G4" i="18" s="1"/>
  <c r="F17" i="18"/>
  <c r="F6" i="22"/>
  <c r="G3" i="22" s="1"/>
  <c r="H3" i="22" s="1"/>
  <c r="F17" i="22"/>
  <c r="F22" i="22" s="1"/>
  <c r="G19" i="22" s="1"/>
  <c r="H19" i="22" s="1"/>
  <c r="F9" i="22"/>
  <c r="F14" i="22" s="1"/>
  <c r="G11" i="22" s="1"/>
  <c r="H11" i="22" s="1"/>
  <c r="F6" i="23"/>
  <c r="O2" i="23"/>
  <c r="O7" i="23" s="1"/>
  <c r="F9" i="23"/>
  <c r="F16" i="23"/>
  <c r="P5" i="26"/>
  <c r="Q5" i="26" s="1"/>
  <c r="G4" i="27"/>
  <c r="F9" i="31"/>
  <c r="F14" i="31" s="1"/>
  <c r="G13" i="31" s="1"/>
  <c r="H13" i="31" s="1"/>
  <c r="F25" i="31"/>
  <c r="F6" i="31"/>
  <c r="G5" i="31" s="1"/>
  <c r="H5" i="31" s="1"/>
  <c r="F17" i="31"/>
  <c r="F25" i="13"/>
  <c r="F30" i="13" s="1"/>
  <c r="G28" i="13" s="1"/>
  <c r="F9" i="13"/>
  <c r="F14" i="13" s="1"/>
  <c r="F17" i="13"/>
  <c r="F10" i="17"/>
  <c r="C18" i="17"/>
  <c r="F10" i="18"/>
  <c r="C18" i="18"/>
  <c r="F10" i="19"/>
  <c r="D10" i="19"/>
  <c r="G12" i="22"/>
  <c r="H12" i="22" s="1"/>
  <c r="D20" i="2"/>
  <c r="F29" i="6"/>
  <c r="D29" i="6"/>
  <c r="D28" i="9"/>
  <c r="D35" i="14"/>
  <c r="F2" i="14" s="1"/>
  <c r="D10" i="17"/>
  <c r="G10" i="17" s="1"/>
  <c r="H10" i="17" s="1"/>
  <c r="D10" i="18"/>
  <c r="C18" i="19"/>
  <c r="G4" i="12"/>
  <c r="H4" i="12" s="1"/>
  <c r="F17" i="17"/>
  <c r="F6" i="17"/>
  <c r="G3" i="17" s="1"/>
  <c r="H3" i="17" s="1"/>
  <c r="C27" i="18"/>
  <c r="F19" i="18"/>
  <c r="D19" i="18"/>
  <c r="F41" i="18"/>
  <c r="D29" i="11"/>
  <c r="F37" i="18"/>
  <c r="C45" i="18"/>
  <c r="F18" i="11"/>
  <c r="D18" i="11"/>
  <c r="C26" i="12"/>
  <c r="F18" i="12"/>
  <c r="D18" i="12"/>
  <c r="O13" i="3"/>
  <c r="D11" i="4"/>
  <c r="F18" i="9"/>
  <c r="C26" i="9"/>
  <c r="C26" i="11"/>
  <c r="D19" i="19"/>
  <c r="D28" i="2"/>
  <c r="D10" i="3"/>
  <c r="M11" i="3"/>
  <c r="G4" i="8"/>
  <c r="D27" i="3"/>
  <c r="C26" i="6"/>
  <c r="D28" i="8"/>
  <c r="D10" i="9"/>
  <c r="G11" i="10"/>
  <c r="F10" i="12"/>
  <c r="F20" i="12"/>
  <c r="D20" i="18"/>
  <c r="D11" i="1"/>
  <c r="D29" i="1"/>
  <c r="D18" i="6"/>
  <c r="F10" i="9"/>
  <c r="F19" i="11"/>
  <c r="F18" i="13"/>
  <c r="D18" i="13"/>
  <c r="F12" i="14"/>
  <c r="D12" i="14"/>
  <c r="F20" i="14"/>
  <c r="D20" i="14"/>
  <c r="F12" i="17"/>
  <c r="D12" i="17"/>
  <c r="G12" i="17" s="1"/>
  <c r="H12" i="17" s="1"/>
  <c r="F20" i="8"/>
  <c r="D20" i="8"/>
  <c r="G26" i="21"/>
  <c r="H26" i="21" s="1"/>
  <c r="G5" i="28"/>
  <c r="H5" i="28" s="1"/>
  <c r="G5" i="30"/>
  <c r="H5" i="30" s="1"/>
  <c r="G3" i="32"/>
  <c r="H3" i="32" s="1"/>
  <c r="D28" i="18"/>
  <c r="F28" i="18"/>
  <c r="F26" i="20"/>
  <c r="D26" i="20"/>
  <c r="G13" i="22"/>
  <c r="H13" i="22" s="1"/>
  <c r="P6" i="26"/>
  <c r="Q6" i="26" s="1"/>
  <c r="G5" i="27"/>
  <c r="D20" i="13"/>
  <c r="D11" i="14"/>
  <c r="D28" i="15"/>
  <c r="G5" i="11"/>
  <c r="D27" i="12"/>
  <c r="D11" i="17"/>
  <c r="G11" i="17" s="1"/>
  <c r="H11" i="17" s="1"/>
  <c r="D10" i="5"/>
  <c r="D19" i="9"/>
  <c r="D29" i="9"/>
  <c r="G4" i="10"/>
  <c r="G5" i="13"/>
  <c r="D27" i="13"/>
  <c r="G27" i="13" s="1"/>
  <c r="C26" i="15"/>
  <c r="F20" i="19"/>
  <c r="D18" i="20"/>
  <c r="G18" i="20" s="1"/>
  <c r="D29" i="18"/>
  <c r="G5" i="20"/>
  <c r="F16" i="21"/>
  <c r="F20" i="21" s="1"/>
  <c r="F23" i="21"/>
  <c r="F27" i="21" s="1"/>
  <c r="G25" i="21" s="1"/>
  <c r="H25" i="21" s="1"/>
  <c r="F6" i="21"/>
  <c r="G5" i="21" s="1"/>
  <c r="H5" i="21" s="1"/>
  <c r="F9" i="21"/>
  <c r="F13" i="21" s="1"/>
  <c r="G21" i="22"/>
  <c r="H21" i="22" s="1"/>
  <c r="G5" i="23"/>
  <c r="H5" i="23" s="1"/>
  <c r="G21" i="25"/>
  <c r="G12" i="27"/>
  <c r="F6" i="27"/>
  <c r="F17" i="27"/>
  <c r="F9" i="27"/>
  <c r="F14" i="27" s="1"/>
  <c r="F25" i="27"/>
  <c r="P10" i="32"/>
  <c r="Q10" i="32" s="1"/>
  <c r="F6" i="24"/>
  <c r="F17" i="24"/>
  <c r="F9" i="24"/>
  <c r="F25" i="24"/>
  <c r="P3" i="32"/>
  <c r="Q3" i="32" s="1"/>
  <c r="G4" i="19"/>
  <c r="F17" i="25"/>
  <c r="F22" i="25" s="1"/>
  <c r="F9" i="25"/>
  <c r="F14" i="25" s="1"/>
  <c r="G13" i="25" s="1"/>
  <c r="F25" i="25"/>
  <c r="F30" i="25" s="1"/>
  <c r="G29" i="25" s="1"/>
  <c r="F6" i="25"/>
  <c r="G5" i="25" s="1"/>
  <c r="P10" i="26"/>
  <c r="Q10" i="26" s="1"/>
  <c r="G19" i="20"/>
  <c r="G18" i="22"/>
  <c r="H18" i="22" s="1"/>
  <c r="P3" i="23"/>
  <c r="Q3" i="23" s="1"/>
  <c r="F26" i="25"/>
  <c r="D26" i="25"/>
  <c r="G4" i="32"/>
  <c r="H4" i="32" s="1"/>
  <c r="G11" i="26"/>
  <c r="H11" i="26" s="1"/>
  <c r="F18" i="27"/>
  <c r="D18" i="27"/>
  <c r="C26" i="27"/>
  <c r="G17" i="21"/>
  <c r="H17" i="21" s="1"/>
  <c r="G4" i="25"/>
  <c r="P19" i="26"/>
  <c r="Q19" i="26" s="1"/>
  <c r="G10" i="27"/>
  <c r="M10" i="23"/>
  <c r="D10" i="24"/>
  <c r="D12" i="24"/>
  <c r="D27" i="25"/>
  <c r="M12" i="26"/>
  <c r="P12" i="26" s="1"/>
  <c r="Q12" i="26" s="1"/>
  <c r="B35" i="27"/>
  <c r="D27" i="28"/>
  <c r="O20" i="30"/>
  <c r="O27" i="30"/>
  <c r="C17" i="32"/>
  <c r="O18" i="32"/>
  <c r="F12" i="33"/>
  <c r="D11" i="20"/>
  <c r="F10" i="24"/>
  <c r="D18" i="25"/>
  <c r="D19" i="27"/>
  <c r="D28" i="27"/>
  <c r="D11" i="28"/>
  <c r="G11" i="28" s="1"/>
  <c r="H11" i="28" s="1"/>
  <c r="C18" i="28"/>
  <c r="C17" i="30"/>
  <c r="C18" i="31"/>
  <c r="D19" i="33"/>
  <c r="M5" i="23"/>
  <c r="P5" i="23" s="1"/>
  <c r="Q5" i="23" s="1"/>
  <c r="C17" i="23"/>
  <c r="M17" i="26"/>
  <c r="P17" i="26" s="1"/>
  <c r="Q17" i="26" s="1"/>
  <c r="D25" i="26"/>
  <c r="F9" i="29"/>
  <c r="F14" i="29" s="1"/>
  <c r="G11" i="29" s="1"/>
  <c r="H11" i="29" s="1"/>
  <c r="L28" i="30"/>
  <c r="F17" i="29"/>
  <c r="L17" i="32"/>
  <c r="F10" i="20"/>
  <c r="D28" i="25"/>
  <c r="M4" i="26"/>
  <c r="P4" i="26" s="1"/>
  <c r="Q4" i="26" s="1"/>
  <c r="D10" i="26"/>
  <c r="G10" i="26" s="1"/>
  <c r="H10" i="26" s="1"/>
  <c r="M13" i="26"/>
  <c r="P13" i="26" s="1"/>
  <c r="Q13" i="26" s="1"/>
  <c r="D28" i="28"/>
  <c r="C18" i="29"/>
  <c r="D27" i="29"/>
  <c r="M26" i="30"/>
  <c r="D10" i="31"/>
  <c r="G10" i="31" s="1"/>
  <c r="H10" i="31" s="1"/>
  <c r="D12" i="31"/>
  <c r="G12" i="31" s="1"/>
  <c r="H12" i="31" s="1"/>
  <c r="C26" i="32"/>
  <c r="D10" i="22"/>
  <c r="G10" i="22" s="1"/>
  <c r="H10" i="22" s="1"/>
  <c r="D20" i="24"/>
  <c r="D19" i="25"/>
  <c r="M11" i="26"/>
  <c r="P11" i="26" s="1"/>
  <c r="Q11" i="26" s="1"/>
  <c r="D11" i="27"/>
  <c r="G11" i="27" s="1"/>
  <c r="D20" i="27"/>
  <c r="D29" i="27"/>
  <c r="D10" i="28"/>
  <c r="G10" i="28" s="1"/>
  <c r="H10" i="28" s="1"/>
  <c r="D12" i="28"/>
  <c r="G12" i="28" s="1"/>
  <c r="H12" i="28" s="1"/>
  <c r="D28" i="31"/>
  <c r="D19" i="28"/>
  <c r="D10" i="30"/>
  <c r="D19" i="31"/>
  <c r="M6" i="32"/>
  <c r="P6" i="32" s="1"/>
  <c r="Q6" i="32" s="1"/>
  <c r="M19" i="32"/>
  <c r="D20" i="33"/>
  <c r="F10" i="30"/>
  <c r="D11" i="24"/>
  <c r="D29" i="28"/>
  <c r="D10" i="29"/>
  <c r="D12" i="29"/>
  <c r="M5" i="30"/>
  <c r="D27" i="33"/>
  <c r="D24" i="21"/>
  <c r="B33" i="21"/>
  <c r="D11" i="25"/>
  <c r="D17" i="26"/>
  <c r="G17" i="26" s="1"/>
  <c r="H17" i="26" s="1"/>
  <c r="D20" i="28"/>
  <c r="B33" i="30"/>
  <c r="H12" i="20" l="1"/>
  <c r="S10" i="20" s="1"/>
  <c r="K4" i="31"/>
  <c r="H28" i="13"/>
  <c r="H11" i="18"/>
  <c r="H13" i="25"/>
  <c r="J3" i="17"/>
  <c r="K5" i="1"/>
  <c r="H29" i="33"/>
  <c r="K6" i="33" s="1"/>
  <c r="J4" i="31"/>
  <c r="G3" i="21"/>
  <c r="H3" i="21" s="1"/>
  <c r="G13" i="29"/>
  <c r="H13" i="29" s="1"/>
  <c r="F6" i="15"/>
  <c r="F25" i="15"/>
  <c r="F9" i="15"/>
  <c r="F14" i="15" s="1"/>
  <c r="F17" i="15"/>
  <c r="F22" i="15" s="1"/>
  <c r="G10" i="32"/>
  <c r="H10" i="32" s="1"/>
  <c r="G26" i="13"/>
  <c r="F22" i="11"/>
  <c r="G28" i="33"/>
  <c r="F14" i="24"/>
  <c r="G13" i="24" s="1"/>
  <c r="H13" i="24" s="1"/>
  <c r="H21" i="25"/>
  <c r="G20" i="33"/>
  <c r="O28" i="30"/>
  <c r="M28" i="30"/>
  <c r="G11" i="20"/>
  <c r="H10" i="27"/>
  <c r="F22" i="24"/>
  <c r="D26" i="15"/>
  <c r="F26" i="15"/>
  <c r="G3" i="18"/>
  <c r="O16" i="30"/>
  <c r="J3" i="6"/>
  <c r="G3" i="2"/>
  <c r="H3" i="2" s="1"/>
  <c r="G4" i="20"/>
  <c r="G3" i="20"/>
  <c r="F14" i="12"/>
  <c r="F14" i="4"/>
  <c r="G10" i="4" s="1"/>
  <c r="H10" i="4" s="1"/>
  <c r="G11" i="31"/>
  <c r="H11" i="31" s="1"/>
  <c r="H5" i="25"/>
  <c r="G3" i="24"/>
  <c r="H3" i="24" s="1"/>
  <c r="G5" i="24"/>
  <c r="H5" i="24" s="1"/>
  <c r="H27" i="13"/>
  <c r="F26" i="11"/>
  <c r="F30" i="11" s="1"/>
  <c r="D26" i="11"/>
  <c r="F22" i="31"/>
  <c r="H4" i="18"/>
  <c r="G4" i="33"/>
  <c r="F18" i="8"/>
  <c r="D18" i="8"/>
  <c r="C26" i="8"/>
  <c r="F30" i="20"/>
  <c r="J3" i="1"/>
  <c r="G4" i="2"/>
  <c r="H4" i="2" s="1"/>
  <c r="D26" i="9"/>
  <c r="F26" i="9"/>
  <c r="F30" i="9" s="1"/>
  <c r="F14" i="33"/>
  <c r="J3" i="4"/>
  <c r="G20" i="15"/>
  <c r="G19" i="3"/>
  <c r="H19" i="3" s="1"/>
  <c r="G20" i="20"/>
  <c r="G21" i="20"/>
  <c r="G3" i="31"/>
  <c r="H3" i="31" s="1"/>
  <c r="F22" i="12"/>
  <c r="F14" i="1"/>
  <c r="G26" i="25"/>
  <c r="G12" i="25"/>
  <c r="G10" i="8"/>
  <c r="J4" i="6"/>
  <c r="G18" i="24"/>
  <c r="H18" i="24" s="1"/>
  <c r="J6" i="1"/>
  <c r="H4" i="25"/>
  <c r="H5" i="13"/>
  <c r="G10" i="21"/>
  <c r="H10" i="21" s="1"/>
  <c r="G12" i="21"/>
  <c r="H12" i="21" s="1"/>
  <c r="H20" i="25"/>
  <c r="T10" i="25" s="1"/>
  <c r="F17" i="32"/>
  <c r="D17" i="32"/>
  <c r="H11" i="10"/>
  <c r="F27" i="18"/>
  <c r="D27" i="18"/>
  <c r="C35" i="18"/>
  <c r="F26" i="4"/>
  <c r="F30" i="4" s="1"/>
  <c r="D26" i="4"/>
  <c r="G11" i="25"/>
  <c r="G19" i="12"/>
  <c r="H19" i="12" s="1"/>
  <c r="J2" i="10"/>
  <c r="H3" i="10"/>
  <c r="L17" i="23"/>
  <c r="F17" i="23"/>
  <c r="D17" i="23"/>
  <c r="G3" i="25"/>
  <c r="G12" i="11"/>
  <c r="G13" i="18"/>
  <c r="H13" i="13"/>
  <c r="G19" i="1"/>
  <c r="H19" i="1" s="1"/>
  <c r="G10" i="5"/>
  <c r="H10" i="5" s="1"/>
  <c r="G3" i="7"/>
  <c r="H3" i="7" s="1"/>
  <c r="G18" i="1"/>
  <c r="H18" i="1" s="1"/>
  <c r="G10" i="20"/>
  <c r="G5" i="10"/>
  <c r="F30" i="6"/>
  <c r="G4" i="7"/>
  <c r="H4" i="7" s="1"/>
  <c r="G5" i="22"/>
  <c r="H5" i="22" s="1"/>
  <c r="H13" i="10"/>
  <c r="G3" i="3"/>
  <c r="H3" i="3" s="1"/>
  <c r="G4" i="3"/>
  <c r="H4" i="3" s="1"/>
  <c r="G4" i="9"/>
  <c r="H4" i="9" s="1"/>
  <c r="G5" i="9"/>
  <c r="H5" i="9" s="1"/>
  <c r="G3" i="9"/>
  <c r="H3" i="9" s="1"/>
  <c r="H18" i="33"/>
  <c r="J5" i="33" s="1"/>
  <c r="G4" i="24"/>
  <c r="H4" i="24" s="1"/>
  <c r="F22" i="10"/>
  <c r="G11" i="21"/>
  <c r="H11" i="21" s="1"/>
  <c r="H4" i="19"/>
  <c r="R8" i="19" s="1"/>
  <c r="H5" i="20"/>
  <c r="R10" i="20" s="1"/>
  <c r="G26" i="20"/>
  <c r="D18" i="19"/>
  <c r="G18" i="19" s="1"/>
  <c r="F18" i="19"/>
  <c r="F22" i="19" s="1"/>
  <c r="C26" i="19"/>
  <c r="F18" i="18"/>
  <c r="F22" i="18" s="1"/>
  <c r="D18" i="18"/>
  <c r="C26" i="18"/>
  <c r="F20" i="23"/>
  <c r="O16" i="23"/>
  <c r="H3" i="27"/>
  <c r="G26" i="5"/>
  <c r="H26" i="5" s="1"/>
  <c r="F6" i="5"/>
  <c r="F17" i="5"/>
  <c r="F22" i="5" s="1"/>
  <c r="F9" i="5"/>
  <c r="F14" i="5" s="1"/>
  <c r="F25" i="5"/>
  <c r="F30" i="5" s="1"/>
  <c r="F22" i="6"/>
  <c r="G19" i="6" s="1"/>
  <c r="H19" i="6" s="1"/>
  <c r="G10" i="7"/>
  <c r="H10" i="7" s="1"/>
  <c r="K4" i="28"/>
  <c r="G4" i="6"/>
  <c r="H4" i="6" s="1"/>
  <c r="G12" i="18"/>
  <c r="G11" i="8"/>
  <c r="H12" i="10"/>
  <c r="F20" i="3"/>
  <c r="O16" i="3"/>
  <c r="H4" i="11"/>
  <c r="G13" i="7"/>
  <c r="H13" i="7" s="1"/>
  <c r="G12" i="7"/>
  <c r="H12" i="7" s="1"/>
  <c r="G13" i="2"/>
  <c r="H13" i="2" s="1"/>
  <c r="H4" i="27"/>
  <c r="G18" i="12"/>
  <c r="H18" i="12" s="1"/>
  <c r="G27" i="33"/>
  <c r="H19" i="20"/>
  <c r="T8" i="20" s="1"/>
  <c r="O17" i="3"/>
  <c r="M17" i="3"/>
  <c r="D18" i="7"/>
  <c r="C26" i="7"/>
  <c r="F18" i="7"/>
  <c r="F22" i="7" s="1"/>
  <c r="P6" i="3"/>
  <c r="Q6" i="3" s="1"/>
  <c r="G5" i="18"/>
  <c r="F28" i="3"/>
  <c r="P29" i="3" s="1"/>
  <c r="O24" i="3"/>
  <c r="F14" i="9"/>
  <c r="F25" i="3"/>
  <c r="D25" i="3"/>
  <c r="G25" i="3" s="1"/>
  <c r="H25" i="3" s="1"/>
  <c r="L25" i="3"/>
  <c r="G4" i="28"/>
  <c r="H4" i="28" s="1"/>
  <c r="G3" i="28"/>
  <c r="H3" i="28" s="1"/>
  <c r="G27" i="1"/>
  <c r="H27" i="1" s="1"/>
  <c r="O7" i="3"/>
  <c r="P3" i="3" s="1"/>
  <c r="Q3" i="3" s="1"/>
  <c r="F22" i="9"/>
  <c r="G19" i="9" s="1"/>
  <c r="H19" i="9" s="1"/>
  <c r="H10" i="13"/>
  <c r="G24" i="21"/>
  <c r="H24" i="21" s="1"/>
  <c r="G19" i="33"/>
  <c r="H13" i="27"/>
  <c r="C26" i="31"/>
  <c r="F18" i="31"/>
  <c r="D18" i="31"/>
  <c r="H4" i="8"/>
  <c r="F13" i="23"/>
  <c r="O9" i="23"/>
  <c r="O14" i="23" s="1"/>
  <c r="G10" i="25"/>
  <c r="J3" i="13"/>
  <c r="C26" i="28"/>
  <c r="F18" i="28"/>
  <c r="F22" i="28" s="1"/>
  <c r="D18" i="28"/>
  <c r="F26" i="27"/>
  <c r="F30" i="27" s="1"/>
  <c r="D26" i="27"/>
  <c r="H5" i="11"/>
  <c r="J4" i="17"/>
  <c r="F18" i="17"/>
  <c r="D18" i="17"/>
  <c r="C26" i="17"/>
  <c r="F20" i="32"/>
  <c r="G10" i="29"/>
  <c r="H10" i="29" s="1"/>
  <c r="H11" i="27"/>
  <c r="G12" i="24"/>
  <c r="H12" i="24" s="1"/>
  <c r="G18" i="6"/>
  <c r="H18" i="6" s="1"/>
  <c r="G3" i="23"/>
  <c r="H3" i="23" s="1"/>
  <c r="G4" i="23"/>
  <c r="H4" i="23" s="1"/>
  <c r="G29" i="13"/>
  <c r="G20" i="1"/>
  <c r="H20" i="1" s="1"/>
  <c r="O9" i="3"/>
  <c r="O14" i="3" s="1"/>
  <c r="P12" i="3" s="1"/>
  <c r="Q12" i="3" s="1"/>
  <c r="F13" i="3"/>
  <c r="G11" i="3" s="1"/>
  <c r="H11" i="3" s="1"/>
  <c r="H29" i="25"/>
  <c r="H5" i="27"/>
  <c r="H4" i="10"/>
  <c r="F26" i="24"/>
  <c r="F30" i="24" s="1"/>
  <c r="D26" i="24"/>
  <c r="G10" i="30"/>
  <c r="H10" i="30" s="1"/>
  <c r="O19" i="3"/>
  <c r="M19" i="3"/>
  <c r="C26" i="29"/>
  <c r="F18" i="29"/>
  <c r="D18" i="29"/>
  <c r="G18" i="29" s="1"/>
  <c r="H18" i="29" s="1"/>
  <c r="G4" i="17"/>
  <c r="H4" i="17" s="1"/>
  <c r="G5" i="17"/>
  <c r="H5" i="17" s="1"/>
  <c r="H3" i="33"/>
  <c r="J3" i="33" s="1"/>
  <c r="H18" i="20"/>
  <c r="G11" i="14"/>
  <c r="G29" i="1"/>
  <c r="H29" i="1" s="1"/>
  <c r="D45" i="18"/>
  <c r="F45" i="18"/>
  <c r="P4" i="30"/>
  <c r="Q4" i="30" s="1"/>
  <c r="F13" i="30"/>
  <c r="O9" i="30"/>
  <c r="O14" i="30" s="1"/>
  <c r="G5" i="19"/>
  <c r="G3" i="19"/>
  <c r="G10" i="2"/>
  <c r="H10" i="2" s="1"/>
  <c r="G10" i="10"/>
  <c r="G4" i="22"/>
  <c r="H4" i="22" s="1"/>
  <c r="F14" i="8"/>
  <c r="H3" i="11"/>
  <c r="G11" i="6"/>
  <c r="H11" i="6" s="1"/>
  <c r="C25" i="30"/>
  <c r="L17" i="30"/>
  <c r="F17" i="30"/>
  <c r="F20" i="30" s="1"/>
  <c r="D17" i="30"/>
  <c r="G10" i="18"/>
  <c r="G5" i="33"/>
  <c r="G12" i="29"/>
  <c r="H12" i="29" s="1"/>
  <c r="G28" i="25"/>
  <c r="G27" i="25"/>
  <c r="G10" i="24"/>
  <c r="H10" i="24" s="1"/>
  <c r="F22" i="27"/>
  <c r="G21" i="27" s="1"/>
  <c r="G11" i="24"/>
  <c r="H11" i="24" s="1"/>
  <c r="G19" i="25"/>
  <c r="O17" i="32"/>
  <c r="O21" i="32" s="1"/>
  <c r="M17" i="32"/>
  <c r="G4" i="21"/>
  <c r="H4" i="21" s="1"/>
  <c r="G26" i="33"/>
  <c r="F9" i="14"/>
  <c r="F14" i="14" s="1"/>
  <c r="F17" i="14"/>
  <c r="F22" i="14" s="1"/>
  <c r="G18" i="14" s="1"/>
  <c r="F6" i="14"/>
  <c r="F25" i="14"/>
  <c r="F30" i="14" s="1"/>
  <c r="G28" i="14" s="1"/>
  <c r="F22" i="13"/>
  <c r="G21" i="33"/>
  <c r="J3" i="12"/>
  <c r="F22" i="8"/>
  <c r="F14" i="11"/>
  <c r="G11" i="11" s="1"/>
  <c r="G19" i="21"/>
  <c r="H19" i="21" s="1"/>
  <c r="G18" i="21"/>
  <c r="H18" i="21" s="1"/>
  <c r="F22" i="17"/>
  <c r="P3" i="30"/>
  <c r="Q3" i="30" s="1"/>
  <c r="G13" i="20"/>
  <c r="F26" i="6"/>
  <c r="D26" i="6"/>
  <c r="J4" i="28"/>
  <c r="P11" i="32"/>
  <c r="Q11" i="32" s="1"/>
  <c r="P5" i="30"/>
  <c r="Q5" i="30" s="1"/>
  <c r="G20" i="8"/>
  <c r="F26" i="12"/>
  <c r="F30" i="12" s="1"/>
  <c r="D26" i="12"/>
  <c r="G20" i="24"/>
  <c r="H20" i="24" s="1"/>
  <c r="F22" i="29"/>
  <c r="G18" i="25"/>
  <c r="H12" i="27"/>
  <c r="G11" i="13"/>
  <c r="G12" i="13"/>
  <c r="K4" i="17"/>
  <c r="O24" i="30"/>
  <c r="G12" i="6"/>
  <c r="H12" i="6" s="1"/>
  <c r="F14" i="19"/>
  <c r="D18" i="2"/>
  <c r="F18" i="2"/>
  <c r="F22" i="2" s="1"/>
  <c r="C26" i="2"/>
  <c r="G5" i="26"/>
  <c r="H5" i="26" s="1"/>
  <c r="G3" i="26"/>
  <c r="H3" i="26" s="1"/>
  <c r="G4" i="26"/>
  <c r="H4" i="26" s="1"/>
  <c r="C26" i="10"/>
  <c r="F18" i="10"/>
  <c r="D18" i="10"/>
  <c r="G3" i="8"/>
  <c r="G5" i="8"/>
  <c r="F22" i="4"/>
  <c r="G11" i="2"/>
  <c r="H11" i="2" s="1"/>
  <c r="G21" i="18" l="1"/>
  <c r="G19" i="18"/>
  <c r="G20" i="18"/>
  <c r="G29" i="4"/>
  <c r="H29" i="4" s="1"/>
  <c r="G27" i="4"/>
  <c r="H27" i="4" s="1"/>
  <c r="G28" i="4"/>
  <c r="H28" i="4" s="1"/>
  <c r="J4" i="4"/>
  <c r="G27" i="9"/>
  <c r="H27" i="9" s="1"/>
  <c r="G28" i="9"/>
  <c r="H28" i="9" s="1"/>
  <c r="G29" i="9"/>
  <c r="H29" i="9" s="1"/>
  <c r="G28" i="11"/>
  <c r="G27" i="11"/>
  <c r="G29" i="11"/>
  <c r="H18" i="14"/>
  <c r="G19" i="7"/>
  <c r="H19" i="7" s="1"/>
  <c r="G21" i="7"/>
  <c r="H21" i="7" s="1"/>
  <c r="G20" i="7"/>
  <c r="H20" i="7" s="1"/>
  <c r="G27" i="27"/>
  <c r="G28" i="27"/>
  <c r="G29" i="27"/>
  <c r="G21" i="2"/>
  <c r="H21" i="2" s="1"/>
  <c r="G20" i="2"/>
  <c r="H20" i="2" s="1"/>
  <c r="G19" i="2"/>
  <c r="H19" i="2" s="1"/>
  <c r="H11" i="11"/>
  <c r="S8" i="11" s="1"/>
  <c r="G29" i="12"/>
  <c r="H29" i="12" s="1"/>
  <c r="G27" i="12"/>
  <c r="H27" i="12" s="1"/>
  <c r="G28" i="12"/>
  <c r="H28" i="12" s="1"/>
  <c r="H28" i="14"/>
  <c r="G18" i="30"/>
  <c r="H18" i="30" s="1"/>
  <c r="G19" i="30"/>
  <c r="H19" i="30" s="1"/>
  <c r="G26" i="30"/>
  <c r="H26" i="30" s="1"/>
  <c r="G27" i="30"/>
  <c r="H27" i="30" s="1"/>
  <c r="G29" i="24"/>
  <c r="H29" i="24" s="1"/>
  <c r="G28" i="24"/>
  <c r="H28" i="24" s="1"/>
  <c r="G27" i="24"/>
  <c r="H27" i="24" s="1"/>
  <c r="G21" i="28"/>
  <c r="H21" i="28" s="1"/>
  <c r="G20" i="28"/>
  <c r="H20" i="28" s="1"/>
  <c r="G19" i="28"/>
  <c r="H19" i="28" s="1"/>
  <c r="P18" i="32"/>
  <c r="Q18" i="32" s="1"/>
  <c r="P20" i="32"/>
  <c r="Q20" i="32" s="1"/>
  <c r="P19" i="32"/>
  <c r="Q19" i="32" s="1"/>
  <c r="J4" i="24"/>
  <c r="F26" i="28"/>
  <c r="F30" i="28" s="1"/>
  <c r="D26" i="28"/>
  <c r="G26" i="28" s="1"/>
  <c r="H26" i="28" s="1"/>
  <c r="G17" i="30"/>
  <c r="H17" i="30" s="1"/>
  <c r="G18" i="28"/>
  <c r="H18" i="28" s="1"/>
  <c r="H4" i="33"/>
  <c r="T9" i="25"/>
  <c r="K5" i="25"/>
  <c r="F26" i="2"/>
  <c r="F30" i="2" s="1"/>
  <c r="D26" i="2"/>
  <c r="G26" i="2" s="1"/>
  <c r="H26" i="2" s="1"/>
  <c r="H18" i="25"/>
  <c r="G26" i="6"/>
  <c r="H26" i="6" s="1"/>
  <c r="P17" i="32"/>
  <c r="Q17" i="32" s="1"/>
  <c r="G12" i="30"/>
  <c r="H12" i="30" s="1"/>
  <c r="G11" i="30"/>
  <c r="H11" i="30" s="1"/>
  <c r="K6" i="25"/>
  <c r="U9" i="25"/>
  <c r="K4" i="27"/>
  <c r="K4" i="13"/>
  <c r="J5" i="24"/>
  <c r="G21" i="12"/>
  <c r="H21" i="12" s="1"/>
  <c r="G20" i="12"/>
  <c r="H20" i="12" s="1"/>
  <c r="G26" i="9"/>
  <c r="H26" i="9" s="1"/>
  <c r="K4" i="25"/>
  <c r="S9" i="25"/>
  <c r="G27" i="6"/>
  <c r="H27" i="6" s="1"/>
  <c r="G28" i="6"/>
  <c r="H28" i="6" s="1"/>
  <c r="H3" i="25"/>
  <c r="G21" i="13"/>
  <c r="G19" i="13"/>
  <c r="H11" i="8"/>
  <c r="G20" i="11"/>
  <c r="G21" i="11"/>
  <c r="G19" i="11"/>
  <c r="G21" i="4"/>
  <c r="H21" i="4" s="1"/>
  <c r="G19" i="4"/>
  <c r="H19" i="4" s="1"/>
  <c r="G26" i="24"/>
  <c r="H26" i="24" s="1"/>
  <c r="G18" i="18"/>
  <c r="G19" i="32"/>
  <c r="H19" i="32" s="1"/>
  <c r="G18" i="32"/>
  <c r="H18" i="32" s="1"/>
  <c r="G19" i="27"/>
  <c r="P12" i="30"/>
  <c r="Q12" i="30" s="1"/>
  <c r="P13" i="30"/>
  <c r="Q13" i="30" s="1"/>
  <c r="P11" i="30"/>
  <c r="Q11" i="30" s="1"/>
  <c r="J5" i="29"/>
  <c r="J5" i="6"/>
  <c r="F26" i="31"/>
  <c r="F30" i="31" s="1"/>
  <c r="D26" i="31"/>
  <c r="G3" i="5"/>
  <c r="H3" i="5" s="1"/>
  <c r="G4" i="5"/>
  <c r="H4" i="5" s="1"/>
  <c r="G5" i="5"/>
  <c r="H5" i="5" s="1"/>
  <c r="G13" i="1"/>
  <c r="H13" i="1" s="1"/>
  <c r="G12" i="1"/>
  <c r="H12" i="1" s="1"/>
  <c r="O21" i="30"/>
  <c r="G19" i="29"/>
  <c r="H19" i="29" s="1"/>
  <c r="G21" i="29"/>
  <c r="H21" i="29" s="1"/>
  <c r="G20" i="29"/>
  <c r="H20" i="29" s="1"/>
  <c r="O17" i="30"/>
  <c r="M17" i="30"/>
  <c r="P17" i="30" s="1"/>
  <c r="Q17" i="30" s="1"/>
  <c r="F26" i="29"/>
  <c r="F30" i="29" s="1"/>
  <c r="D26" i="29"/>
  <c r="G26" i="29" s="1"/>
  <c r="H26" i="29" s="1"/>
  <c r="G26" i="27"/>
  <c r="G12" i="3"/>
  <c r="H12" i="3" s="1"/>
  <c r="H27" i="33"/>
  <c r="O21" i="3"/>
  <c r="J3" i="27"/>
  <c r="H13" i="18"/>
  <c r="H11" i="25"/>
  <c r="S8" i="25" s="1"/>
  <c r="J3" i="31"/>
  <c r="K4" i="24"/>
  <c r="G26" i="11"/>
  <c r="G18" i="2"/>
  <c r="H18" i="2" s="1"/>
  <c r="H13" i="20"/>
  <c r="H19" i="25"/>
  <c r="T8" i="25" s="1"/>
  <c r="L25" i="30"/>
  <c r="F25" i="30"/>
  <c r="F28" i="30" s="1"/>
  <c r="D25" i="30"/>
  <c r="G25" i="30" s="1"/>
  <c r="H25" i="30" s="1"/>
  <c r="G18" i="27"/>
  <c r="G18" i="13"/>
  <c r="G13" i="9"/>
  <c r="H13" i="9" s="1"/>
  <c r="G12" i="9"/>
  <c r="H12" i="9" s="1"/>
  <c r="G11" i="9"/>
  <c r="H11" i="9" s="1"/>
  <c r="J5" i="12"/>
  <c r="G18" i="3"/>
  <c r="H18" i="3" s="1"/>
  <c r="G26" i="3"/>
  <c r="H26" i="3" s="1"/>
  <c r="G17" i="3"/>
  <c r="H17" i="3" s="1"/>
  <c r="G26" i="4"/>
  <c r="H26" i="4" s="1"/>
  <c r="J4" i="21"/>
  <c r="G21" i="31"/>
  <c r="H21" i="31" s="1"/>
  <c r="G20" i="31"/>
  <c r="H20" i="31" s="1"/>
  <c r="G29" i="6"/>
  <c r="H29" i="6" s="1"/>
  <c r="H28" i="33"/>
  <c r="K4" i="29"/>
  <c r="G13" i="19"/>
  <c r="G12" i="19"/>
  <c r="G11" i="19"/>
  <c r="O21" i="23"/>
  <c r="C43" i="18"/>
  <c r="F35" i="18"/>
  <c r="D35" i="18"/>
  <c r="J4" i="13"/>
  <c r="D26" i="18"/>
  <c r="C34" i="18"/>
  <c r="F26" i="18"/>
  <c r="F30" i="18" s="1"/>
  <c r="G17" i="23"/>
  <c r="H17" i="23" s="1"/>
  <c r="J4" i="29"/>
  <c r="H26" i="13"/>
  <c r="H10" i="8"/>
  <c r="G13" i="12"/>
  <c r="H13" i="12" s="1"/>
  <c r="G12" i="12"/>
  <c r="H12" i="12" s="1"/>
  <c r="G10" i="12"/>
  <c r="H10" i="12" s="1"/>
  <c r="G11" i="12"/>
  <c r="H11" i="12" s="1"/>
  <c r="G21" i="24"/>
  <c r="H21" i="24" s="1"/>
  <c r="G19" i="24"/>
  <c r="H19" i="24" s="1"/>
  <c r="G12" i="4"/>
  <c r="H12" i="4" s="1"/>
  <c r="G13" i="4"/>
  <c r="H13" i="4" s="1"/>
  <c r="H5" i="10"/>
  <c r="H20" i="15"/>
  <c r="T10" i="15" s="1"/>
  <c r="K4" i="2"/>
  <c r="J5" i="1"/>
  <c r="O17" i="23"/>
  <c r="M17" i="23"/>
  <c r="P17" i="23" s="1"/>
  <c r="Q17" i="23" s="1"/>
  <c r="H5" i="8"/>
  <c r="G26" i="12"/>
  <c r="H26" i="12" s="1"/>
  <c r="G19" i="14"/>
  <c r="G21" i="14"/>
  <c r="H27" i="25"/>
  <c r="U8" i="25" s="1"/>
  <c r="G12" i="8"/>
  <c r="G13" i="8"/>
  <c r="F26" i="17"/>
  <c r="F30" i="17" s="1"/>
  <c r="D26" i="17"/>
  <c r="H10" i="25"/>
  <c r="G21" i="9"/>
  <c r="H21" i="9" s="1"/>
  <c r="G20" i="9"/>
  <c r="H20" i="9" s="1"/>
  <c r="G18" i="9"/>
  <c r="H18" i="9" s="1"/>
  <c r="F26" i="19"/>
  <c r="F30" i="19" s="1"/>
  <c r="D26" i="19"/>
  <c r="G26" i="19" s="1"/>
  <c r="G10" i="1"/>
  <c r="H10" i="1" s="1"/>
  <c r="J3" i="7"/>
  <c r="G29" i="20"/>
  <c r="G27" i="20"/>
  <c r="G28" i="20"/>
  <c r="J4" i="27"/>
  <c r="G20" i="4"/>
  <c r="H20" i="4" s="1"/>
  <c r="O29" i="3"/>
  <c r="H3" i="18"/>
  <c r="H10" i="20"/>
  <c r="J5" i="21"/>
  <c r="G21" i="19"/>
  <c r="G20" i="19"/>
  <c r="G10" i="19"/>
  <c r="G17" i="32"/>
  <c r="H17" i="32" s="1"/>
  <c r="G11" i="4"/>
  <c r="H11" i="4" s="1"/>
  <c r="F26" i="8"/>
  <c r="F30" i="8" s="1"/>
  <c r="D26" i="8"/>
  <c r="G20" i="13"/>
  <c r="H3" i="20"/>
  <c r="P11" i="23"/>
  <c r="Q11" i="23" s="1"/>
  <c r="P13" i="23"/>
  <c r="Q13" i="23" s="1"/>
  <c r="P12" i="23"/>
  <c r="Q12" i="23" s="1"/>
  <c r="F26" i="7"/>
  <c r="F30" i="7" s="1"/>
  <c r="D26" i="7"/>
  <c r="H20" i="8"/>
  <c r="J3" i="2"/>
  <c r="P28" i="30"/>
  <c r="Q28" i="30" s="1"/>
  <c r="G18" i="15"/>
  <c r="G19" i="15"/>
  <c r="G21" i="15"/>
  <c r="H12" i="11"/>
  <c r="S10" i="11" s="1"/>
  <c r="J3" i="21"/>
  <c r="H21" i="33"/>
  <c r="K5" i="33" s="1"/>
  <c r="J6" i="21"/>
  <c r="G19" i="23"/>
  <c r="H19" i="23" s="1"/>
  <c r="G18" i="23"/>
  <c r="H18" i="23" s="1"/>
  <c r="H5" i="18"/>
  <c r="G26" i="14"/>
  <c r="G27" i="14"/>
  <c r="G29" i="14"/>
  <c r="G5" i="14"/>
  <c r="G3" i="14"/>
  <c r="G4" i="14"/>
  <c r="G18" i="10"/>
  <c r="G19" i="8"/>
  <c r="G21" i="8"/>
  <c r="G20" i="14"/>
  <c r="H11" i="20"/>
  <c r="S8" i="20" s="1"/>
  <c r="G11" i="1"/>
  <c r="H11" i="1" s="1"/>
  <c r="J3" i="9"/>
  <c r="H26" i="25"/>
  <c r="G19" i="19"/>
  <c r="H5" i="33"/>
  <c r="H26" i="20"/>
  <c r="G12" i="15"/>
  <c r="G11" i="15"/>
  <c r="G13" i="15"/>
  <c r="G10" i="15"/>
  <c r="H19" i="33"/>
  <c r="G20" i="10"/>
  <c r="G21" i="10"/>
  <c r="G19" i="10"/>
  <c r="H21" i="20"/>
  <c r="H21" i="27"/>
  <c r="H20" i="20"/>
  <c r="T10" i="20" s="1"/>
  <c r="K6" i="1"/>
  <c r="G21" i="17"/>
  <c r="H21" i="17" s="1"/>
  <c r="G19" i="17"/>
  <c r="H19" i="17" s="1"/>
  <c r="G20" i="17"/>
  <c r="H20" i="17" s="1"/>
  <c r="H12" i="18"/>
  <c r="G20" i="27"/>
  <c r="H3" i="8"/>
  <c r="H12" i="13"/>
  <c r="G10" i="11"/>
  <c r="G13" i="11"/>
  <c r="G13" i="14"/>
  <c r="G10" i="14"/>
  <c r="H28" i="25"/>
  <c r="U10" i="25" s="1"/>
  <c r="H29" i="13"/>
  <c r="G18" i="17"/>
  <c r="H18" i="17" s="1"/>
  <c r="G18" i="7"/>
  <c r="H18" i="7" s="1"/>
  <c r="K4" i="7"/>
  <c r="J4" i="7"/>
  <c r="G10" i="33"/>
  <c r="G11" i="33"/>
  <c r="G12" i="33"/>
  <c r="G13" i="33"/>
  <c r="P10" i="30"/>
  <c r="Q10" i="30" s="1"/>
  <c r="G27" i="3"/>
  <c r="H27" i="3" s="1"/>
  <c r="F26" i="10"/>
  <c r="F30" i="10" s="1"/>
  <c r="D26" i="10"/>
  <c r="H26" i="33"/>
  <c r="J6" i="33" s="1"/>
  <c r="G28" i="5"/>
  <c r="H28" i="5" s="1"/>
  <c r="G27" i="5"/>
  <c r="H27" i="5" s="1"/>
  <c r="G29" i="5"/>
  <c r="H29" i="5" s="1"/>
  <c r="H10" i="18"/>
  <c r="G18" i="11"/>
  <c r="G18" i="31"/>
  <c r="H18" i="31" s="1"/>
  <c r="P17" i="3"/>
  <c r="Q17" i="3" s="1"/>
  <c r="G19" i="31"/>
  <c r="H19" i="31" s="1"/>
  <c r="G13" i="5"/>
  <c r="H13" i="5" s="1"/>
  <c r="G12" i="5"/>
  <c r="H12" i="5" s="1"/>
  <c r="G11" i="5"/>
  <c r="H11" i="5" s="1"/>
  <c r="J3" i="24"/>
  <c r="H20" i="33"/>
  <c r="F30" i="15"/>
  <c r="G10" i="3"/>
  <c r="H10" i="3" s="1"/>
  <c r="P10" i="3"/>
  <c r="Q10" i="3" s="1"/>
  <c r="P13" i="3"/>
  <c r="Q13" i="3" s="1"/>
  <c r="G27" i="18"/>
  <c r="H11" i="14"/>
  <c r="T7" i="20"/>
  <c r="P4" i="3"/>
  <c r="Q4" i="3" s="1"/>
  <c r="P5" i="3"/>
  <c r="Q5" i="3" s="1"/>
  <c r="H11" i="13"/>
  <c r="J3" i="10"/>
  <c r="H10" i="10"/>
  <c r="G11" i="23"/>
  <c r="H11" i="23" s="1"/>
  <c r="G12" i="23"/>
  <c r="H12" i="23" s="1"/>
  <c r="G10" i="23"/>
  <c r="H10" i="23" s="1"/>
  <c r="H18" i="19"/>
  <c r="H12" i="25"/>
  <c r="S10" i="25" s="1"/>
  <c r="G18" i="8"/>
  <c r="H4" i="20"/>
  <c r="R8" i="20" s="1"/>
  <c r="J4" i="2"/>
  <c r="J3" i="28"/>
  <c r="G21" i="6"/>
  <c r="H21" i="6" s="1"/>
  <c r="G20" i="6"/>
  <c r="H20" i="6" s="1"/>
  <c r="H3" i="19"/>
  <c r="H5" i="19"/>
  <c r="R10" i="19" s="1"/>
  <c r="G10" i="9"/>
  <c r="H10" i="9" s="1"/>
  <c r="P10" i="23"/>
  <c r="Q10" i="23" s="1"/>
  <c r="G12" i="14"/>
  <c r="P11" i="3"/>
  <c r="Q11" i="3" s="1"/>
  <c r="O25" i="3"/>
  <c r="M25" i="3"/>
  <c r="G19" i="5"/>
  <c r="H19" i="5" s="1"/>
  <c r="G18" i="5"/>
  <c r="H18" i="5" s="1"/>
  <c r="G21" i="5"/>
  <c r="H21" i="5" s="1"/>
  <c r="G20" i="5"/>
  <c r="H20" i="5" s="1"/>
  <c r="G18" i="4"/>
  <c r="H18" i="4" s="1"/>
  <c r="G3" i="15"/>
  <c r="G5" i="15"/>
  <c r="G4" i="15"/>
  <c r="G27" i="15" l="1"/>
  <c r="G29" i="15"/>
  <c r="G28" i="15"/>
  <c r="H10" i="15"/>
  <c r="R7" i="19"/>
  <c r="J5" i="31"/>
  <c r="H13" i="14"/>
  <c r="H11" i="15"/>
  <c r="S8" i="15" s="1"/>
  <c r="P25" i="3"/>
  <c r="Q25" i="3" s="1"/>
  <c r="H21" i="8"/>
  <c r="G28" i="17"/>
  <c r="H28" i="17" s="1"/>
  <c r="G27" i="17"/>
  <c r="H27" i="17" s="1"/>
  <c r="G29" i="17"/>
  <c r="H29" i="17" s="1"/>
  <c r="J4" i="12"/>
  <c r="J5" i="17"/>
  <c r="J3" i="8"/>
  <c r="K5" i="27"/>
  <c r="H19" i="8"/>
  <c r="G26" i="7"/>
  <c r="H26" i="7" s="1"/>
  <c r="H28" i="20"/>
  <c r="U10" i="20" s="1"/>
  <c r="H13" i="8"/>
  <c r="P20" i="30"/>
  <c r="Q20" i="30" s="1"/>
  <c r="P19" i="30"/>
  <c r="Q19" i="30" s="1"/>
  <c r="P18" i="30"/>
  <c r="Q18" i="30" s="1"/>
  <c r="H19" i="27"/>
  <c r="H19" i="13"/>
  <c r="H29" i="11"/>
  <c r="H19" i="19"/>
  <c r="T8" i="19" s="1"/>
  <c r="J4" i="10"/>
  <c r="H18" i="10"/>
  <c r="G29" i="7"/>
  <c r="H29" i="7" s="1"/>
  <c r="G27" i="7"/>
  <c r="H27" i="7" s="1"/>
  <c r="G28" i="7"/>
  <c r="H28" i="7" s="1"/>
  <c r="H27" i="20"/>
  <c r="U8" i="20" s="1"/>
  <c r="H12" i="8"/>
  <c r="K4" i="12"/>
  <c r="J6" i="4"/>
  <c r="S9" i="20"/>
  <c r="K4" i="18"/>
  <c r="H21" i="13"/>
  <c r="H27" i="11"/>
  <c r="U8" i="11" s="1"/>
  <c r="T9" i="20"/>
  <c r="U7" i="25"/>
  <c r="J6" i="25"/>
  <c r="H4" i="14"/>
  <c r="H29" i="20"/>
  <c r="J4" i="8"/>
  <c r="K4" i="1"/>
  <c r="J3" i="25"/>
  <c r="K5" i="28"/>
  <c r="H28" i="11"/>
  <c r="U10" i="11" s="1"/>
  <c r="H3" i="14"/>
  <c r="K5" i="2"/>
  <c r="K6" i="9"/>
  <c r="J5" i="7"/>
  <c r="H20" i="27"/>
  <c r="K4" i="10"/>
  <c r="H21" i="10"/>
  <c r="H5" i="14"/>
  <c r="H21" i="15"/>
  <c r="H21" i="14"/>
  <c r="J6" i="13"/>
  <c r="P19" i="23"/>
  <c r="Q19" i="23" s="1"/>
  <c r="P18" i="23"/>
  <c r="Q18" i="23" s="1"/>
  <c r="P20" i="23"/>
  <c r="Q20" i="23" s="1"/>
  <c r="P18" i="3"/>
  <c r="Q18" i="3" s="1"/>
  <c r="P20" i="3"/>
  <c r="Q20" i="3" s="1"/>
  <c r="H29" i="27"/>
  <c r="H20" i="10"/>
  <c r="H29" i="14"/>
  <c r="H19" i="15"/>
  <c r="T8" i="15" s="1"/>
  <c r="H19" i="14"/>
  <c r="H11" i="19"/>
  <c r="S8" i="19" s="1"/>
  <c r="H26" i="11"/>
  <c r="J5" i="28"/>
  <c r="K6" i="24"/>
  <c r="H28" i="27"/>
  <c r="R7" i="20"/>
  <c r="J4" i="1"/>
  <c r="G26" i="15"/>
  <c r="H12" i="19"/>
  <c r="S10" i="19" s="1"/>
  <c r="G26" i="31"/>
  <c r="H26" i="31" s="1"/>
  <c r="H27" i="27"/>
  <c r="H19" i="10"/>
  <c r="J5" i="2"/>
  <c r="H18" i="15"/>
  <c r="J4" i="9"/>
  <c r="H26" i="14"/>
  <c r="H20" i="13"/>
  <c r="H26" i="19"/>
  <c r="J6" i="12"/>
  <c r="H13" i="19"/>
  <c r="G29" i="31"/>
  <c r="H29" i="31" s="1"/>
  <c r="G27" i="31"/>
  <c r="H27" i="31" s="1"/>
  <c r="G28" i="31"/>
  <c r="H28" i="31" s="1"/>
  <c r="H18" i="18"/>
  <c r="H18" i="8"/>
  <c r="H5" i="15"/>
  <c r="R10" i="15" s="1"/>
  <c r="K6" i="13"/>
  <c r="H27" i="14"/>
  <c r="H3" i="15"/>
  <c r="G26" i="10"/>
  <c r="I27" i="10"/>
  <c r="J5" i="4"/>
  <c r="T7" i="19"/>
  <c r="G29" i="10"/>
  <c r="G27" i="10"/>
  <c r="G28" i="10"/>
  <c r="P19" i="3"/>
  <c r="Q19" i="3" s="1"/>
  <c r="G26" i="8"/>
  <c r="J3" i="18"/>
  <c r="G28" i="19"/>
  <c r="G27" i="19"/>
  <c r="G29" i="19"/>
  <c r="H26" i="27"/>
  <c r="J6" i="24"/>
  <c r="J6" i="9"/>
  <c r="J6" i="28"/>
  <c r="J6" i="29"/>
  <c r="G27" i="28"/>
  <c r="H27" i="28" s="1"/>
  <c r="G28" i="28"/>
  <c r="H28" i="28" s="1"/>
  <c r="G29" i="28"/>
  <c r="H29" i="28" s="1"/>
  <c r="H12" i="14"/>
  <c r="P26" i="3"/>
  <c r="Q26" i="3" s="1"/>
  <c r="P27" i="3"/>
  <c r="Q27" i="3" s="1"/>
  <c r="P28" i="3"/>
  <c r="Q28" i="3" s="1"/>
  <c r="G29" i="18"/>
  <c r="G28" i="18"/>
  <c r="H18" i="13"/>
  <c r="G29" i="29"/>
  <c r="H29" i="29" s="1"/>
  <c r="G28" i="29"/>
  <c r="H28" i="29" s="1"/>
  <c r="G27" i="29"/>
  <c r="H27" i="29" s="1"/>
  <c r="K5" i="4"/>
  <c r="J6" i="6"/>
  <c r="H19" i="11"/>
  <c r="T8" i="11" s="1"/>
  <c r="K5" i="12"/>
  <c r="T7" i="25"/>
  <c r="J5" i="25"/>
  <c r="K6" i="4"/>
  <c r="S7" i="20"/>
  <c r="F43" i="18"/>
  <c r="D43" i="18"/>
  <c r="H4" i="15"/>
  <c r="R8" i="15" s="1"/>
  <c r="G29" i="8"/>
  <c r="G28" i="8"/>
  <c r="G27" i="8"/>
  <c r="J5" i="9"/>
  <c r="K4" i="9"/>
  <c r="H12" i="33"/>
  <c r="H12" i="15"/>
  <c r="S10" i="15" s="1"/>
  <c r="H10" i="19"/>
  <c r="K6" i="6"/>
  <c r="H21" i="11"/>
  <c r="K5" i="7"/>
  <c r="H20" i="18"/>
  <c r="H13" i="33"/>
  <c r="K4" i="33" s="1"/>
  <c r="D34" i="18"/>
  <c r="F34" i="18"/>
  <c r="F38" i="18" s="1"/>
  <c r="G35" i="18" s="1"/>
  <c r="C42" i="18"/>
  <c r="H18" i="11"/>
  <c r="H13" i="11"/>
  <c r="J4" i="25"/>
  <c r="S7" i="25"/>
  <c r="G26" i="18"/>
  <c r="K5" i="6"/>
  <c r="J4" i="18"/>
  <c r="H11" i="33"/>
  <c r="H10" i="11"/>
  <c r="U7" i="20"/>
  <c r="H20" i="19"/>
  <c r="T10" i="19" s="1"/>
  <c r="K5" i="24"/>
  <c r="P29" i="30"/>
  <c r="P27" i="30"/>
  <c r="Q27" i="30" s="1"/>
  <c r="P26" i="30"/>
  <c r="Q26" i="30" s="1"/>
  <c r="H20" i="11"/>
  <c r="T10" i="11" s="1"/>
  <c r="J6" i="2"/>
  <c r="H19" i="18"/>
  <c r="K5" i="17"/>
  <c r="K4" i="4"/>
  <c r="H10" i="14"/>
  <c r="H13" i="15"/>
  <c r="H27" i="18"/>
  <c r="K5" i="9"/>
  <c r="H18" i="27"/>
  <c r="H10" i="33"/>
  <c r="J4" i="33" s="1"/>
  <c r="H20" i="14"/>
  <c r="H21" i="19"/>
  <c r="G26" i="17"/>
  <c r="H26" i="17" s="1"/>
  <c r="K5" i="31"/>
  <c r="O25" i="30"/>
  <c r="O29" i="30" s="1"/>
  <c r="M25" i="30"/>
  <c r="P25" i="30" s="1"/>
  <c r="Q25" i="30" s="1"/>
  <c r="K5" i="29"/>
  <c r="G29" i="2"/>
  <c r="H29" i="2" s="1"/>
  <c r="G27" i="2"/>
  <c r="H27" i="2" s="1"/>
  <c r="G28" i="2"/>
  <c r="H28" i="2" s="1"/>
  <c r="K6" i="12"/>
  <c r="J5" i="14"/>
  <c r="H21" i="18"/>
  <c r="H35" i="18" l="1"/>
  <c r="H28" i="19"/>
  <c r="U10" i="19" s="1"/>
  <c r="H26" i="10"/>
  <c r="J5" i="10"/>
  <c r="K5" i="14"/>
  <c r="U9" i="11"/>
  <c r="T9" i="11"/>
  <c r="T9" i="15"/>
  <c r="K5" i="15"/>
  <c r="K5" i="18"/>
  <c r="S9" i="15"/>
  <c r="K4" i="15"/>
  <c r="J6" i="31"/>
  <c r="K6" i="27"/>
  <c r="J6" i="14"/>
  <c r="J6" i="17"/>
  <c r="T9" i="19"/>
  <c r="J4" i="14"/>
  <c r="H27" i="8"/>
  <c r="H26" i="8"/>
  <c r="J5" i="18"/>
  <c r="K5" i="8"/>
  <c r="H28" i="8"/>
  <c r="H29" i="8"/>
  <c r="J3" i="14"/>
  <c r="K5" i="13"/>
  <c r="G37" i="18"/>
  <c r="G36" i="18"/>
  <c r="J5" i="13"/>
  <c r="K5" i="10"/>
  <c r="H29" i="10"/>
  <c r="U7" i="11"/>
  <c r="K6" i="2"/>
  <c r="S9" i="19"/>
  <c r="H28" i="15"/>
  <c r="U10" i="15" s="1"/>
  <c r="H28" i="18"/>
  <c r="K4" i="8"/>
  <c r="H29" i="15"/>
  <c r="R7" i="15"/>
  <c r="J3" i="15"/>
  <c r="H28" i="10"/>
  <c r="S7" i="15"/>
  <c r="J4" i="15"/>
  <c r="H26" i="18"/>
  <c r="K6" i="29"/>
  <c r="H27" i="10"/>
  <c r="K6" i="31"/>
  <c r="S9" i="11"/>
  <c r="H29" i="18"/>
  <c r="U9" i="20"/>
  <c r="H27" i="15"/>
  <c r="U8" i="15" s="1"/>
  <c r="K6" i="7"/>
  <c r="K4" i="14"/>
  <c r="F42" i="18"/>
  <c r="F46" i="18" s="1"/>
  <c r="D42" i="18"/>
  <c r="G34" i="18"/>
  <c r="J5" i="27"/>
  <c r="T7" i="11"/>
  <c r="K6" i="28"/>
  <c r="J6" i="7"/>
  <c r="S7" i="19"/>
  <c r="H26" i="15"/>
  <c r="T7" i="15"/>
  <c r="J5" i="15"/>
  <c r="S7" i="11"/>
  <c r="U7" i="19"/>
  <c r="J6" i="27"/>
  <c r="H29" i="19"/>
  <c r="J5" i="8"/>
  <c r="K6" i="14"/>
  <c r="K6" i="17"/>
  <c r="H27" i="19"/>
  <c r="U8" i="19" s="1"/>
  <c r="J6" i="18" l="1"/>
  <c r="J6" i="15"/>
  <c r="U7" i="15"/>
  <c r="G44" i="18"/>
  <c r="G45" i="18"/>
  <c r="G43" i="18"/>
  <c r="H36" i="18"/>
  <c r="J6" i="8"/>
  <c r="H37" i="18"/>
  <c r="H34" i="18"/>
  <c r="U9" i="15"/>
  <c r="K6" i="15"/>
  <c r="U9" i="19"/>
  <c r="G42" i="18"/>
  <c r="J41" i="18"/>
  <c r="K6" i="18"/>
  <c r="K6" i="8"/>
  <c r="H45" i="18" l="1"/>
  <c r="J7" i="18"/>
  <c r="K7" i="18"/>
  <c r="H43" i="18"/>
  <c r="H44" i="18"/>
  <c r="H42" i="18"/>
  <c r="J8" i="18" l="1"/>
  <c r="K8" i="18"/>
</calcChain>
</file>

<file path=xl/sharedStrings.xml><?xml version="1.0" encoding="utf-8"?>
<sst xmlns="http://schemas.openxmlformats.org/spreadsheetml/2006/main" count="2161" uniqueCount="53">
  <si>
    <t>Compound or solvent</t>
  </si>
  <si>
    <t>MW / g/mol</t>
  </si>
  <si>
    <t>Mass / mg</t>
  </si>
  <si>
    <t>Amount / mmol</t>
  </si>
  <si>
    <t>Density g/mL</t>
  </si>
  <si>
    <t>Volume / mL</t>
  </si>
  <si>
    <t>Concentration / M</t>
  </si>
  <si>
    <t>Concentration / mM</t>
  </si>
  <si>
    <t>DMSO</t>
  </si>
  <si>
    <t>4-Me-piperidine</t>
  </si>
  <si>
    <t>Ar-4SO2Me-Oph</t>
  </si>
  <si>
    <t>Biphenyl</t>
  </si>
  <si>
    <t>SUM</t>
  </si>
  <si>
    <t>Phenol</t>
  </si>
  <si>
    <t>Intercept</t>
  </si>
  <si>
    <t>Slope</t>
  </si>
  <si>
    <t>T / oC</t>
  </si>
  <si>
    <t>T / K</t>
  </si>
  <si>
    <t>Density</t>
  </si>
  <si>
    <t>Room temp</t>
  </si>
  <si>
    <t>Reaction temp</t>
  </si>
  <si>
    <t>Ratio densities (solvent volume correction)</t>
  </si>
  <si>
    <t>DMF</t>
  </si>
  <si>
    <t>MeCN</t>
  </si>
  <si>
    <t>Ar-4Cl-Oph</t>
  </si>
  <si>
    <t>Diphenyl ether</t>
  </si>
  <si>
    <t>Ar-CONH2-Oph</t>
  </si>
  <si>
    <t>ArOPh</t>
  </si>
  <si>
    <t>Ar-COOEt-Oph</t>
  </si>
  <si>
    <t>Ar-COPh-Oph</t>
  </si>
  <si>
    <t xml:space="preserve"> </t>
  </si>
  <si>
    <t>Ar-CN-Oph</t>
  </si>
  <si>
    <t>Ar-NO2-Oph</t>
  </si>
  <si>
    <t>Piperidine</t>
  </si>
  <si>
    <t>Piperazine</t>
  </si>
  <si>
    <t>1-(2-Hydroxyethyl)piperazine</t>
  </si>
  <si>
    <t>Morpholine</t>
  </si>
  <si>
    <t>Thermal expansion coeff</t>
  </si>
  <si>
    <t>complex formula</t>
  </si>
  <si>
    <t>DMA</t>
  </si>
  <si>
    <t>EtOAc</t>
  </si>
  <si>
    <t>3-pentanone</t>
  </si>
  <si>
    <t>IPA</t>
  </si>
  <si>
    <t>Compound</t>
  </si>
  <si>
    <t>MW</t>
  </si>
  <si>
    <t>mass</t>
  </si>
  <si>
    <t>mmol</t>
  </si>
  <si>
    <t>density</t>
  </si>
  <si>
    <t>Volume</t>
  </si>
  <si>
    <t>Conc / M</t>
  </si>
  <si>
    <t>1,4-dioxane</t>
  </si>
  <si>
    <t>EtOH</t>
  </si>
  <si>
    <t>Cyrene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</si>
</sst>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color rgb="FF333333"/>
      <name val="Arial"/>
      <family val="2"/>
    </font>
    <font>
      <sz val="8"/>
      <color rgb="FF000000"/>
      <name val="Calibri"/>
      <family val="2"/>
    </font>
    <font>
      <sz val="12"/>
      <color rgb="FF333333"/>
      <name val="Arial"/>
      <family val="2"/>
    </font>
    <font>
      <sz val="11"/>
      <color rgb="FF333333"/>
      <name val="Microsoft YaHei"/>
      <family val="2"/>
    </font>
    <font>
      <sz val="6"/>
      <color rgb="FF000000"/>
      <name val="Segoe UI"/>
      <family val="2"/>
    </font>
    <font>
      <sz val="10"/>
      <color rgb="FF333333"/>
      <name val="Arial"/>
      <family val="2"/>
    </font>
    <font>
      <sz val="12"/>
      <color rgb="FF040C28"/>
      <name val="Arial"/>
      <family val="2"/>
    </font>
    <font>
      <sz val="15"/>
      <color rgb="FF474747"/>
      <name val="Arial"/>
      <family val="2"/>
    </font>
    <font>
      <sz val="7"/>
      <color rgb="FF474747"/>
      <name val="Arial"/>
      <family val="2"/>
    </font>
    <font>
      <sz val="9"/>
      <color rgb="FF001D35"/>
      <name val="Arial"/>
      <family val="2"/>
    </font>
    <font>
      <sz val="7"/>
      <color rgb="FF000000"/>
      <name val="Arial"/>
      <family val="2"/>
    </font>
    <font>
      <sz val="11"/>
      <color rgb="FF001D35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43" fontId="14" fillId="0" borderId="0"/>
  </cellStyleXfs>
  <cellXfs count="17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2" borderId="2" xfId="0" applyFont="1" applyFill="1" applyBorder="1" applyAlignment="1">
      <alignment vertical="top" wrapText="1"/>
    </xf>
    <xf numFmtId="0" fontId="13" fillId="0" borderId="0" xfId="0" applyFont="1"/>
    <xf numFmtId="2" fontId="0" fillId="0" borderId="0" xfId="0" applyNumberFormat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U36"/>
  <sheetViews>
    <sheetView workbookViewId="0">
      <selection activeCell="U15" sqref="R2:U15"/>
    </sheetView>
  </sheetViews>
  <sheetFormatPr defaultRowHeight="14.4" x14ac:dyDescent="0.3"/>
  <cols>
    <col min="1" max="1" width="14.33203125" bestFit="1" customWidth="1"/>
    <col min="2" max="2" width="6.6640625" bestFit="1" customWidth="1"/>
    <col min="3" max="3" width="5.6640625" bestFit="1" customWidth="1"/>
    <col min="4" max="4" width="11.6640625" bestFit="1" customWidth="1"/>
    <col min="5" max="5" width="6.5546875" bestFit="1" customWidth="1"/>
    <col min="6" max="8" width="11.6640625" bestFit="1" customWidth="1"/>
    <col min="10" max="11" width="1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15*$D$35</f>
        <v>15.055022724667332</v>
      </c>
      <c r="R2" s="15"/>
      <c r="S2" s="15"/>
      <c r="T2" s="15"/>
      <c r="U2" s="15"/>
    </row>
    <row r="3" spans="1:21" x14ac:dyDescent="0.3">
      <c r="A3" t="s">
        <v>9</v>
      </c>
      <c r="B3">
        <v>99.17</v>
      </c>
      <c r="C3" s="3">
        <v>68.59</v>
      </c>
      <c r="D3">
        <f>C3/B3</f>
        <v>0.69164061712211355</v>
      </c>
      <c r="E3">
        <v>0.83799999999999997</v>
      </c>
      <c r="F3">
        <f>C3/E3/1000</f>
        <v>8.1849642004773279E-2</v>
      </c>
      <c r="G3">
        <f>D3/$F$6</f>
        <v>4.4399073363638554E-2</v>
      </c>
      <c r="H3">
        <f>G3*1000</f>
        <v>44.399073363638557</v>
      </c>
      <c r="J3">
        <f>H3</f>
        <v>44.399073363638557</v>
      </c>
      <c r="K3">
        <f>H6</f>
        <v>0</v>
      </c>
      <c r="R3" s="15"/>
      <c r="S3" s="15"/>
      <c r="T3" s="15"/>
      <c r="U3" s="15"/>
    </row>
    <row r="4" spans="1:21" x14ac:dyDescent="0.3">
      <c r="A4" t="s">
        <v>10</v>
      </c>
      <c r="B4" s="4">
        <v>293.29000000000002</v>
      </c>
      <c r="C4" s="3">
        <v>554.78</v>
      </c>
      <c r="D4">
        <f>C4/B4</f>
        <v>1.8915748917453712</v>
      </c>
      <c r="E4" s="1">
        <v>1.3779999999999999</v>
      </c>
      <c r="F4">
        <f>C4/E4/1000</f>
        <v>0.40259796806966619</v>
      </c>
      <c r="G4">
        <f>D4/$F$6</f>
        <v>0.12142747304354951</v>
      </c>
      <c r="H4">
        <f>G4*1000</f>
        <v>121.42747304354951</v>
      </c>
      <c r="J4">
        <f>H10</f>
        <v>130.65163197816156</v>
      </c>
      <c r="K4">
        <f>H13</f>
        <v>0</v>
      </c>
      <c r="R4" s="15"/>
      <c r="S4" s="15"/>
      <c r="T4" s="15"/>
      <c r="U4" s="15"/>
    </row>
    <row r="5" spans="1:21" x14ac:dyDescent="0.3">
      <c r="A5" t="s">
        <v>11</v>
      </c>
      <c r="B5">
        <v>154.21</v>
      </c>
      <c r="C5" s="3">
        <v>39.880000000000003</v>
      </c>
      <c r="D5">
        <f>C5/B5</f>
        <v>0.25860839115491863</v>
      </c>
      <c r="E5" s="1">
        <v>1.04</v>
      </c>
      <c r="F5">
        <f>C5/E5/1000</f>
        <v>3.8346153846153849E-2</v>
      </c>
      <c r="G5">
        <f>D5/$F$6</f>
        <v>1.6601068021591555E-2</v>
      </c>
      <c r="H5">
        <f>G5*1000</f>
        <v>16.601068021591555</v>
      </c>
      <c r="J5">
        <f>H18</f>
        <v>128.96735210425709</v>
      </c>
      <c r="K5">
        <f>H21</f>
        <v>146.57078859766588</v>
      </c>
      <c r="R5" s="15"/>
      <c r="S5" s="15"/>
      <c r="T5" s="15"/>
      <c r="U5" s="15"/>
    </row>
    <row r="6" spans="1:21" x14ac:dyDescent="0.3">
      <c r="A6" t="s">
        <v>12</v>
      </c>
      <c r="F6">
        <f>SUM(F2:F5)</f>
        <v>15.577816488587924</v>
      </c>
      <c r="H6">
        <v>0</v>
      </c>
      <c r="J6">
        <f>H26</f>
        <v>258.74899521537964</v>
      </c>
      <c r="K6">
        <f>H29</f>
        <v>144.28478788258514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8</v>
      </c>
      <c r="F9">
        <f>F2</f>
        <v>15.055022724667332</v>
      </c>
      <c r="R9" s="15"/>
      <c r="S9" s="15"/>
      <c r="T9" s="15"/>
      <c r="U9" s="15"/>
    </row>
    <row r="10" spans="1:21" x14ac:dyDescent="0.3">
      <c r="A10" t="s">
        <v>9</v>
      </c>
      <c r="B10">
        <v>99.17</v>
      </c>
      <c r="C10" s="3">
        <f>C3+135.34</f>
        <v>203.93</v>
      </c>
      <c r="D10">
        <f>C10/B10</f>
        <v>2.0563678531814058</v>
      </c>
      <c r="E10">
        <v>0.83799999999999997</v>
      </c>
      <c r="F10">
        <f>C10/E10/1000</f>
        <v>0.24335322195704059</v>
      </c>
      <c r="G10">
        <f>D10/$F$14</f>
        <v>0.13065163197816157</v>
      </c>
      <c r="H10">
        <f>G10*1000</f>
        <v>130.65163197816156</v>
      </c>
      <c r="R10" s="15"/>
      <c r="S10" s="15"/>
      <c r="T10" s="15"/>
      <c r="U10" s="15"/>
    </row>
    <row r="11" spans="1:21" x14ac:dyDescent="0.3">
      <c r="A11" t="s">
        <v>10</v>
      </c>
      <c r="B11" s="4">
        <v>293.29000000000002</v>
      </c>
      <c r="C11" s="3">
        <f>C4</f>
        <v>554.78</v>
      </c>
      <c r="D11">
        <f>C11/B11</f>
        <v>1.8915748917453712</v>
      </c>
      <c r="E11" s="1">
        <v>1.3779999999999999</v>
      </c>
      <c r="F11">
        <f>C11/E11/1000</f>
        <v>0.40259796806966619</v>
      </c>
      <c r="G11">
        <f>D11/$F$14</f>
        <v>0.12018148709779769</v>
      </c>
      <c r="H11">
        <f>G11*1000</f>
        <v>120.18148709779769</v>
      </c>
    </row>
    <row r="12" spans="1:21" x14ac:dyDescent="0.3">
      <c r="A12" t="s">
        <v>11</v>
      </c>
      <c r="B12">
        <v>154.21</v>
      </c>
      <c r="C12" s="3">
        <f>$C$5</f>
        <v>39.880000000000003</v>
      </c>
      <c r="D12">
        <f>C12/B12</f>
        <v>0.25860839115491863</v>
      </c>
      <c r="E12" s="1">
        <v>1.04</v>
      </c>
      <c r="F12">
        <f>C12/E12/1000</f>
        <v>3.8346153846153849E-2</v>
      </c>
      <c r="G12">
        <f>D12/$F$14</f>
        <v>1.6430721913574017E-2</v>
      </c>
      <c r="H12">
        <f>G12*1000</f>
        <v>16.430721913574018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15.739320068540191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F2</f>
        <v>15.055022724667332</v>
      </c>
    </row>
    <row r="18" spans="1:8" x14ac:dyDescent="0.3">
      <c r="A18" t="s">
        <v>9</v>
      </c>
      <c r="B18">
        <v>99.17</v>
      </c>
      <c r="C18" s="3">
        <f>C10</f>
        <v>203.93</v>
      </c>
      <c r="D18">
        <f>C18/B18</f>
        <v>2.0563678531814058</v>
      </c>
      <c r="E18">
        <v>0.83799999999999997</v>
      </c>
      <c r="F18">
        <f>C18/E18/1000</f>
        <v>0.24335322195704059</v>
      </c>
      <c r="G18">
        <f>D18/$F$22</f>
        <v>0.12896735210425708</v>
      </c>
      <c r="H18">
        <f>G18*1000</f>
        <v>128.96735210425709</v>
      </c>
    </row>
    <row r="19" spans="1:8" x14ac:dyDescent="0.3">
      <c r="A19" t="s">
        <v>10</v>
      </c>
      <c r="B19" s="4">
        <v>293.29000000000002</v>
      </c>
      <c r="C19" s="3">
        <f>C4</f>
        <v>554.78</v>
      </c>
      <c r="D19">
        <f>C19/B19</f>
        <v>1.8915748917453712</v>
      </c>
      <c r="E19" s="1">
        <v>1.3779999999999999</v>
      </c>
      <c r="F19">
        <f>C19/E19/1000</f>
        <v>0.40259796806966619</v>
      </c>
      <c r="G19">
        <f>D19/$F$22</f>
        <v>0.11863218184328263</v>
      </c>
      <c r="H19">
        <f>G19*1000</f>
        <v>118.63218184328262</v>
      </c>
    </row>
    <row r="20" spans="1:8" x14ac:dyDescent="0.3">
      <c r="A20" t="s">
        <v>11</v>
      </c>
      <c r="B20">
        <v>154.21</v>
      </c>
      <c r="C20" s="3">
        <f>$C$5</f>
        <v>39.880000000000003</v>
      </c>
      <c r="D20">
        <f>C20/B20</f>
        <v>0.25860839115491863</v>
      </c>
      <c r="E20" s="1">
        <v>1.04</v>
      </c>
      <c r="F20">
        <f>C20/E20/1000</f>
        <v>3.8346153846153849E-2</v>
      </c>
      <c r="G20">
        <f>D20/$F$22</f>
        <v>1.6218907228875857E-2</v>
      </c>
      <c r="H20">
        <f>G20*1000</f>
        <v>16.218907228875857</v>
      </c>
    </row>
    <row r="21" spans="1:8" x14ac:dyDescent="0.3">
      <c r="A21" t="s">
        <v>13</v>
      </c>
      <c r="B21">
        <v>94.11</v>
      </c>
      <c r="C21" s="3">
        <v>219.94</v>
      </c>
      <c r="D21">
        <f>C21/B21</f>
        <v>2.3370523855063223</v>
      </c>
      <c r="E21">
        <v>1.07</v>
      </c>
      <c r="F21">
        <f>C21/E21/1000</f>
        <v>0.20555140186915888</v>
      </c>
      <c r="G21">
        <f>D21/$F$22</f>
        <v>0.14657078859766587</v>
      </c>
      <c r="H21">
        <f>G21*1000</f>
        <v>146.57078859766588</v>
      </c>
    </row>
    <row r="22" spans="1:8" x14ac:dyDescent="0.3">
      <c r="A22" t="s">
        <v>12</v>
      </c>
      <c r="F22">
        <f>SUM(F17:F21)</f>
        <v>15.94487147040935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F2</f>
        <v>15.055022724667332</v>
      </c>
    </row>
    <row r="26" spans="1:8" x14ac:dyDescent="0.3">
      <c r="A26" t="s">
        <v>9</v>
      </c>
      <c r="B26">
        <v>99.17</v>
      </c>
      <c r="C26" s="3">
        <f>C18+211.7</f>
        <v>415.63</v>
      </c>
      <c r="D26">
        <f>C26/B26</f>
        <v>4.1910860139154984</v>
      </c>
      <c r="E26">
        <v>0.83799999999999997</v>
      </c>
      <c r="F26">
        <f>C26/E26/1000</f>
        <v>0.49597852028639616</v>
      </c>
      <c r="G26">
        <f>D26/$F$30</f>
        <v>0.25874899521537964</v>
      </c>
      <c r="H26">
        <f>G26*1000</f>
        <v>258.74899521537964</v>
      </c>
    </row>
    <row r="27" spans="1:8" x14ac:dyDescent="0.3">
      <c r="A27" t="s">
        <v>10</v>
      </c>
      <c r="B27" s="4">
        <v>293.29000000000002</v>
      </c>
      <c r="C27" s="3">
        <f>C4</f>
        <v>554.78</v>
      </c>
      <c r="D27">
        <f>C27/B27</f>
        <v>1.8915748917453712</v>
      </c>
      <c r="E27" s="1">
        <v>1.3779999999999999</v>
      </c>
      <c r="F27">
        <f>C27/E27/1000</f>
        <v>0.40259796806966619</v>
      </c>
      <c r="G27">
        <f>D27/$F$30</f>
        <v>0.11678192740227153</v>
      </c>
      <c r="H27">
        <f>G27*1000</f>
        <v>116.78192740227153</v>
      </c>
    </row>
    <row r="28" spans="1:8" x14ac:dyDescent="0.3">
      <c r="A28" t="s">
        <v>11</v>
      </c>
      <c r="B28">
        <v>154.21</v>
      </c>
      <c r="C28" s="3">
        <f>$C$5</f>
        <v>39.880000000000003</v>
      </c>
      <c r="D28">
        <f>C28/B28</f>
        <v>0.25860839115491863</v>
      </c>
      <c r="E28" s="1">
        <v>1.04</v>
      </c>
      <c r="F28">
        <f>C28/E28/1000</f>
        <v>3.8346153846153849E-2</v>
      </c>
      <c r="G28">
        <f>D28/$F$30</f>
        <v>1.5965948000930295E-2</v>
      </c>
      <c r="H28">
        <f>G28*1000</f>
        <v>15.965948000930295</v>
      </c>
    </row>
    <row r="29" spans="1:8" x14ac:dyDescent="0.3">
      <c r="A29" t="s">
        <v>13</v>
      </c>
      <c r="B29">
        <v>94.11</v>
      </c>
      <c r="C29" s="3">
        <f>C21</f>
        <v>219.94</v>
      </c>
      <c r="D29">
        <f>C29/B29</f>
        <v>2.3370523855063223</v>
      </c>
      <c r="E29">
        <v>1.07</v>
      </c>
      <c r="F29">
        <f>C29/E29/1000</f>
        <v>0.20555140186915888</v>
      </c>
      <c r="G29">
        <f>D29/$F$30</f>
        <v>0.14428478788258514</v>
      </c>
      <c r="H29">
        <f>G29*1000</f>
        <v>144.28478788258514</v>
      </c>
    </row>
    <row r="30" spans="1:8" x14ac:dyDescent="0.3">
      <c r="A30" t="s">
        <v>12</v>
      </c>
      <c r="F30">
        <f>SUM(F25:F29)</f>
        <v>16.197496768738706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25</v>
      </c>
      <c r="E34">
        <f>D34+273.15</f>
        <v>298.14999999999998</v>
      </c>
      <c r="F34">
        <f>E34*$B$33+$A$33</f>
        <v>1.095583695</v>
      </c>
    </row>
    <row r="35" spans="1:6" x14ac:dyDescent="0.3">
      <c r="C35" t="s">
        <v>21</v>
      </c>
      <c r="D35">
        <f>F33/F34</f>
        <v>1.0036681816444888</v>
      </c>
    </row>
    <row r="36" spans="1:6" x14ac:dyDescent="0.3">
      <c r="A36" s="14">
        <v>8.8000000000000003E-4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5"/>
  <sheetViews>
    <sheetView workbookViewId="0">
      <selection activeCell="U14" sqref="R1:U14"/>
    </sheetView>
  </sheetViews>
  <sheetFormatPr defaultRowHeight="14.4" x14ac:dyDescent="0.3"/>
  <cols>
    <col min="1" max="1" width="14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15*$D$35</f>
        <v>15.336304477561733</v>
      </c>
      <c r="R2" s="15"/>
      <c r="S2" s="15"/>
      <c r="T2" s="15"/>
      <c r="U2" s="15"/>
    </row>
    <row r="3" spans="1:21" x14ac:dyDescent="0.3">
      <c r="A3" t="s">
        <v>9</v>
      </c>
      <c r="B3">
        <v>99.17</v>
      </c>
      <c r="C3" s="3">
        <v>68.59</v>
      </c>
      <c r="D3">
        <f>C3/B3</f>
        <v>0.69164061712211355</v>
      </c>
      <c r="E3">
        <v>0.83799999999999997</v>
      </c>
      <c r="F3">
        <f>C3/E3/1000</f>
        <v>8.1849642004773279E-2</v>
      </c>
      <c r="G3">
        <f>D3/$F$6</f>
        <v>4.3604039462882604E-2</v>
      </c>
      <c r="H3">
        <f>G3*1000</f>
        <v>43.604039462882604</v>
      </c>
      <c r="J3">
        <f>H3</f>
        <v>43.604039462882604</v>
      </c>
      <c r="K3">
        <f>H6</f>
        <v>0</v>
      </c>
      <c r="R3" s="15"/>
      <c r="S3" s="15"/>
      <c r="T3" s="15"/>
      <c r="U3" s="15"/>
    </row>
    <row r="4" spans="1:21" x14ac:dyDescent="0.3">
      <c r="A4" t="s">
        <v>10</v>
      </c>
      <c r="B4" s="4">
        <v>293.29000000000002</v>
      </c>
      <c r="C4" s="3">
        <v>579.49</v>
      </c>
      <c r="D4">
        <f>C4/B4</f>
        <v>1.9758259742916566</v>
      </c>
      <c r="E4" s="1">
        <v>1.3779999999999999</v>
      </c>
      <c r="F4">
        <f>C4/E4/1000</f>
        <v>0.42052975326560238</v>
      </c>
      <c r="G4">
        <f>D4/$F$6</f>
        <v>0.12456468232488264</v>
      </c>
      <c r="H4">
        <f>G4*1000</f>
        <v>124.56468232488264</v>
      </c>
      <c r="J4">
        <f>H10</f>
        <v>127.95762595337473</v>
      </c>
      <c r="K4">
        <f>H13</f>
        <v>0</v>
      </c>
      <c r="R4" s="15"/>
      <c r="S4" s="15"/>
      <c r="T4" s="15"/>
      <c r="U4" s="15"/>
    </row>
    <row r="5" spans="1:21" x14ac:dyDescent="0.3">
      <c r="A5" t="s">
        <v>11</v>
      </c>
      <c r="B5">
        <v>154.21</v>
      </c>
      <c r="C5" s="3">
        <v>24.09</v>
      </c>
      <c r="D5">
        <f>C5/B5</f>
        <v>0.15621555022372088</v>
      </c>
      <c r="E5" s="1">
        <v>1.04</v>
      </c>
      <c r="F5">
        <f>C5/E5/1000</f>
        <v>2.3163461538461536E-2</v>
      </c>
      <c r="G5">
        <f>D5/$F$6</f>
        <v>9.8485092518336131E-3</v>
      </c>
      <c r="H5">
        <f>G5*1000</f>
        <v>9.8485092518336135</v>
      </c>
      <c r="J5">
        <f>H18</f>
        <v>126.05563811409665</v>
      </c>
      <c r="K5">
        <f>H21</f>
        <v>169.00111358272085</v>
      </c>
      <c r="R5" s="15"/>
      <c r="S5" s="15"/>
      <c r="T5" s="15"/>
      <c r="U5" s="15"/>
    </row>
    <row r="6" spans="1:21" x14ac:dyDescent="0.3">
      <c r="A6" t="s">
        <v>12</v>
      </c>
      <c r="F6">
        <f>SUM(F2:F5)</f>
        <v>15.861847334370569</v>
      </c>
      <c r="H6">
        <v>0</v>
      </c>
      <c r="J6">
        <f>H26</f>
        <v>277.57971192006778</v>
      </c>
      <c r="K6">
        <f>H29</f>
        <v>165.92476932666324</v>
      </c>
    </row>
    <row r="7" spans="1:21" x14ac:dyDescent="0.3">
      <c r="R7" s="15"/>
      <c r="S7" s="15"/>
      <c r="T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</row>
    <row r="9" spans="1:21" x14ac:dyDescent="0.3">
      <c r="A9" t="s">
        <v>8</v>
      </c>
      <c r="F9">
        <f>$F$2</f>
        <v>15.336304477561733</v>
      </c>
      <c r="R9" s="15"/>
      <c r="S9" s="15"/>
      <c r="T9" s="15"/>
    </row>
    <row r="10" spans="1:21" x14ac:dyDescent="0.3">
      <c r="A10" t="s">
        <v>9</v>
      </c>
      <c r="B10">
        <v>99.17</v>
      </c>
      <c r="C10" s="3">
        <f>C3+134.73</f>
        <v>203.32</v>
      </c>
      <c r="D10">
        <f>C10/B10</f>
        <v>2.0502167994353129</v>
      </c>
      <c r="E10">
        <v>0.83799999999999997</v>
      </c>
      <c r="F10">
        <f>C10/E10/1000</f>
        <v>0.24262529832935562</v>
      </c>
      <c r="G10">
        <f>D10/$F$14</f>
        <v>0.12795762595337473</v>
      </c>
      <c r="H10">
        <f>G10*1000</f>
        <v>127.95762595337473</v>
      </c>
      <c r="R10" s="15"/>
      <c r="S10" s="15"/>
      <c r="T10" s="15"/>
    </row>
    <row r="11" spans="1:21" x14ac:dyDescent="0.3">
      <c r="A11" t="s">
        <v>10</v>
      </c>
      <c r="B11" s="4">
        <v>293.29000000000002</v>
      </c>
      <c r="C11" s="3">
        <f>C4</f>
        <v>579.49</v>
      </c>
      <c r="D11">
        <f>C11/B11</f>
        <v>1.9758259742916566</v>
      </c>
      <c r="E11" s="1">
        <v>1.3779999999999999</v>
      </c>
      <c r="F11">
        <f>C11/E11/1000</f>
        <v>0.42052975326560238</v>
      </c>
      <c r="G11">
        <f>D11/$F$14</f>
        <v>0.12331476409568405</v>
      </c>
      <c r="H11">
        <f>G11*1000</f>
        <v>123.31476409568405</v>
      </c>
    </row>
    <row r="12" spans="1:21" x14ac:dyDescent="0.3">
      <c r="A12" t="s">
        <v>11</v>
      </c>
      <c r="B12">
        <v>154.21</v>
      </c>
      <c r="C12" s="3">
        <f>$C$5</f>
        <v>24.09</v>
      </c>
      <c r="D12">
        <f>C12/B12</f>
        <v>0.15621555022372088</v>
      </c>
      <c r="E12" s="1">
        <v>1.04</v>
      </c>
      <c r="F12">
        <f>C12/E12/1000</f>
        <v>2.3163461538461536E-2</v>
      </c>
      <c r="G12">
        <f>D12/$F$14</f>
        <v>9.7496864473713332E-3</v>
      </c>
      <c r="H12">
        <f>G12*1000</f>
        <v>9.7496864473713334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16.022622990695154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15.336304477561733</v>
      </c>
    </row>
    <row r="18" spans="1:8" x14ac:dyDescent="0.3">
      <c r="A18" t="s">
        <v>9</v>
      </c>
      <c r="B18">
        <v>99.17</v>
      </c>
      <c r="C18" s="3">
        <f>C10</f>
        <v>203.32</v>
      </c>
      <c r="D18">
        <f>C18/B18</f>
        <v>2.0502167994353129</v>
      </c>
      <c r="E18">
        <v>0.83799999999999997</v>
      </c>
      <c r="F18">
        <f>C18/E18/1000</f>
        <v>0.24262529832935562</v>
      </c>
      <c r="G18">
        <f>D18/$F$22</f>
        <v>0.12605563811409665</v>
      </c>
      <c r="H18">
        <f>G18*1000</f>
        <v>126.05563811409665</v>
      </c>
    </row>
    <row r="19" spans="1:8" x14ac:dyDescent="0.3">
      <c r="A19" t="s">
        <v>10</v>
      </c>
      <c r="B19" s="4">
        <v>293.29000000000002</v>
      </c>
      <c r="C19" s="3">
        <f>C4</f>
        <v>579.49</v>
      </c>
      <c r="D19">
        <f>C19/B19</f>
        <v>1.9758259742916566</v>
      </c>
      <c r="E19" s="1">
        <v>1.3779999999999999</v>
      </c>
      <c r="F19">
        <f>C19/E19/1000</f>
        <v>0.42052975326560238</v>
      </c>
      <c r="G19">
        <f>D19/$F$22</f>
        <v>0.12148178868709919</v>
      </c>
      <c r="H19">
        <f>G19*1000</f>
        <v>121.4817886870992</v>
      </c>
    </row>
    <row r="20" spans="1:8" x14ac:dyDescent="0.3">
      <c r="A20" t="s">
        <v>11</v>
      </c>
      <c r="B20">
        <v>154.21</v>
      </c>
      <c r="C20" s="3">
        <f>$C$5</f>
        <v>24.09</v>
      </c>
      <c r="D20">
        <f>C20/B20</f>
        <v>0.15621555022372088</v>
      </c>
      <c r="E20" s="1">
        <v>1.04</v>
      </c>
      <c r="F20">
        <f>C20/E20/1000</f>
        <v>2.3163461538461536E-2</v>
      </c>
      <c r="G20">
        <f>D20/$F$22</f>
        <v>9.6047651507974851E-3</v>
      </c>
      <c r="H20">
        <f>G20*1000</f>
        <v>9.6047651507974852</v>
      </c>
    </row>
    <row r="21" spans="1:8" x14ac:dyDescent="0.3">
      <c r="A21" t="s">
        <v>13</v>
      </c>
      <c r="B21">
        <v>94.11</v>
      </c>
      <c r="C21" s="3">
        <v>258.68</v>
      </c>
      <c r="D21">
        <f>C21/B21</f>
        <v>2.7486983317394538</v>
      </c>
      <c r="E21">
        <v>1.07</v>
      </c>
      <c r="F21">
        <f>C21/E21/1000</f>
        <v>0.24175700934579439</v>
      </c>
      <c r="G21">
        <f>D21/$F$22</f>
        <v>0.16900111358272085</v>
      </c>
      <c r="H21">
        <f>G21*1000</f>
        <v>169.00111358272085</v>
      </c>
    </row>
    <row r="22" spans="1:8" x14ac:dyDescent="0.3">
      <c r="A22" t="s">
        <v>12</v>
      </c>
      <c r="F22">
        <f>SUM(F17:F21)</f>
        <v>16.264380000040948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15.336304477561733</v>
      </c>
    </row>
    <row r="26" spans="1:8" x14ac:dyDescent="0.3">
      <c r="A26" t="s">
        <v>9</v>
      </c>
      <c r="B26">
        <v>99.17</v>
      </c>
      <c r="C26" s="3">
        <f>C18+252.7</f>
        <v>456.02</v>
      </c>
      <c r="D26">
        <f>C26/B26</f>
        <v>4.5983664414641519</v>
      </c>
      <c r="E26">
        <v>0.83799999999999997</v>
      </c>
      <c r="F26">
        <f>C26/E26/1000</f>
        <v>0.54417661097852033</v>
      </c>
      <c r="G26">
        <f>D26/$F$30</f>
        <v>0.27757971192006781</v>
      </c>
      <c r="H26">
        <f>G26*1000</f>
        <v>277.57971192006778</v>
      </c>
    </row>
    <row r="27" spans="1:8" x14ac:dyDescent="0.3">
      <c r="A27" t="s">
        <v>10</v>
      </c>
      <c r="B27" s="4">
        <v>293.29000000000002</v>
      </c>
      <c r="C27" s="3">
        <f>C4</f>
        <v>579.49</v>
      </c>
      <c r="D27">
        <f>C27/B27</f>
        <v>1.9758259742916566</v>
      </c>
      <c r="E27" s="1">
        <v>1.3779999999999999</v>
      </c>
      <c r="F27">
        <f>C27/E27/1000</f>
        <v>0.42052975326560238</v>
      </c>
      <c r="G27">
        <f>D27/$F$30</f>
        <v>0.11927044347806159</v>
      </c>
      <c r="H27">
        <f>G27*1000</f>
        <v>119.27044347806159</v>
      </c>
    </row>
    <row r="28" spans="1:8" x14ac:dyDescent="0.3">
      <c r="A28" t="s">
        <v>11</v>
      </c>
      <c r="B28">
        <v>154.21</v>
      </c>
      <c r="C28" s="3">
        <f>$C$5</f>
        <v>24.09</v>
      </c>
      <c r="D28">
        <f>C28/B28</f>
        <v>0.15621555022372088</v>
      </c>
      <c r="E28" s="1">
        <v>1.04</v>
      </c>
      <c r="F28">
        <f>C28/E28/1000</f>
        <v>2.3163461538461536E-2</v>
      </c>
      <c r="G28">
        <f>D28/$F$30</f>
        <v>9.4299286454275003E-3</v>
      </c>
      <c r="H28">
        <f>G28*1000</f>
        <v>9.4299286454275002</v>
      </c>
    </row>
    <row r="29" spans="1:8" x14ac:dyDescent="0.3">
      <c r="A29" t="s">
        <v>13</v>
      </c>
      <c r="B29">
        <v>94.11</v>
      </c>
      <c r="C29" s="3">
        <f>C21</f>
        <v>258.68</v>
      </c>
      <c r="D29">
        <f>C29/B29</f>
        <v>2.7486983317394538</v>
      </c>
      <c r="E29">
        <v>1.07</v>
      </c>
      <c r="F29">
        <f>C29/E29/1000</f>
        <v>0.24175700934579439</v>
      </c>
      <c r="G29">
        <f>D29/$F$30</f>
        <v>0.16592476932666322</v>
      </c>
      <c r="H29">
        <f>G29*1000</f>
        <v>165.92476932666324</v>
      </c>
    </row>
    <row r="30" spans="1:8" x14ac:dyDescent="0.3">
      <c r="A30" t="s">
        <v>12</v>
      </c>
      <c r="F30">
        <f>SUM(F25:F29)</f>
        <v>16.565931312690111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45</v>
      </c>
      <c r="E34">
        <f>D34+273.15</f>
        <v>318.14999999999998</v>
      </c>
      <c r="F34">
        <f>E34*$B$33+$A$33</f>
        <v>1.0754896949999999</v>
      </c>
    </row>
    <row r="35" spans="1:6" x14ac:dyDescent="0.3">
      <c r="C35" t="s">
        <v>21</v>
      </c>
      <c r="D35">
        <f>F33/F34</f>
        <v>1.0224202985041155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5"/>
  <sheetViews>
    <sheetView topLeftCell="C1" workbookViewId="0">
      <selection activeCell="U14" sqref="R2:U1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21" x14ac:dyDescent="0.3">
      <c r="A2" t="s">
        <v>22</v>
      </c>
      <c r="F2">
        <f>15*$D$35</f>
        <v>15.703040792126073</v>
      </c>
      <c r="J2" t="str">
        <f>A2</f>
        <v>DMF</v>
      </c>
      <c r="O2">
        <f>F2</f>
        <v>15.703040792126073</v>
      </c>
      <c r="R2" s="15"/>
      <c r="S2" s="15"/>
      <c r="T2" s="15"/>
      <c r="U2" s="15"/>
    </row>
    <row r="3" spans="1:21" x14ac:dyDescent="0.3">
      <c r="A3" t="s">
        <v>9</v>
      </c>
      <c r="B3">
        <v>99.17</v>
      </c>
      <c r="C3" s="3">
        <v>66.69</v>
      </c>
      <c r="D3">
        <f>C3/B3</f>
        <v>0.672481597257235</v>
      </c>
      <c r="E3">
        <v>0.83799999999999997</v>
      </c>
      <c r="F3">
        <f>C3/E3/1000</f>
        <v>7.958233890214797E-2</v>
      </c>
      <c r="G3">
        <f>D3/$F$6</f>
        <v>4.1261639365500591E-2</v>
      </c>
      <c r="H3">
        <f>G3*1000</f>
        <v>41.261639365500592</v>
      </c>
      <c r="J3" t="s">
        <v>9</v>
      </c>
      <c r="K3">
        <v>99.17</v>
      </c>
      <c r="L3">
        <f>C3</f>
        <v>66.69</v>
      </c>
      <c r="M3">
        <f>L3/K3</f>
        <v>0.672481597257235</v>
      </c>
      <c r="N3">
        <v>0.83799999999999997</v>
      </c>
      <c r="O3">
        <f>L3/N3/1000</f>
        <v>7.958233890214797E-2</v>
      </c>
      <c r="P3">
        <f>M3/$O$7</f>
        <v>4.1257761059829104E-2</v>
      </c>
      <c r="Q3">
        <f>P3*1000</f>
        <v>41.257761059829107</v>
      </c>
      <c r="R3" s="15"/>
      <c r="S3" s="15"/>
      <c r="T3" s="15"/>
      <c r="U3" s="15"/>
    </row>
    <row r="4" spans="1:21" x14ac:dyDescent="0.3">
      <c r="A4" t="s">
        <v>10</v>
      </c>
      <c r="B4">
        <v>293.29000000000002</v>
      </c>
      <c r="C4" s="3">
        <v>673.48</v>
      </c>
      <c r="D4">
        <f>C4/B4</f>
        <v>2.2962937706706672</v>
      </c>
      <c r="E4">
        <v>1.3779999999999999</v>
      </c>
      <c r="F4">
        <f>C4/E4/1000</f>
        <v>0.48873730043541369</v>
      </c>
      <c r="G4">
        <f>D4/$F$6</f>
        <v>0.14089433202201909</v>
      </c>
      <c r="H4">
        <f>G4*1000</f>
        <v>140.89433202201909</v>
      </c>
      <c r="J4" t="s">
        <v>10</v>
      </c>
      <c r="K4">
        <v>293.29000000000002</v>
      </c>
      <c r="L4">
        <f>C4*0.98911</f>
        <v>666.14580280000007</v>
      </c>
      <c r="M4">
        <f>L4/K4</f>
        <v>2.2712871315080636</v>
      </c>
      <c r="N4">
        <v>1.3779999999999999</v>
      </c>
      <c r="O4">
        <f>L4/N4/1000</f>
        <v>0.48341495123367206</v>
      </c>
      <c r="P4">
        <f>M4/$O$7</f>
        <v>0.1393468938811413</v>
      </c>
      <c r="Q4">
        <f>P4*1000</f>
        <v>139.34689388114128</v>
      </c>
      <c r="R4" s="15"/>
      <c r="S4" s="15"/>
      <c r="T4" s="15"/>
      <c r="U4" s="15"/>
    </row>
    <row r="5" spans="1:21" x14ac:dyDescent="0.3">
      <c r="A5" t="s">
        <v>11</v>
      </c>
      <c r="B5">
        <v>154.21</v>
      </c>
      <c r="C5" s="3">
        <v>27.69</v>
      </c>
      <c r="D5">
        <f>C5/B5</f>
        <v>0.17956033979638156</v>
      </c>
      <c r="E5">
        <v>1.04</v>
      </c>
      <c r="F5">
        <f>C5/E5/1000</f>
        <v>2.6624999999999999E-2</v>
      </c>
      <c r="G5">
        <f>D5/$F$6</f>
        <v>1.1017333433722196E-2</v>
      </c>
      <c r="H5">
        <f>G5*1000</f>
        <v>11.017333433722197</v>
      </c>
      <c r="J5" t="s">
        <v>11</v>
      </c>
      <c r="K5">
        <v>154.21</v>
      </c>
      <c r="L5">
        <f>C5</f>
        <v>27.69</v>
      </c>
      <c r="M5">
        <f>L5/K5</f>
        <v>0.17956033979638156</v>
      </c>
      <c r="N5">
        <v>1.04</v>
      </c>
      <c r="O5">
        <f>L5/N5/1000</f>
        <v>2.6624999999999999E-2</v>
      </c>
      <c r="P5">
        <f>M5/$O$7</f>
        <v>1.101629788139326E-2</v>
      </c>
      <c r="Q5">
        <f>P5*1000</f>
        <v>11.01629788139326</v>
      </c>
      <c r="R5" s="15"/>
      <c r="S5" s="15"/>
      <c r="T5" s="15"/>
      <c r="U5" s="15"/>
    </row>
    <row r="6" spans="1:21" x14ac:dyDescent="0.3">
      <c r="A6" t="s">
        <v>12</v>
      </c>
      <c r="F6">
        <f>SUM(F2:F5)</f>
        <v>16.297985431463633</v>
      </c>
      <c r="J6" t="s">
        <v>13</v>
      </c>
      <c r="K6">
        <v>94.11</v>
      </c>
      <c r="L6">
        <f>C4*(1-0.98911)</f>
        <v>7.33419719999997</v>
      </c>
      <c r="M6">
        <f>L6/K6</f>
        <v>7.793217723940038E-2</v>
      </c>
      <c r="N6">
        <v>1.07</v>
      </c>
      <c r="O6">
        <f>L6/N6/1000</f>
        <v>6.8543899065420279E-3</v>
      </c>
      <c r="P6">
        <f>M6/$O$7</f>
        <v>4.781256707290276E-3</v>
      </c>
      <c r="Q6">
        <f>P6*1000</f>
        <v>4.7812567072902761</v>
      </c>
    </row>
    <row r="7" spans="1:21" x14ac:dyDescent="0.3">
      <c r="J7" t="s">
        <v>12</v>
      </c>
      <c r="O7">
        <f>SUM(O2:O6)</f>
        <v>16.299517472168436</v>
      </c>
      <c r="R7" s="15"/>
      <c r="S7" s="15"/>
      <c r="T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J8" t="s">
        <v>0</v>
      </c>
      <c r="K8" t="s">
        <v>1</v>
      </c>
      <c r="L8" t="s">
        <v>2</v>
      </c>
      <c r="M8" t="s">
        <v>3</v>
      </c>
      <c r="N8" t="s">
        <v>4</v>
      </c>
      <c r="O8" t="s">
        <v>5</v>
      </c>
      <c r="P8" t="s">
        <v>6</v>
      </c>
      <c r="Q8" t="s">
        <v>7</v>
      </c>
      <c r="R8" s="15"/>
      <c r="S8" s="15"/>
      <c r="T8" s="15"/>
    </row>
    <row r="9" spans="1:21" x14ac:dyDescent="0.3">
      <c r="A9" t="s">
        <v>22</v>
      </c>
      <c r="F9">
        <f>$F$2</f>
        <v>15.703040792126073</v>
      </c>
      <c r="J9" t="str">
        <f>A9</f>
        <v>DMF</v>
      </c>
      <c r="O9">
        <f>F9</f>
        <v>15.703040792126073</v>
      </c>
      <c r="R9" s="15"/>
      <c r="S9" s="15"/>
      <c r="T9" s="15"/>
    </row>
    <row r="10" spans="1:21" x14ac:dyDescent="0.3">
      <c r="A10" t="s">
        <v>9</v>
      </c>
      <c r="B10">
        <v>99.17</v>
      </c>
      <c r="C10">
        <f>C3+105.45</f>
        <v>172.14</v>
      </c>
      <c r="D10">
        <f>C10/B10</f>
        <v>1.7358071997579911</v>
      </c>
      <c r="E10">
        <v>0.83799999999999997</v>
      </c>
      <c r="F10">
        <f>C10/E10/1000</f>
        <v>0.20541766109785203</v>
      </c>
      <c r="G10">
        <f>D10/$F$13</f>
        <v>0.10568839162295665</v>
      </c>
      <c r="H10">
        <f>G10*1000</f>
        <v>105.68839162295666</v>
      </c>
      <c r="J10" t="s">
        <v>9</v>
      </c>
      <c r="K10">
        <v>99.17</v>
      </c>
      <c r="L10">
        <f>C10</f>
        <v>172.14</v>
      </c>
      <c r="M10">
        <f>L10/K10</f>
        <v>1.7358071997579911</v>
      </c>
      <c r="N10">
        <v>0.83799999999999997</v>
      </c>
      <c r="O10">
        <f>L10/N10/1000</f>
        <v>0.20541766109785203</v>
      </c>
      <c r="P10">
        <f>M10/$O$14</f>
        <v>0.10567853375749595</v>
      </c>
      <c r="Q10">
        <f>P10*1000</f>
        <v>105.67853375749594</v>
      </c>
      <c r="R10" s="15"/>
      <c r="S10" s="15"/>
      <c r="T10" s="15"/>
    </row>
    <row r="11" spans="1:21" x14ac:dyDescent="0.3">
      <c r="A11" t="s">
        <v>10</v>
      </c>
      <c r="B11">
        <v>293.29000000000002</v>
      </c>
      <c r="C11" s="3">
        <v>673.48</v>
      </c>
      <c r="D11">
        <f>C11/B11</f>
        <v>2.2962937706706672</v>
      </c>
      <c r="E11">
        <v>1.3779999999999999</v>
      </c>
      <c r="F11">
        <f>C11/E11/1000</f>
        <v>0.48873730043541369</v>
      </c>
      <c r="G11">
        <f>D11/$F$13</f>
        <v>0.13981483389965987</v>
      </c>
      <c r="H11">
        <f>G11*1000</f>
        <v>139.81483389965987</v>
      </c>
      <c r="J11" t="s">
        <v>10</v>
      </c>
      <c r="K11">
        <v>293.29000000000002</v>
      </c>
      <c r="L11">
        <f>C11*0.98911</f>
        <v>666.14580280000007</v>
      </c>
      <c r="M11">
        <f>L11/K11</f>
        <v>2.2712871315080636</v>
      </c>
      <c r="N11">
        <v>1.3779999999999999</v>
      </c>
      <c r="O11">
        <f>L11/N11/1000</f>
        <v>0.48341495123367206</v>
      </c>
      <c r="P11">
        <f>M11/$O$14</f>
        <v>0.13827935143575038</v>
      </c>
      <c r="Q11">
        <f>P11*1000</f>
        <v>138.27935143575039</v>
      </c>
    </row>
    <row r="12" spans="1:21" x14ac:dyDescent="0.3">
      <c r="A12" t="s">
        <v>11</v>
      </c>
      <c r="B12">
        <v>154.21</v>
      </c>
      <c r="C12" s="3">
        <f>$C$5</f>
        <v>27.69</v>
      </c>
      <c r="D12">
        <f>C12/B12</f>
        <v>0.17956033979638156</v>
      </c>
      <c r="E12">
        <v>1.04</v>
      </c>
      <c r="F12">
        <f>C12/E12/1000</f>
        <v>2.6624999999999999E-2</v>
      </c>
      <c r="G12">
        <f>D12/$F$13</f>
        <v>1.0932921303124567E-2</v>
      </c>
      <c r="H12">
        <f>G12*1000</f>
        <v>10.932921303124568</v>
      </c>
      <c r="J12" t="s">
        <v>11</v>
      </c>
      <c r="K12">
        <v>154.21</v>
      </c>
      <c r="L12">
        <f>C12</f>
        <v>27.69</v>
      </c>
      <c r="M12">
        <f>L12/K12</f>
        <v>0.17956033979638156</v>
      </c>
      <c r="N12">
        <v>1.04</v>
      </c>
      <c r="O12">
        <f>L12/N12/1000</f>
        <v>2.6624999999999999E-2</v>
      </c>
      <c r="P12">
        <f>M12/$O$14</f>
        <v>1.0931901557572158E-2</v>
      </c>
      <c r="Q12">
        <f>P12*1000</f>
        <v>10.931901557572157</v>
      </c>
    </row>
    <row r="13" spans="1:21" x14ac:dyDescent="0.3">
      <c r="A13" t="s">
        <v>12</v>
      </c>
      <c r="F13">
        <f>SUM(F9:F12)</f>
        <v>16.423820753659339</v>
      </c>
      <c r="J13" t="s">
        <v>13</v>
      </c>
      <c r="K13">
        <v>94.11</v>
      </c>
      <c r="L13">
        <f>C11*(1-0.98911)</f>
        <v>7.33419719999997</v>
      </c>
      <c r="M13">
        <f>L13/K13</f>
        <v>7.793217723940038E-2</v>
      </c>
      <c r="N13">
        <v>1.07</v>
      </c>
      <c r="O13">
        <f>L13/N13/1000</f>
        <v>6.8543899065420279E-3</v>
      </c>
      <c r="P13">
        <f>M13/$O$14</f>
        <v>4.7446272975117118E-3</v>
      </c>
      <c r="Q13">
        <f>P13*1000</f>
        <v>4.7446272975117116</v>
      </c>
    </row>
    <row r="14" spans="1:21" x14ac:dyDescent="0.3">
      <c r="J14" t="s">
        <v>12</v>
      </c>
      <c r="O14">
        <f>SUM(O9:O13)</f>
        <v>16.425352794364141</v>
      </c>
    </row>
    <row r="15" spans="1:21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J15" t="s">
        <v>0</v>
      </c>
      <c r="K15" t="s">
        <v>1</v>
      </c>
      <c r="L15" t="s">
        <v>2</v>
      </c>
      <c r="M15" t="s">
        <v>3</v>
      </c>
      <c r="N15" t="s">
        <v>4</v>
      </c>
      <c r="O15" t="s">
        <v>5</v>
      </c>
      <c r="P15" t="s">
        <v>6</v>
      </c>
      <c r="Q15" t="s">
        <v>7</v>
      </c>
    </row>
    <row r="16" spans="1:21" x14ac:dyDescent="0.3">
      <c r="A16" t="s">
        <v>22</v>
      </c>
      <c r="F16">
        <f>$F$2</f>
        <v>15.703040792126073</v>
      </c>
      <c r="J16" t="str">
        <f>A16</f>
        <v>DMF</v>
      </c>
      <c r="O16">
        <f>F16</f>
        <v>15.703040792126073</v>
      </c>
    </row>
    <row r="17" spans="1:17" x14ac:dyDescent="0.3">
      <c r="A17" t="s">
        <v>9</v>
      </c>
      <c r="B17">
        <v>99.17</v>
      </c>
      <c r="C17">
        <f>C10</f>
        <v>172.14</v>
      </c>
      <c r="D17">
        <f>C17/B17</f>
        <v>1.7358071997579911</v>
      </c>
      <c r="E17">
        <v>0.83799999999999997</v>
      </c>
      <c r="F17">
        <f>C17/E17/1000</f>
        <v>0.20541766109785203</v>
      </c>
      <c r="G17">
        <f>D17/$F$20</f>
        <v>0.10568839162295665</v>
      </c>
      <c r="H17">
        <f>G17*1000</f>
        <v>105.68839162295666</v>
      </c>
      <c r="J17" t="s">
        <v>9</v>
      </c>
      <c r="K17">
        <v>99.17</v>
      </c>
      <c r="L17">
        <f>C17</f>
        <v>172.14</v>
      </c>
      <c r="M17">
        <f>L17/K17</f>
        <v>1.7358071997579911</v>
      </c>
      <c r="N17">
        <v>0.83799999999999997</v>
      </c>
      <c r="O17">
        <f>L17/N17/1000</f>
        <v>0.20541766109785203</v>
      </c>
      <c r="P17">
        <f>M17/$O$21</f>
        <v>0.10478924767410833</v>
      </c>
      <c r="Q17">
        <f>P17*1000</f>
        <v>104.78924767410832</v>
      </c>
    </row>
    <row r="18" spans="1:17" x14ac:dyDescent="0.3">
      <c r="A18" t="s">
        <v>10</v>
      </c>
      <c r="B18">
        <v>293.29000000000002</v>
      </c>
      <c r="C18" s="3">
        <v>673.48</v>
      </c>
      <c r="D18">
        <f>C18/B18</f>
        <v>2.2962937706706672</v>
      </c>
      <c r="E18">
        <v>1.3779999999999999</v>
      </c>
      <c r="F18">
        <f>C18/E18/1000</f>
        <v>0.48873730043541369</v>
      </c>
      <c r="G18">
        <f>D18/$F$20</f>
        <v>0.13981483389965987</v>
      </c>
      <c r="H18">
        <f>G18*1000</f>
        <v>139.81483389965987</v>
      </c>
      <c r="J18" t="s">
        <v>10</v>
      </c>
      <c r="K18">
        <v>293.29000000000002</v>
      </c>
      <c r="L18">
        <f>C18*0.98911</f>
        <v>666.14580280000007</v>
      </c>
      <c r="M18">
        <f>L18/K18</f>
        <v>2.2712871315080636</v>
      </c>
      <c r="N18">
        <v>1.3779999999999999</v>
      </c>
      <c r="O18">
        <f>L18/N18/1000</f>
        <v>0.48341495123367206</v>
      </c>
      <c r="P18">
        <f>M18/$O$21</f>
        <v>0.13711572909468098</v>
      </c>
      <c r="Q18">
        <f>P18*1000</f>
        <v>137.11572909468097</v>
      </c>
    </row>
    <row r="19" spans="1:17" x14ac:dyDescent="0.3">
      <c r="A19" t="s">
        <v>11</v>
      </c>
      <c r="B19">
        <v>154.21</v>
      </c>
      <c r="C19" s="3">
        <f>$C$5</f>
        <v>27.69</v>
      </c>
      <c r="D19">
        <f>C19/B19</f>
        <v>0.17956033979638156</v>
      </c>
      <c r="E19">
        <v>1.04</v>
      </c>
      <c r="F19">
        <f>C19/E19/1000</f>
        <v>2.6624999999999999E-2</v>
      </c>
      <c r="G19">
        <f>D19/$F$20</f>
        <v>1.0932921303124567E-2</v>
      </c>
      <c r="H19">
        <f>G19*1000</f>
        <v>10.932921303124568</v>
      </c>
      <c r="J19" t="s">
        <v>11</v>
      </c>
      <c r="K19">
        <v>154.21</v>
      </c>
      <c r="L19">
        <f>C19</f>
        <v>27.69</v>
      </c>
      <c r="M19">
        <f>L19/K19</f>
        <v>0.17956033979638156</v>
      </c>
      <c r="N19">
        <v>1.04</v>
      </c>
      <c r="O19">
        <f>L19/N19/1000</f>
        <v>2.6624999999999999E-2</v>
      </c>
      <c r="P19">
        <f>M19/$O$21</f>
        <v>1.0839909479574361E-2</v>
      </c>
      <c r="Q19">
        <f>P19*1000</f>
        <v>10.839909479574361</v>
      </c>
    </row>
    <row r="20" spans="1:17" x14ac:dyDescent="0.3">
      <c r="A20" t="s">
        <v>12</v>
      </c>
      <c r="F20">
        <f>SUM(F16:F19)</f>
        <v>16.423820753659339</v>
      </c>
      <c r="J20" t="s">
        <v>13</v>
      </c>
      <c r="K20">
        <v>94.11</v>
      </c>
      <c r="L20">
        <f>C18*(1-0.98911)+149.15</f>
        <v>156.48419719999998</v>
      </c>
      <c r="M20">
        <f>L20/K20</f>
        <v>1.6627796961003081</v>
      </c>
      <c r="N20">
        <v>1.07</v>
      </c>
      <c r="O20">
        <f>L20/N20/1000</f>
        <v>0.14624691327102801</v>
      </c>
      <c r="P20">
        <f>M20/$O$21</f>
        <v>0.1003806375652934</v>
      </c>
      <c r="Q20">
        <f>P20*1000</f>
        <v>100.3806375652934</v>
      </c>
    </row>
    <row r="21" spans="1:17" x14ac:dyDescent="0.3">
      <c r="J21" t="s">
        <v>12</v>
      </c>
      <c r="O21">
        <f>SUM(O16:O20)</f>
        <v>16.564745317728626</v>
      </c>
    </row>
    <row r="23" spans="1:17" x14ac:dyDescent="0.3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J23" t="s">
        <v>0</v>
      </c>
      <c r="K23" t="s">
        <v>1</v>
      </c>
      <c r="L23" t="s">
        <v>2</v>
      </c>
      <c r="M23" t="s">
        <v>3</v>
      </c>
      <c r="N23" t="s">
        <v>4</v>
      </c>
      <c r="O23" t="s">
        <v>5</v>
      </c>
      <c r="P23" t="s">
        <v>6</v>
      </c>
      <c r="Q23" t="s">
        <v>7</v>
      </c>
    </row>
    <row r="24" spans="1:17" x14ac:dyDescent="0.3">
      <c r="A24" t="s">
        <v>22</v>
      </c>
      <c r="F24">
        <f>$F$2</f>
        <v>15.703040792126073</v>
      </c>
      <c r="J24" t="str">
        <f>A24</f>
        <v>DMF</v>
      </c>
      <c r="O24">
        <f>F24</f>
        <v>15.703040792126073</v>
      </c>
    </row>
    <row r="25" spans="1:17" x14ac:dyDescent="0.3">
      <c r="A25" t="s">
        <v>9</v>
      </c>
      <c r="B25">
        <v>99.17</v>
      </c>
      <c r="C25">
        <f>C17+213.46</f>
        <v>385.6</v>
      </c>
      <c r="D25">
        <f>C25/B25</f>
        <v>3.8882726631037614</v>
      </c>
      <c r="E25">
        <v>0.83799999999999997</v>
      </c>
      <c r="F25">
        <f>C25/E25/1000</f>
        <v>0.46014319809069221</v>
      </c>
      <c r="G25">
        <f>D25/$F$20</f>
        <v>0.236745926628396</v>
      </c>
      <c r="H25">
        <f>G25*1000</f>
        <v>236.74592662839601</v>
      </c>
      <c r="J25" t="s">
        <v>9</v>
      </c>
      <c r="K25">
        <v>99.17</v>
      </c>
      <c r="L25">
        <f>C25</f>
        <v>385.6</v>
      </c>
      <c r="M25">
        <f>L25/K25</f>
        <v>3.8882726631037614</v>
      </c>
      <c r="N25">
        <v>0.83799999999999997</v>
      </c>
      <c r="O25">
        <f>L25/N25/1000</f>
        <v>0.46014319809069221</v>
      </c>
      <c r="P25">
        <f>M25/$O$29</f>
        <v>0.23117687213163829</v>
      </c>
      <c r="Q25">
        <f>P25*1000</f>
        <v>231.17687213163828</v>
      </c>
    </row>
    <row r="26" spans="1:17" x14ac:dyDescent="0.3">
      <c r="A26" t="s">
        <v>10</v>
      </c>
      <c r="B26">
        <v>293.29000000000002</v>
      </c>
      <c r="C26" s="3">
        <v>673.48</v>
      </c>
      <c r="D26">
        <f>C26/B26</f>
        <v>2.2962937706706672</v>
      </c>
      <c r="E26">
        <v>1.3779999999999999</v>
      </c>
      <c r="F26">
        <f>C26/E26/1000</f>
        <v>0.48873730043541369</v>
      </c>
      <c r="G26">
        <f>D26/$F$20</f>
        <v>0.13981483389965987</v>
      </c>
      <c r="H26">
        <f>G26*1000</f>
        <v>139.81483389965987</v>
      </c>
      <c r="J26" t="s">
        <v>10</v>
      </c>
      <c r="K26">
        <v>293.29000000000002</v>
      </c>
      <c r="L26">
        <f>C26*0.98911</f>
        <v>666.14580280000007</v>
      </c>
      <c r="M26">
        <f>L26/K26</f>
        <v>2.2712871315080636</v>
      </c>
      <c r="N26">
        <v>1.3779999999999999</v>
      </c>
      <c r="O26">
        <f>L26/N26/1000</f>
        <v>0.48341495123367206</v>
      </c>
      <c r="P26">
        <f>M26/$O$29</f>
        <v>0.13503915498450303</v>
      </c>
      <c r="Q26">
        <f>P26*1000</f>
        <v>135.03915498450303</v>
      </c>
    </row>
    <row r="27" spans="1:17" x14ac:dyDescent="0.3">
      <c r="A27" t="s">
        <v>11</v>
      </c>
      <c r="B27">
        <v>154.21</v>
      </c>
      <c r="C27" s="3">
        <f>$C$5</f>
        <v>27.69</v>
      </c>
      <c r="D27">
        <f>C27/B27</f>
        <v>0.17956033979638156</v>
      </c>
      <c r="E27">
        <v>1.04</v>
      </c>
      <c r="F27">
        <f>C27/E27/1000</f>
        <v>2.6624999999999999E-2</v>
      </c>
      <c r="G27">
        <f>D27/$F$20</f>
        <v>1.0932921303124567E-2</v>
      </c>
      <c r="H27">
        <f>G27*1000</f>
        <v>10.932921303124568</v>
      </c>
      <c r="J27" t="s">
        <v>11</v>
      </c>
      <c r="K27">
        <v>154.21</v>
      </c>
      <c r="L27">
        <f>C27</f>
        <v>27.69</v>
      </c>
      <c r="M27">
        <f>L27/K27</f>
        <v>0.17956033979638156</v>
      </c>
      <c r="N27">
        <v>1.04</v>
      </c>
      <c r="O27">
        <f>L27/N27/1000</f>
        <v>2.6624999999999999E-2</v>
      </c>
      <c r="P27">
        <f>M27/$O$29</f>
        <v>1.067574249792623E-2</v>
      </c>
      <c r="Q27">
        <f>P27*1000</f>
        <v>10.67574249792623</v>
      </c>
    </row>
    <row r="28" spans="1:17" x14ac:dyDescent="0.3">
      <c r="A28" t="s">
        <v>12</v>
      </c>
      <c r="F28">
        <f>SUM(F24:F27)</f>
        <v>16.678546290652179</v>
      </c>
      <c r="J28" t="s">
        <v>13</v>
      </c>
      <c r="K28">
        <v>94.11</v>
      </c>
      <c r="L28">
        <f>L20</f>
        <v>156.48419719999998</v>
      </c>
      <c r="M28">
        <f>L28/K28</f>
        <v>1.6627796961003081</v>
      </c>
      <c r="N28">
        <v>1.07</v>
      </c>
      <c r="O28">
        <f>L28/N28/1000</f>
        <v>0.14624691327102801</v>
      </c>
      <c r="P28">
        <f>M28/$O$29</f>
        <v>9.8860404733454615E-2</v>
      </c>
      <c r="Q28">
        <f>P28*1000</f>
        <v>98.860404733454615</v>
      </c>
    </row>
    <row r="29" spans="1:17" x14ac:dyDescent="0.3">
      <c r="J29" t="s">
        <v>12</v>
      </c>
      <c r="O29">
        <f>SUM(O24:O28)</f>
        <v>16.819470854721466</v>
      </c>
      <c r="P29">
        <f>M29/$F$28</f>
        <v>0</v>
      </c>
    </row>
    <row r="32" spans="1:17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70</v>
      </c>
      <c r="E34">
        <f>D34+273.15</f>
        <v>343.15</v>
      </c>
      <c r="F34">
        <f>E34*$B$33+$A$33</f>
        <v>1.050372195</v>
      </c>
    </row>
    <row r="35" spans="1:6" x14ac:dyDescent="0.3">
      <c r="C35" t="s">
        <v>21</v>
      </c>
      <c r="D35">
        <f>F33/F34</f>
        <v>1.0468693861417382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5"/>
  <sheetViews>
    <sheetView topLeftCell="H1" zoomScale="70" zoomScaleNormal="70" workbookViewId="0">
      <selection activeCell="V26" sqref="R1:V26"/>
    </sheetView>
  </sheetViews>
  <sheetFormatPr defaultColWidth="16.1093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15*$D$35</f>
        <v>16.040589294553083</v>
      </c>
      <c r="R2" s="15"/>
      <c r="S2" s="15"/>
      <c r="T2" s="15"/>
      <c r="U2" s="15"/>
    </row>
    <row r="3" spans="1:21" x14ac:dyDescent="0.3">
      <c r="A3" t="s">
        <v>9</v>
      </c>
      <c r="B3">
        <v>99.17</v>
      </c>
      <c r="C3" s="3">
        <v>70.41</v>
      </c>
      <c r="D3">
        <f>C3/B3</f>
        <v>0.70999294141373392</v>
      </c>
      <c r="E3">
        <v>0.83799999999999997</v>
      </c>
      <c r="F3">
        <f>C3/E3/1000</f>
        <v>8.4021479713603825E-2</v>
      </c>
      <c r="G3">
        <f>D3/$F$6</f>
        <v>4.3037799861579948E-2</v>
      </c>
      <c r="H3">
        <f>G3*1000</f>
        <v>43.037799861579948</v>
      </c>
      <c r="J3">
        <f>H3</f>
        <v>43.037799861579948</v>
      </c>
      <c r="K3">
        <f>H6</f>
        <v>0</v>
      </c>
      <c r="R3" s="15"/>
      <c r="S3" s="15"/>
      <c r="T3" s="15"/>
      <c r="U3" s="15"/>
    </row>
    <row r="4" spans="1:21" x14ac:dyDescent="0.3">
      <c r="A4" t="s">
        <v>10</v>
      </c>
      <c r="B4" s="4">
        <v>293.29000000000002</v>
      </c>
      <c r="C4" s="3">
        <v>484.44</v>
      </c>
      <c r="D4">
        <f>C4/B4</f>
        <v>1.6517440076374919</v>
      </c>
      <c r="E4" s="1">
        <v>1.3779999999999999</v>
      </c>
      <c r="F4">
        <f>C4/E4/1000</f>
        <v>0.35155297532656027</v>
      </c>
      <c r="G4">
        <f>D4/$F$6</f>
        <v>0.10012413346211228</v>
      </c>
      <c r="H4">
        <f>G4*1000</f>
        <v>100.12413346211228</v>
      </c>
      <c r="J4">
        <f>H10</f>
        <v>129.84905524447919</v>
      </c>
      <c r="K4">
        <f>H13</f>
        <v>0</v>
      </c>
      <c r="R4" s="15"/>
      <c r="S4" s="15"/>
      <c r="T4" s="15"/>
      <c r="U4" s="15"/>
    </row>
    <row r="5" spans="1:21" x14ac:dyDescent="0.3">
      <c r="A5" t="s">
        <v>11</v>
      </c>
      <c r="B5">
        <v>154.21</v>
      </c>
      <c r="C5" s="3">
        <v>21.63</v>
      </c>
      <c r="D5">
        <f>C5/B5</f>
        <v>0.14026327734906943</v>
      </c>
      <c r="E5" s="1">
        <v>1.04</v>
      </c>
      <c r="F5">
        <f>C5/E5/1000</f>
        <v>2.0798076923076919E-2</v>
      </c>
      <c r="G5">
        <f>D5/$F$6</f>
        <v>8.5023702439329055E-3</v>
      </c>
      <c r="H5">
        <f>G5*1000</f>
        <v>8.502370243932905</v>
      </c>
      <c r="J5">
        <f>H18</f>
        <v>128.24455326545893</v>
      </c>
      <c r="K5">
        <f>H21</f>
        <v>140.49131167028105</v>
      </c>
      <c r="R5" s="15"/>
      <c r="S5" s="15"/>
      <c r="T5" s="15"/>
      <c r="U5" s="15"/>
    </row>
    <row r="6" spans="1:21" x14ac:dyDescent="0.3">
      <c r="A6" t="s">
        <v>12</v>
      </c>
      <c r="F6">
        <f>SUM(F2:F5)</f>
        <v>16.496961826516323</v>
      </c>
      <c r="H6">
        <v>0</v>
      </c>
      <c r="J6">
        <f>H26</f>
        <v>275.78610683747354</v>
      </c>
      <c r="K6">
        <f>H29</f>
        <v>138.00049498559159</v>
      </c>
    </row>
    <row r="7" spans="1:21" x14ac:dyDescent="0.3">
      <c r="R7" s="15"/>
      <c r="S7" s="15"/>
      <c r="T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</row>
    <row r="9" spans="1:21" x14ac:dyDescent="0.3">
      <c r="A9" t="s">
        <v>8</v>
      </c>
      <c r="F9">
        <f>$F$2</f>
        <v>16.040589294553083</v>
      </c>
      <c r="R9" s="15"/>
      <c r="S9" s="15"/>
      <c r="T9" s="15"/>
    </row>
    <row r="10" spans="1:21" x14ac:dyDescent="0.3">
      <c r="A10" t="s">
        <v>9</v>
      </c>
      <c r="B10">
        <v>99.17</v>
      </c>
      <c r="C10" s="3">
        <f>C3+144.24</f>
        <v>214.65</v>
      </c>
      <c r="D10">
        <f>C10/B10</f>
        <v>2.1644650599979833</v>
      </c>
      <c r="E10">
        <v>0.83799999999999997</v>
      </c>
      <c r="F10">
        <f>C10/E10/1000</f>
        <v>0.256145584725537</v>
      </c>
      <c r="G10">
        <f>D10/$F$14</f>
        <v>0.12984905524447918</v>
      </c>
      <c r="H10">
        <f>G10*1000</f>
        <v>129.84905524447919</v>
      </c>
      <c r="R10" s="15"/>
      <c r="S10" s="15"/>
      <c r="T10" s="15"/>
    </row>
    <row r="11" spans="1:21" x14ac:dyDescent="0.3">
      <c r="A11" t="s">
        <v>10</v>
      </c>
      <c r="B11" s="4">
        <v>293.29000000000002</v>
      </c>
      <c r="C11" s="3">
        <f>C4</f>
        <v>484.44</v>
      </c>
      <c r="D11">
        <f>C11/B11</f>
        <v>1.6517440076374919</v>
      </c>
      <c r="E11" s="1">
        <v>1.3779999999999999</v>
      </c>
      <c r="F11">
        <f>C11/E11/1000</f>
        <v>0.35155297532656027</v>
      </c>
      <c r="G11">
        <f>D11/$F$14</f>
        <v>9.9090256923647424E-2</v>
      </c>
      <c r="H11">
        <f>G11*1000</f>
        <v>99.090256923647431</v>
      </c>
    </row>
    <row r="12" spans="1:21" x14ac:dyDescent="0.3">
      <c r="A12" t="s">
        <v>11</v>
      </c>
      <c r="B12">
        <v>154.21</v>
      </c>
      <c r="C12" s="3">
        <f>$C$5</f>
        <v>21.63</v>
      </c>
      <c r="D12">
        <f>C12/B12</f>
        <v>0.14026327734906943</v>
      </c>
      <c r="E12" s="1">
        <v>1.04</v>
      </c>
      <c r="F12">
        <f>C12/E12/1000</f>
        <v>2.0798076923076919E-2</v>
      </c>
      <c r="G12">
        <f>D12/$F$14</f>
        <v>8.4145752157754813E-3</v>
      </c>
      <c r="H12">
        <f>G12*1000</f>
        <v>8.4145752157754821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16.669085931528258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16.040589294553083</v>
      </c>
    </row>
    <row r="18" spans="1:8" x14ac:dyDescent="0.3">
      <c r="A18" t="s">
        <v>9</v>
      </c>
      <c r="B18">
        <v>99.17</v>
      </c>
      <c r="C18" s="3">
        <f>C10</f>
        <v>214.65</v>
      </c>
      <c r="D18">
        <f>C18/B18</f>
        <v>2.1644650599979833</v>
      </c>
      <c r="E18">
        <v>0.83799999999999997</v>
      </c>
      <c r="F18">
        <f>C18/E18/1000</f>
        <v>0.256145584725537</v>
      </c>
      <c r="G18">
        <f>D18/$F$22</f>
        <v>0.12824455326545894</v>
      </c>
      <c r="H18">
        <f>G18*1000</f>
        <v>128.24455326545893</v>
      </c>
    </row>
    <row r="19" spans="1:8" x14ac:dyDescent="0.3">
      <c r="A19" t="s">
        <v>10</v>
      </c>
      <c r="B19" s="4">
        <v>293.29000000000002</v>
      </c>
      <c r="C19" s="3">
        <f>C4</f>
        <v>484.44</v>
      </c>
      <c r="D19">
        <f>C19/B19</f>
        <v>1.6517440076374919</v>
      </c>
      <c r="E19" s="1">
        <v>1.3779999999999999</v>
      </c>
      <c r="F19">
        <f>C19/E19/1000</f>
        <v>0.35155297532656027</v>
      </c>
      <c r="G19">
        <f>D19/$F$22</f>
        <v>9.7865831277759829E-2</v>
      </c>
      <c r="H19">
        <f>G19*1000</f>
        <v>97.865831277759824</v>
      </c>
    </row>
    <row r="20" spans="1:8" x14ac:dyDescent="0.3">
      <c r="A20" t="s">
        <v>11</v>
      </c>
      <c r="B20">
        <v>154.21</v>
      </c>
      <c r="C20" s="3">
        <f>$C$5</f>
        <v>21.63</v>
      </c>
      <c r="D20">
        <f>C20/B20</f>
        <v>0.14026327734906943</v>
      </c>
      <c r="E20" s="1">
        <v>1.04</v>
      </c>
      <c r="F20">
        <f>C20/E20/1000</f>
        <v>2.0798076923076919E-2</v>
      </c>
      <c r="G20">
        <f>D20/$F$22</f>
        <v>8.3105990831736209E-3</v>
      </c>
      <c r="H20">
        <f>G20*1000</f>
        <v>8.3105990831736207</v>
      </c>
    </row>
    <row r="21" spans="1:8" x14ac:dyDescent="0.3">
      <c r="A21" t="s">
        <v>13</v>
      </c>
      <c r="B21">
        <v>94.11</v>
      </c>
      <c r="C21" s="3">
        <v>223.15</v>
      </c>
      <c r="D21">
        <f>C21/B21</f>
        <v>2.3711614068643079</v>
      </c>
      <c r="E21">
        <v>1.07</v>
      </c>
      <c r="F21">
        <f>C21/E21/1000</f>
        <v>0.20855140186915885</v>
      </c>
      <c r="G21">
        <f>D21/$F$22</f>
        <v>0.14049131167028106</v>
      </c>
      <c r="H21">
        <f>G21*1000</f>
        <v>140.49131167028105</v>
      </c>
    </row>
    <row r="22" spans="1:8" x14ac:dyDescent="0.3">
      <c r="A22" t="s">
        <v>12</v>
      </c>
      <c r="F22">
        <f>SUM(F17:F21)</f>
        <v>16.877637333397416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16.040589294553083</v>
      </c>
    </row>
    <row r="26" spans="1:8" x14ac:dyDescent="0.3">
      <c r="A26" t="s">
        <v>9</v>
      </c>
      <c r="B26">
        <v>99.17</v>
      </c>
      <c r="C26" s="3">
        <f>C18+255.28</f>
        <v>469.93</v>
      </c>
      <c r="D26">
        <f>C26/B26</f>
        <v>4.7386306342643945</v>
      </c>
      <c r="E26">
        <v>0.83799999999999997</v>
      </c>
      <c r="F26">
        <f>C26/E26/1000</f>
        <v>0.56077565632458226</v>
      </c>
      <c r="G26">
        <f>D26/$F$30</f>
        <v>0.27578610683747357</v>
      </c>
      <c r="H26">
        <f>G26*1000</f>
        <v>275.78610683747354</v>
      </c>
    </row>
    <row r="27" spans="1:8" x14ac:dyDescent="0.3">
      <c r="A27" t="s">
        <v>10</v>
      </c>
      <c r="B27" s="4">
        <v>293.29000000000002</v>
      </c>
      <c r="C27" s="3">
        <f>C4</f>
        <v>484.44</v>
      </c>
      <c r="D27">
        <f>C27/B27</f>
        <v>1.6517440076374919</v>
      </c>
      <c r="E27" s="1">
        <v>1.3779999999999999</v>
      </c>
      <c r="F27">
        <f>C27/E27/1000</f>
        <v>0.35155297532656027</v>
      </c>
      <c r="G27">
        <f>D27/$F$30</f>
        <v>9.6130735758260769E-2</v>
      </c>
      <c r="H27">
        <f>G27*1000</f>
        <v>96.130735758260769</v>
      </c>
    </row>
    <row r="28" spans="1:8" x14ac:dyDescent="0.3">
      <c r="A28" t="s">
        <v>11</v>
      </c>
      <c r="B28">
        <v>154.21</v>
      </c>
      <c r="C28" s="3">
        <f>$C$5</f>
        <v>21.63</v>
      </c>
      <c r="D28">
        <f>C28/B28</f>
        <v>0.14026327734906943</v>
      </c>
      <c r="E28" s="1">
        <v>1.04</v>
      </c>
      <c r="F28">
        <f>C28/E28/1000</f>
        <v>2.0798076923076919E-2</v>
      </c>
      <c r="G28">
        <f>D28/$F$30</f>
        <v>8.1632577379328886E-3</v>
      </c>
      <c r="H28">
        <f>G28*1000</f>
        <v>8.1632577379328879</v>
      </c>
    </row>
    <row r="29" spans="1:8" x14ac:dyDescent="0.3">
      <c r="A29" t="s">
        <v>13</v>
      </c>
      <c r="B29">
        <v>94.11</v>
      </c>
      <c r="C29" s="3">
        <f>C21</f>
        <v>223.15</v>
      </c>
      <c r="D29">
        <f>C29/B29</f>
        <v>2.3711614068643079</v>
      </c>
      <c r="E29">
        <v>1.07</v>
      </c>
      <c r="F29">
        <f>C29/E29/1000</f>
        <v>0.20855140186915885</v>
      </c>
      <c r="G29">
        <f>D29/$F$30</f>
        <v>0.13800049498559158</v>
      </c>
      <c r="H29">
        <f>G29*1000</f>
        <v>138.00049498559159</v>
      </c>
    </row>
    <row r="30" spans="1:8" x14ac:dyDescent="0.3">
      <c r="A30" t="s">
        <v>12</v>
      </c>
      <c r="F30">
        <f>SUM(F25:F29)</f>
        <v>17.182267404996463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92</v>
      </c>
      <c r="E34">
        <f>D34+273.15</f>
        <v>365.15</v>
      </c>
      <c r="F34">
        <f>E34*$B$33+$A$33</f>
        <v>1.028268795</v>
      </c>
    </row>
    <row r="35" spans="1:6" x14ac:dyDescent="0.3">
      <c r="C35" t="s">
        <v>21</v>
      </c>
      <c r="D35">
        <f>F33/F34</f>
        <v>1.0693726196368722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5398-0DFD-42B1-A3BA-8DB6B6A61259}">
  <dimension ref="A1:N35"/>
  <sheetViews>
    <sheetView workbookViewId="0">
      <selection activeCell="I25" sqref="I25"/>
    </sheetView>
  </sheetViews>
  <sheetFormatPr defaultColWidth="16.109375" defaultRowHeight="14.4" x14ac:dyDescent="0.3"/>
  <cols>
    <col min="1" max="1" width="14.33203125" bestFit="1" customWidth="1"/>
    <col min="2" max="2" width="7" bestFit="1" customWidth="1"/>
    <col min="3" max="3" width="5.44140625" bestFit="1" customWidth="1"/>
    <col min="4" max="4" width="12" bestFit="1" customWidth="1"/>
    <col min="5" max="5" width="6.6640625" bestFit="1" customWidth="1"/>
    <col min="6" max="8" width="12" bestFit="1" customWidth="1"/>
    <col min="10" max="11" width="12" bestFit="1" customWidth="1"/>
  </cols>
  <sheetData>
    <row r="1" spans="1:14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14" x14ac:dyDescent="0.3">
      <c r="A2" t="s">
        <v>8</v>
      </c>
      <c r="F2">
        <f>15*$D$35</f>
        <v>16.040589294553083</v>
      </c>
    </row>
    <row r="3" spans="1:14" x14ac:dyDescent="0.3">
      <c r="A3" t="s">
        <v>9</v>
      </c>
      <c r="B3">
        <v>99.17</v>
      </c>
      <c r="C3" s="8">
        <v>50.96</v>
      </c>
      <c r="D3">
        <f>C3/B3</f>
        <v>0.51386508016537258</v>
      </c>
      <c r="E3">
        <v>0.83799999999999997</v>
      </c>
      <c r="F3">
        <f>C3/E3/1000</f>
        <v>6.0811455847255377E-2</v>
      </c>
      <c r="G3">
        <f>D3/$F$6</f>
        <v>3.100423437591562E-2</v>
      </c>
      <c r="H3">
        <f>G3*1000</f>
        <v>31.004234375915619</v>
      </c>
      <c r="J3">
        <f>H3</f>
        <v>31.004234375915619</v>
      </c>
      <c r="K3">
        <f>H6</f>
        <v>0</v>
      </c>
      <c r="N3">
        <f>G3*1000</f>
        <v>31.004234375915619</v>
      </c>
    </row>
    <row r="4" spans="1:14" x14ac:dyDescent="0.3">
      <c r="A4" t="s">
        <v>10</v>
      </c>
      <c r="B4" s="4">
        <v>293.29000000000002</v>
      </c>
      <c r="C4" s="8">
        <v>616.04999999999995</v>
      </c>
      <c r="D4">
        <f>C4/B4</f>
        <v>2.1004807528384872</v>
      </c>
      <c r="E4" s="1">
        <v>1.3779999999999999</v>
      </c>
      <c r="F4">
        <f>C4/E4/1000</f>
        <v>0.44706095791001449</v>
      </c>
      <c r="G4">
        <f>D4/$F$6</f>
        <v>0.1267332614665039</v>
      </c>
      <c r="H4">
        <f>G4*1000</f>
        <v>126.7332614665039</v>
      </c>
      <c r="J4">
        <f>H10</f>
        <v>94.00146763340436</v>
      </c>
      <c r="K4">
        <f>H13</f>
        <v>0</v>
      </c>
      <c r="N4">
        <f>G4*1000</f>
        <v>126.7332614665039</v>
      </c>
    </row>
    <row r="5" spans="1:14" x14ac:dyDescent="0.3">
      <c r="A5" t="s">
        <v>11</v>
      </c>
      <c r="B5">
        <v>154.21</v>
      </c>
      <c r="C5" s="8">
        <v>26.59</v>
      </c>
      <c r="D5">
        <f>C5/B5</f>
        <v>0.17242720964917968</v>
      </c>
      <c r="E5" s="1">
        <v>1.04</v>
      </c>
      <c r="F5">
        <f>C5/E5/1000</f>
        <v>2.5567307692307691E-2</v>
      </c>
      <c r="G5">
        <f>D5/$F$6</f>
        <v>1.0403457691711334E-2</v>
      </c>
      <c r="H5">
        <f>G5*1000</f>
        <v>10.403457691711333</v>
      </c>
      <c r="J5">
        <f>H18</f>
        <v>92.773515596951</v>
      </c>
      <c r="K5">
        <f>H21</f>
        <v>148.52336278164285</v>
      </c>
      <c r="N5">
        <f>G5*1000</f>
        <v>10.403457691711333</v>
      </c>
    </row>
    <row r="6" spans="1:14" x14ac:dyDescent="0.3">
      <c r="A6" t="s">
        <v>12</v>
      </c>
      <c r="F6">
        <f>SUM(F2:F5)</f>
        <v>16.574029016002658</v>
      </c>
      <c r="H6">
        <v>0</v>
      </c>
      <c r="J6">
        <f>H26</f>
        <v>185.35973904027762</v>
      </c>
      <c r="K6">
        <f>H29</f>
        <v>146.87796124915968</v>
      </c>
    </row>
    <row r="8" spans="1:14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14" x14ac:dyDescent="0.3">
      <c r="A9" t="s">
        <v>8</v>
      </c>
      <c r="F9">
        <f>$F$2</f>
        <v>16.040589294553083</v>
      </c>
    </row>
    <row r="10" spans="1:14" x14ac:dyDescent="0.3">
      <c r="A10" t="s">
        <v>9</v>
      </c>
      <c r="B10">
        <v>99.17</v>
      </c>
      <c r="C10" s="3">
        <f>C3+104.71</f>
        <v>155.66999999999999</v>
      </c>
      <c r="D10">
        <f>C10/B10</f>
        <v>1.5697287486134919</v>
      </c>
      <c r="E10">
        <v>0.83799999999999997</v>
      </c>
      <c r="F10">
        <f>C10/E10/1000</f>
        <v>0.18576372315035797</v>
      </c>
      <c r="G10">
        <f>D10/$F$14</f>
        <v>9.4001467633404362E-2</v>
      </c>
      <c r="H10">
        <f>G10*1000</f>
        <v>94.00146763340436</v>
      </c>
      <c r="N10">
        <f>G10*1000</f>
        <v>94.00146763340436</v>
      </c>
    </row>
    <row r="11" spans="1:14" x14ac:dyDescent="0.3">
      <c r="A11" t="s">
        <v>10</v>
      </c>
      <c r="B11" s="4">
        <v>293.29000000000002</v>
      </c>
      <c r="C11" s="3">
        <f>C4</f>
        <v>616.04999999999995</v>
      </c>
      <c r="D11">
        <f>C11/B11</f>
        <v>2.1004807528384872</v>
      </c>
      <c r="E11" s="1">
        <v>1.3779999999999999</v>
      </c>
      <c r="F11">
        <f>C11/E11/1000</f>
        <v>0.44706095791001449</v>
      </c>
      <c r="G11">
        <f>D11/$F$14</f>
        <v>0.12578496359765198</v>
      </c>
      <c r="H11">
        <f>G11*1000</f>
        <v>125.78496359765198</v>
      </c>
      <c r="N11">
        <f>G11*1000</f>
        <v>125.78496359765198</v>
      </c>
    </row>
    <row r="12" spans="1:14" x14ac:dyDescent="0.3">
      <c r="A12" t="s">
        <v>11</v>
      </c>
      <c r="B12">
        <v>154.21</v>
      </c>
      <c r="C12" s="3">
        <f>$C$5</f>
        <v>26.59</v>
      </c>
      <c r="D12">
        <f>C12/B12</f>
        <v>0.17242720964917968</v>
      </c>
      <c r="E12" s="1">
        <v>1.04</v>
      </c>
      <c r="F12">
        <f>C12/E12/1000</f>
        <v>2.5567307692307691E-2</v>
      </c>
      <c r="G12">
        <f>D12/$F$14</f>
        <v>1.0325612486407055E-2</v>
      </c>
      <c r="H12">
        <f>G12*1000</f>
        <v>10.325612486407055</v>
      </c>
      <c r="N12">
        <f>G12*1000</f>
        <v>10.325612486407055</v>
      </c>
    </row>
    <row r="13" spans="1:14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  <c r="N13">
        <f>G13*1000</f>
        <v>0</v>
      </c>
    </row>
    <row r="14" spans="1:14" x14ac:dyDescent="0.3">
      <c r="A14" t="s">
        <v>12</v>
      </c>
      <c r="F14">
        <f>SUM(F9:F13)</f>
        <v>16.698981283305763</v>
      </c>
    </row>
    <row r="16" spans="1:14" x14ac:dyDescent="0.3">
      <c r="A16" t="s">
        <v>43</v>
      </c>
      <c r="B16" t="s">
        <v>44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</row>
    <row r="17" spans="1:14" x14ac:dyDescent="0.3">
      <c r="A17" t="s">
        <v>8</v>
      </c>
      <c r="F17">
        <f>$F$2</f>
        <v>16.040589294553083</v>
      </c>
    </row>
    <row r="18" spans="1:14" x14ac:dyDescent="0.3">
      <c r="A18" t="s">
        <v>9</v>
      </c>
      <c r="B18">
        <v>99.17</v>
      </c>
      <c r="C18" s="3">
        <f>C10</f>
        <v>155.66999999999999</v>
      </c>
      <c r="D18">
        <f>C18/B18</f>
        <v>1.5697287486134919</v>
      </c>
      <c r="E18">
        <v>0.83799999999999997</v>
      </c>
      <c r="F18">
        <f>C18/E18/1000</f>
        <v>0.18576372315035797</v>
      </c>
      <c r="G18">
        <f>D18/$F$22</f>
        <v>9.2773515596951003E-2</v>
      </c>
      <c r="H18">
        <f>G18*1000</f>
        <v>92.773515596951</v>
      </c>
      <c r="N18">
        <f>G18*1000</f>
        <v>92.773515596951</v>
      </c>
    </row>
    <row r="19" spans="1:14" x14ac:dyDescent="0.3">
      <c r="A19" t="s">
        <v>10</v>
      </c>
      <c r="B19" s="4">
        <v>293.29000000000002</v>
      </c>
      <c r="C19" s="3">
        <f>C4</f>
        <v>616.04999999999995</v>
      </c>
      <c r="D19">
        <f>C19/B19</f>
        <v>2.1004807528384872</v>
      </c>
      <c r="E19" s="1">
        <v>1.3779999999999999</v>
      </c>
      <c r="F19">
        <f>C19/E19/1000</f>
        <v>0.44706095791001449</v>
      </c>
      <c r="G19">
        <f>D19/$F$22</f>
        <v>0.12414182007985802</v>
      </c>
      <c r="H19">
        <f>G19*1000</f>
        <v>124.14182007985802</v>
      </c>
      <c r="N19">
        <f>G19*1000</f>
        <v>124.14182007985802</v>
      </c>
    </row>
    <row r="20" spans="1:14" x14ac:dyDescent="0.3">
      <c r="A20" t="s">
        <v>11</v>
      </c>
      <c r="B20">
        <v>154.21</v>
      </c>
      <c r="C20" s="3">
        <f>$C$5</f>
        <v>26.59</v>
      </c>
      <c r="D20">
        <f>C20/B20</f>
        <v>0.17242720964917968</v>
      </c>
      <c r="E20" s="1">
        <v>1.04</v>
      </c>
      <c r="F20">
        <f>C20/E20/1000</f>
        <v>2.5567307692307691E-2</v>
      </c>
      <c r="G20">
        <f>D20/$F$22</f>
        <v>1.0190727817055297E-2</v>
      </c>
      <c r="H20">
        <f>G20*1000</f>
        <v>10.190727817055297</v>
      </c>
      <c r="N20">
        <f>G20*1000</f>
        <v>10.190727817055297</v>
      </c>
    </row>
    <row r="21" spans="1:14" x14ac:dyDescent="0.3">
      <c r="A21" t="s">
        <v>13</v>
      </c>
      <c r="B21">
        <v>94.11</v>
      </c>
      <c r="C21" s="8">
        <v>236.5</v>
      </c>
      <c r="D21">
        <f>C21/B21</f>
        <v>2.5130166826054618</v>
      </c>
      <c r="E21">
        <v>1.07</v>
      </c>
      <c r="F21">
        <f>C21/E21/1000</f>
        <v>0.22102803738317756</v>
      </c>
      <c r="G21">
        <f>D21/$F$22</f>
        <v>0.14852336278164285</v>
      </c>
      <c r="H21">
        <f>G21*1000</f>
        <v>148.52336278164285</v>
      </c>
      <c r="N21">
        <f>G21*1000</f>
        <v>148.52336278164285</v>
      </c>
    </row>
    <row r="22" spans="1:14" x14ac:dyDescent="0.3">
      <c r="A22" t="s">
        <v>12</v>
      </c>
      <c r="F22">
        <f>SUM(F17:F21)</f>
        <v>16.920009320688941</v>
      </c>
    </row>
    <row r="24" spans="1:14" x14ac:dyDescent="0.3">
      <c r="A24" t="s">
        <v>43</v>
      </c>
      <c r="B24" t="s">
        <v>44</v>
      </c>
      <c r="C24" t="s">
        <v>45</v>
      </c>
      <c r="D24" t="s">
        <v>46</v>
      </c>
      <c r="E24" t="s">
        <v>47</v>
      </c>
      <c r="F24" t="s">
        <v>48</v>
      </c>
      <c r="G24" t="s">
        <v>49</v>
      </c>
    </row>
    <row r="25" spans="1:14" x14ac:dyDescent="0.3">
      <c r="A25" t="s">
        <v>8</v>
      </c>
      <c r="F25">
        <f>$F$2</f>
        <v>16.040589294553083</v>
      </c>
    </row>
    <row r="26" spans="1:14" x14ac:dyDescent="0.3">
      <c r="A26" t="s">
        <v>9</v>
      </c>
      <c r="B26">
        <v>99.17</v>
      </c>
      <c r="C26" s="3">
        <f>C18+158.84</f>
        <v>314.51</v>
      </c>
      <c r="D26">
        <f>C26/B26</f>
        <v>3.1714228093173338</v>
      </c>
      <c r="E26">
        <v>0.83799999999999997</v>
      </c>
      <c r="F26">
        <f>C26/E26/1000</f>
        <v>0.37531026252983291</v>
      </c>
      <c r="G26">
        <f>D26/$F$30</f>
        <v>0.18535973904027761</v>
      </c>
      <c r="H26">
        <f>G26*1000</f>
        <v>185.35973904027762</v>
      </c>
      <c r="N26">
        <f>G26*1000</f>
        <v>185.35973904027762</v>
      </c>
    </row>
    <row r="27" spans="1:14" x14ac:dyDescent="0.3">
      <c r="A27" t="s">
        <v>10</v>
      </c>
      <c r="B27" s="4">
        <v>293.29000000000002</v>
      </c>
      <c r="C27" s="3">
        <f>C4</f>
        <v>616.04999999999995</v>
      </c>
      <c r="D27">
        <f>C27/B27</f>
        <v>2.1004807528384872</v>
      </c>
      <c r="E27" s="1">
        <v>1.3779999999999999</v>
      </c>
      <c r="F27">
        <f>C27/E27/1000</f>
        <v>0.44706095791001449</v>
      </c>
      <c r="G27">
        <f>D27/$F$30</f>
        <v>0.1227665270809717</v>
      </c>
      <c r="H27">
        <f>G27*1000</f>
        <v>122.7665270809717</v>
      </c>
      <c r="N27">
        <f>G27*1000</f>
        <v>122.7665270809717</v>
      </c>
    </row>
    <row r="28" spans="1:14" x14ac:dyDescent="0.3">
      <c r="A28" t="s">
        <v>11</v>
      </c>
      <c r="B28">
        <v>154.21</v>
      </c>
      <c r="C28" s="3">
        <f>$C$5</f>
        <v>26.59</v>
      </c>
      <c r="D28">
        <f>C28/B28</f>
        <v>0.17242720964917968</v>
      </c>
      <c r="E28" s="1">
        <v>1.04</v>
      </c>
      <c r="F28">
        <f>C28/E28/1000</f>
        <v>2.5567307692307691E-2</v>
      </c>
      <c r="G28">
        <f>D28/$F$30</f>
        <v>1.0077830836719931E-2</v>
      </c>
      <c r="H28">
        <f>G28*1000</f>
        <v>10.077830836719931</v>
      </c>
      <c r="N28">
        <f>G28*1000</f>
        <v>10.077830836719931</v>
      </c>
    </row>
    <row r="29" spans="1:14" x14ac:dyDescent="0.3">
      <c r="A29" t="s">
        <v>13</v>
      </c>
      <c r="B29">
        <v>94.11</v>
      </c>
      <c r="C29" s="3">
        <f>C21</f>
        <v>236.5</v>
      </c>
      <c r="D29">
        <f>C29/B29</f>
        <v>2.5130166826054618</v>
      </c>
      <c r="E29">
        <v>1.07</v>
      </c>
      <c r="F29">
        <f>C29/E29/1000</f>
        <v>0.22102803738317756</v>
      </c>
      <c r="G29">
        <f>D29/$F$30</f>
        <v>0.14687796124915969</v>
      </c>
      <c r="H29">
        <f>G29*1000</f>
        <v>146.87796124915968</v>
      </c>
      <c r="N29">
        <f>G29*1000</f>
        <v>146.87796124915968</v>
      </c>
    </row>
    <row r="30" spans="1:14" x14ac:dyDescent="0.3">
      <c r="A30" t="s">
        <v>12</v>
      </c>
      <c r="F30">
        <f>SUM(F25:F29)</f>
        <v>17.109555860068415</v>
      </c>
    </row>
    <row r="32" spans="1:14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92</v>
      </c>
      <c r="E34">
        <f>D34+273.15</f>
        <v>365.15</v>
      </c>
      <c r="F34">
        <f>E34*$B$33+$A$33</f>
        <v>1.028268795</v>
      </c>
    </row>
    <row r="35" spans="1:6" x14ac:dyDescent="0.3">
      <c r="C35" t="s">
        <v>21</v>
      </c>
      <c r="D35">
        <f>F33/F34</f>
        <v>1.0693726196368722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5"/>
  <sheetViews>
    <sheetView zoomScale="85" zoomScaleNormal="85" workbookViewId="0">
      <selection activeCell="J5" sqref="J5"/>
    </sheetView>
  </sheetViews>
  <sheetFormatPr defaultColWidth="16.1093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23</v>
      </c>
      <c r="F2">
        <f>15*$D$35</f>
        <v>16.409353755122705</v>
      </c>
      <c r="R2" s="15"/>
      <c r="S2" s="15"/>
      <c r="T2" s="15"/>
      <c r="U2" s="15"/>
    </row>
    <row r="3" spans="1:21" x14ac:dyDescent="0.3">
      <c r="A3" t="s">
        <v>9</v>
      </c>
      <c r="B3">
        <v>99.17</v>
      </c>
      <c r="C3" s="3">
        <v>68.62</v>
      </c>
      <c r="D3">
        <f>C3/B3</f>
        <v>0.69194312796208535</v>
      </c>
      <c r="E3">
        <v>0.83799999999999997</v>
      </c>
      <c r="F3">
        <f>C3/E3/1000</f>
        <v>8.1885441527446298E-2</v>
      </c>
      <c r="G3">
        <f>D3/$F$6</f>
        <v>4.0696763434414356E-2</v>
      </c>
      <c r="H3">
        <f>G3*1000</f>
        <v>40.696763434414358</v>
      </c>
      <c r="J3">
        <f>H3</f>
        <v>40.696763434414358</v>
      </c>
      <c r="K3">
        <f>H6</f>
        <v>0</v>
      </c>
      <c r="R3" s="15"/>
      <c r="S3" s="15"/>
      <c r="T3" s="15"/>
      <c r="U3" s="15"/>
    </row>
    <row r="4" spans="1:21" x14ac:dyDescent="0.3">
      <c r="A4" t="s">
        <v>10</v>
      </c>
      <c r="B4" s="4">
        <v>293.29000000000002</v>
      </c>
      <c r="C4" s="3">
        <v>659.73</v>
      </c>
      <c r="D4">
        <f>C4/B4</f>
        <v>2.2494118449316374</v>
      </c>
      <c r="E4" s="1">
        <v>1.3779999999999999</v>
      </c>
      <c r="F4">
        <f>C4/E4/1000</f>
        <v>0.47875907111756172</v>
      </c>
      <c r="G4">
        <f>D4/$F$6</f>
        <v>0.13229957495114902</v>
      </c>
      <c r="H4">
        <f>G4*1000</f>
        <v>132.29957495114903</v>
      </c>
      <c r="J4">
        <f>H10</f>
        <v>122.62166376452413</v>
      </c>
      <c r="K4">
        <f>H13</f>
        <v>0</v>
      </c>
      <c r="R4" s="15"/>
      <c r="S4" s="15"/>
      <c r="T4" s="15"/>
      <c r="U4" s="15"/>
    </row>
    <row r="5" spans="1:21" x14ac:dyDescent="0.3">
      <c r="A5" t="s">
        <v>11</v>
      </c>
      <c r="B5">
        <v>154.21</v>
      </c>
      <c r="C5" s="3">
        <v>33.71</v>
      </c>
      <c r="D5">
        <f>C5/B5</f>
        <v>0.21859801569288631</v>
      </c>
      <c r="E5" s="1">
        <v>1.04</v>
      </c>
      <c r="F5">
        <f>C5/E5/1000</f>
        <v>3.2413461538461537E-2</v>
      </c>
      <c r="G5">
        <f>D5/$F$6</f>
        <v>1.285688284539659E-2</v>
      </c>
      <c r="H5">
        <f>G5*1000</f>
        <v>12.856882845396589</v>
      </c>
      <c r="J5">
        <f>H18</f>
        <v>121.54105225480212</v>
      </c>
      <c r="K5">
        <f>H21</f>
        <v>100.19600107958647</v>
      </c>
      <c r="R5" s="15"/>
      <c r="S5" s="15"/>
      <c r="T5" s="15"/>
      <c r="U5" s="15"/>
    </row>
    <row r="6" spans="1:21" x14ac:dyDescent="0.3">
      <c r="A6" t="s">
        <v>12</v>
      </c>
      <c r="F6">
        <f>SUM(F2:F5)</f>
        <v>17.002411729306175</v>
      </c>
      <c r="J6">
        <f>H26</f>
        <v>252.20651894227564</v>
      </c>
      <c r="K6">
        <f>H29</f>
        <v>98.624048412988699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23</v>
      </c>
      <c r="F9">
        <f>$F$2</f>
        <v>16.409353755122705</v>
      </c>
      <c r="R9" s="15"/>
      <c r="S9" s="15"/>
      <c r="T9" s="15"/>
      <c r="U9" s="15"/>
    </row>
    <row r="10" spans="1:21" x14ac:dyDescent="0.3">
      <c r="A10" t="s">
        <v>9</v>
      </c>
      <c r="B10">
        <v>99.17</v>
      </c>
      <c r="C10" s="3">
        <f>C3+140.17</f>
        <v>208.79</v>
      </c>
      <c r="D10">
        <f>C10/B10</f>
        <v>2.1053746092568315</v>
      </c>
      <c r="E10">
        <v>0.83799999999999997</v>
      </c>
      <c r="F10">
        <f>C10/E10/1000</f>
        <v>0.24915274463007159</v>
      </c>
      <c r="G10">
        <f>D10/$F$14</f>
        <v>0.12262166376452413</v>
      </c>
      <c r="H10">
        <f>G10*1000</f>
        <v>122.62166376452413</v>
      </c>
      <c r="R10" s="15"/>
      <c r="S10" s="15"/>
      <c r="T10" s="15"/>
      <c r="U10" s="15"/>
    </row>
    <row r="11" spans="1:21" x14ac:dyDescent="0.3">
      <c r="A11" t="s">
        <v>10</v>
      </c>
      <c r="B11" s="4">
        <v>293.29000000000002</v>
      </c>
      <c r="C11" s="3">
        <v>659.73</v>
      </c>
      <c r="D11">
        <f>C11/B11</f>
        <v>2.2494118449316374</v>
      </c>
      <c r="E11" s="1">
        <v>1.3779999999999999</v>
      </c>
      <c r="F11">
        <f>C11/E11/1000</f>
        <v>0.47875907111756172</v>
      </c>
      <c r="G11">
        <f>D11/$F$14</f>
        <v>0.13101071025764302</v>
      </c>
      <c r="H11">
        <f>G11*1000</f>
        <v>131.01071025764301</v>
      </c>
    </row>
    <row r="12" spans="1:21" x14ac:dyDescent="0.3">
      <c r="A12" t="s">
        <v>11</v>
      </c>
      <c r="B12">
        <v>154.21</v>
      </c>
      <c r="C12" s="3">
        <v>33.71</v>
      </c>
      <c r="D12">
        <f>C12/B12</f>
        <v>0.21859801569288631</v>
      </c>
      <c r="E12" s="1">
        <v>1.04</v>
      </c>
      <c r="F12">
        <f>C12/E12/1000</f>
        <v>3.2413461538461537E-2</v>
      </c>
      <c r="G12">
        <f>D12/$F$14</f>
        <v>1.2731630875584189E-2</v>
      </c>
      <c r="H12">
        <f>G12*1000</f>
        <v>12.731630875584189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17.169679032408798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23</v>
      </c>
      <c r="F17">
        <f>$F$2</f>
        <v>16.409353755122705</v>
      </c>
    </row>
    <row r="18" spans="1:8" x14ac:dyDescent="0.3">
      <c r="A18" t="s">
        <v>9</v>
      </c>
      <c r="B18">
        <v>99.17</v>
      </c>
      <c r="C18" s="3">
        <f>C10</f>
        <v>208.79</v>
      </c>
      <c r="D18">
        <f>C18/B18</f>
        <v>2.1053746092568315</v>
      </c>
      <c r="E18">
        <v>0.83799999999999997</v>
      </c>
      <c r="F18">
        <f>C18/E18/1000</f>
        <v>0.24915274463007159</v>
      </c>
      <c r="G18">
        <f>D18/$F$22</f>
        <v>0.12154105225480212</v>
      </c>
      <c r="H18">
        <f>G18*1000</f>
        <v>121.54105225480212</v>
      </c>
    </row>
    <row r="19" spans="1:8" x14ac:dyDescent="0.3">
      <c r="A19" t="s">
        <v>10</v>
      </c>
      <c r="B19" s="4">
        <v>293.29000000000002</v>
      </c>
      <c r="C19" s="3">
        <v>659.73</v>
      </c>
      <c r="D19">
        <f>C19/B19</f>
        <v>2.2494118449316374</v>
      </c>
      <c r="E19" s="1">
        <v>1.3779999999999999</v>
      </c>
      <c r="F19">
        <f>C19/E19/1000</f>
        <v>0.47875907111756172</v>
      </c>
      <c r="G19">
        <f>D19/$F$22</f>
        <v>0.12985616972169717</v>
      </c>
      <c r="H19">
        <f>G19*1000</f>
        <v>129.85616972169717</v>
      </c>
    </row>
    <row r="20" spans="1:8" x14ac:dyDescent="0.3">
      <c r="A20" t="s">
        <v>11</v>
      </c>
      <c r="B20">
        <v>154.21</v>
      </c>
      <c r="C20" s="3">
        <v>33.71</v>
      </c>
      <c r="D20">
        <f>C20/B20</f>
        <v>0.21859801569288631</v>
      </c>
      <c r="E20" s="1">
        <v>1.04</v>
      </c>
      <c r="F20">
        <f>C20/E20/1000</f>
        <v>3.2413461538461537E-2</v>
      </c>
      <c r="G20">
        <f>D20/$F$22</f>
        <v>1.261943253771048E-2</v>
      </c>
      <c r="H20">
        <f>G20*1000</f>
        <v>12.61943253771048</v>
      </c>
    </row>
    <row r="21" spans="1:8" x14ac:dyDescent="0.3">
      <c r="A21" t="s">
        <v>13</v>
      </c>
      <c r="B21">
        <v>94.11</v>
      </c>
      <c r="C21" s="3">
        <v>163.34</v>
      </c>
      <c r="D21">
        <f>C21/B21</f>
        <v>1.7356285198172352</v>
      </c>
      <c r="E21">
        <v>1.07</v>
      </c>
      <c r="F21">
        <f>C21/E21/1000</f>
        <v>0.15265420560747664</v>
      </c>
      <c r="G21">
        <f>D21/$F$22</f>
        <v>0.10019600107958647</v>
      </c>
      <c r="H21">
        <f>G21*1000</f>
        <v>100.19600107958647</v>
      </c>
    </row>
    <row r="22" spans="1:8" x14ac:dyDescent="0.3">
      <c r="A22" t="s">
        <v>12</v>
      </c>
      <c r="F22">
        <f>SUM(F17:F21)</f>
        <v>17.322333238016274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23</v>
      </c>
      <c r="F25">
        <f>$F$2</f>
        <v>16.409353755122705</v>
      </c>
    </row>
    <row r="26" spans="1:8" x14ac:dyDescent="0.3">
      <c r="A26" t="s">
        <v>9</v>
      </c>
      <c r="B26">
        <v>99.17</v>
      </c>
      <c r="C26" s="3">
        <f>C18+231.37</f>
        <v>440.15999999999997</v>
      </c>
      <c r="D26">
        <f>C26/B26</f>
        <v>4.4384390440657455</v>
      </c>
      <c r="E26">
        <v>0.83799999999999997</v>
      </c>
      <c r="F26">
        <f>C26/E26/1000</f>
        <v>0.52525059665871121</v>
      </c>
      <c r="G26">
        <f>D26/$F$30</f>
        <v>0.25220651894227564</v>
      </c>
      <c r="H26">
        <f>G26*1000</f>
        <v>252.20651894227564</v>
      </c>
    </row>
    <row r="27" spans="1:8" x14ac:dyDescent="0.3">
      <c r="A27" t="s">
        <v>10</v>
      </c>
      <c r="B27" s="4">
        <v>293.29000000000002</v>
      </c>
      <c r="C27" s="3">
        <v>659.73</v>
      </c>
      <c r="D27">
        <f>C27/B27</f>
        <v>2.2494118449316374</v>
      </c>
      <c r="E27" s="1">
        <v>1.3779999999999999</v>
      </c>
      <c r="F27">
        <f>C27/E27/1000</f>
        <v>0.47875907111756172</v>
      </c>
      <c r="G27">
        <f>D27/$F$30</f>
        <v>0.12781888529847898</v>
      </c>
      <c r="H27">
        <f>G27*1000</f>
        <v>127.81888529847899</v>
      </c>
    </row>
    <row r="28" spans="1:8" x14ac:dyDescent="0.3">
      <c r="A28" t="s">
        <v>11</v>
      </c>
      <c r="B28">
        <v>154.21</v>
      </c>
      <c r="C28" s="3">
        <v>33.71</v>
      </c>
      <c r="D28">
        <f>C28/B28</f>
        <v>0.21859801569288631</v>
      </c>
      <c r="E28" s="1">
        <v>1.04</v>
      </c>
      <c r="F28">
        <f>C28/E28/1000</f>
        <v>3.2413461538461537E-2</v>
      </c>
      <c r="G28">
        <f>D28/$F$30</f>
        <v>1.242144908113672E-2</v>
      </c>
      <c r="H28">
        <f>G28*1000</f>
        <v>12.42144908113672</v>
      </c>
    </row>
    <row r="29" spans="1:8" x14ac:dyDescent="0.3">
      <c r="A29" t="s">
        <v>13</v>
      </c>
      <c r="B29">
        <v>94.11</v>
      </c>
      <c r="C29" s="3">
        <v>163.34</v>
      </c>
      <c r="D29">
        <f>C29/B29</f>
        <v>1.7356285198172352</v>
      </c>
      <c r="E29">
        <v>1.07</v>
      </c>
      <c r="F29">
        <f>C29/E29/1000</f>
        <v>0.15265420560747664</v>
      </c>
      <c r="G29">
        <f>D29/$F$30</f>
        <v>9.8624048412988705E-2</v>
      </c>
      <c r="H29">
        <f>G29*1000</f>
        <v>98.624048412988699</v>
      </c>
    </row>
    <row r="30" spans="1:8" x14ac:dyDescent="0.3">
      <c r="A30" t="s">
        <v>12</v>
      </c>
      <c r="F30">
        <f>SUM(F25:F29)</f>
        <v>17.598431090044915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115</v>
      </c>
      <c r="E34">
        <f>D34+273.15</f>
        <v>388.15</v>
      </c>
      <c r="F34">
        <f>E34*$B$33+$A$33</f>
        <v>1.005160695</v>
      </c>
    </row>
    <row r="35" spans="1:6" x14ac:dyDescent="0.3">
      <c r="C35" t="s">
        <v>21</v>
      </c>
      <c r="D35">
        <f>F33/F34</f>
        <v>1.0939569170081804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U35"/>
  <sheetViews>
    <sheetView topLeftCell="K1" workbookViewId="0">
      <selection activeCell="V15" sqref="R1:V15"/>
    </sheetView>
  </sheetViews>
  <sheetFormatPr defaultRowHeight="14.4" x14ac:dyDescent="0.3"/>
  <cols>
    <col min="1" max="1" width="14.33203125" bestFit="1" customWidth="1"/>
    <col min="2" max="2" width="6.6640625" bestFit="1" customWidth="1"/>
    <col min="3" max="3" width="6.33203125" bestFit="1" customWidth="1"/>
    <col min="4" max="4" width="11.6640625" bestFit="1" customWidth="1"/>
    <col min="5" max="5" width="6.5546875" bestFit="1" customWidth="1"/>
    <col min="6" max="8" width="11.6640625" bestFit="1" customWidth="1"/>
    <col min="10" max="11" width="1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15*$D$35</f>
        <v>16.659126116282771</v>
      </c>
      <c r="R2" s="15"/>
      <c r="S2" s="15"/>
      <c r="T2" s="15"/>
      <c r="U2" s="15"/>
    </row>
    <row r="3" spans="1:21" ht="15.6" customHeight="1" x14ac:dyDescent="0.3">
      <c r="A3" t="s">
        <v>9</v>
      </c>
      <c r="B3">
        <v>99.17</v>
      </c>
      <c r="C3" s="5">
        <v>56.27</v>
      </c>
      <c r="D3">
        <f>C3/B3</f>
        <v>0.56740949884037517</v>
      </c>
      <c r="E3">
        <v>0.83799999999999997</v>
      </c>
      <c r="F3">
        <f>C3/E3/1000</f>
        <v>6.7147971360381878E-2</v>
      </c>
      <c r="G3">
        <f>D3/$F$6</f>
        <v>3.3164949510890648E-2</v>
      </c>
      <c r="H3">
        <f>G3*1000</f>
        <v>33.164949510890651</v>
      </c>
      <c r="J3">
        <f>H3</f>
        <v>33.164949510890651</v>
      </c>
      <c r="K3">
        <f>H6</f>
        <v>0</v>
      </c>
      <c r="R3" s="15"/>
      <c r="S3" s="15"/>
      <c r="T3" s="15"/>
      <c r="U3" s="15"/>
    </row>
    <row r="4" spans="1:21" ht="15.6" customHeight="1" x14ac:dyDescent="0.3">
      <c r="A4" t="s">
        <v>10</v>
      </c>
      <c r="B4" s="4">
        <v>293.29000000000002</v>
      </c>
      <c r="C4" s="5">
        <v>485.1</v>
      </c>
      <c r="D4">
        <f>C4/B4</f>
        <v>1.6539943400729653</v>
      </c>
      <c r="E4" s="1">
        <v>1.3779999999999999</v>
      </c>
      <c r="F4">
        <f>C4/E4/1000</f>
        <v>0.35203193033381719</v>
      </c>
      <c r="G4">
        <f>D4/$F$6</f>
        <v>9.667557362350504E-2</v>
      </c>
      <c r="H4">
        <f>G4*1000</f>
        <v>96.675573623505045</v>
      </c>
      <c r="J4">
        <f>H10</f>
        <v>100.14149698040272</v>
      </c>
      <c r="K4">
        <f>H13</f>
        <v>0</v>
      </c>
      <c r="R4" s="15"/>
      <c r="S4" s="15"/>
      <c r="T4" s="15"/>
      <c r="U4" s="15"/>
    </row>
    <row r="5" spans="1:21" ht="15.6" customHeight="1" x14ac:dyDescent="0.3">
      <c r="A5" t="s">
        <v>11</v>
      </c>
      <c r="B5">
        <v>154.21</v>
      </c>
      <c r="C5" s="5">
        <v>31.62</v>
      </c>
      <c r="D5">
        <f>C5/B5</f>
        <v>0.20504506841320277</v>
      </c>
      <c r="E5" s="1">
        <v>1.04</v>
      </c>
      <c r="F5">
        <f>C5/E5/1000</f>
        <v>3.0403846153846153E-2</v>
      </c>
      <c r="G5">
        <f>D5/$F$6</f>
        <v>1.1984835212097967E-2</v>
      </c>
      <c r="H5">
        <f>G5*1000</f>
        <v>11.984835212097966</v>
      </c>
      <c r="J5">
        <f>H18</f>
        <v>99.036290804880451</v>
      </c>
      <c r="K5">
        <f>H21</f>
        <v>125.48078529737255</v>
      </c>
      <c r="R5" s="15"/>
      <c r="S5" s="15"/>
      <c r="T5" s="15"/>
      <c r="U5" s="15"/>
    </row>
    <row r="6" spans="1:21" x14ac:dyDescent="0.3">
      <c r="A6" t="s">
        <v>12</v>
      </c>
      <c r="F6">
        <f>SUM(F2:F5)</f>
        <v>17.108709864130812</v>
      </c>
      <c r="H6">
        <v>0</v>
      </c>
      <c r="J6">
        <f>H26</f>
        <v>211.06402035191891</v>
      </c>
      <c r="K6">
        <f>H29</f>
        <v>123.797494742891</v>
      </c>
    </row>
    <row r="7" spans="1:21" x14ac:dyDescent="0.3">
      <c r="R7" s="16"/>
      <c r="S7" s="16"/>
      <c r="T7" s="16"/>
      <c r="U7" s="16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6"/>
      <c r="S8" s="16"/>
      <c r="T8" s="16"/>
      <c r="U8" s="16"/>
    </row>
    <row r="9" spans="1:21" x14ac:dyDescent="0.3">
      <c r="A9" t="s">
        <v>8</v>
      </c>
      <c r="F9">
        <f>$F$2</f>
        <v>16.659126116282771</v>
      </c>
      <c r="R9" s="16"/>
      <c r="S9" s="16"/>
      <c r="T9" s="16"/>
      <c r="U9" s="16"/>
    </row>
    <row r="10" spans="1:21" x14ac:dyDescent="0.3">
      <c r="A10" t="s">
        <v>9</v>
      </c>
      <c r="B10">
        <v>99.17</v>
      </c>
      <c r="C10" s="3">
        <f>C3+115</f>
        <v>171.27</v>
      </c>
      <c r="D10">
        <f>C10/B10</f>
        <v>1.7270343853988102</v>
      </c>
      <c r="E10">
        <v>0.83799999999999997</v>
      </c>
      <c r="F10">
        <f>C10/E10/1000</f>
        <v>0.20437947494033415</v>
      </c>
      <c r="G10">
        <f>D10/$F$14</f>
        <v>0.10014149698040273</v>
      </c>
      <c r="H10">
        <f>G10*1000</f>
        <v>100.14149698040272</v>
      </c>
      <c r="R10" s="16"/>
      <c r="S10" s="16"/>
      <c r="T10" s="16"/>
      <c r="U10" s="16"/>
    </row>
    <row r="11" spans="1:21" x14ac:dyDescent="0.3">
      <c r="A11" t="s">
        <v>10</v>
      </c>
      <c r="B11" s="4">
        <v>293.29000000000002</v>
      </c>
      <c r="C11" s="3">
        <f>C4</f>
        <v>485.1</v>
      </c>
      <c r="D11">
        <f>C11/B11</f>
        <v>1.6539943400729653</v>
      </c>
      <c r="E11" s="1">
        <v>1.3779999999999999</v>
      </c>
      <c r="F11">
        <f>C11/E11/1000</f>
        <v>0.35203193033381719</v>
      </c>
      <c r="G11">
        <f>D11/$F$14</f>
        <v>9.5906294983102866E-2</v>
      </c>
      <c r="H11">
        <f>G11*1000</f>
        <v>95.906294983102867</v>
      </c>
    </row>
    <row r="12" spans="1:21" x14ac:dyDescent="0.3">
      <c r="A12" t="s">
        <v>11</v>
      </c>
      <c r="B12">
        <v>154.21</v>
      </c>
      <c r="C12" s="3">
        <f>$C$5</f>
        <v>31.62</v>
      </c>
      <c r="D12">
        <f>C12/B12</f>
        <v>0.20504506841320277</v>
      </c>
      <c r="E12" s="1">
        <v>1.04</v>
      </c>
      <c r="F12">
        <f>C12/E12/1000</f>
        <v>3.0403846153846153E-2</v>
      </c>
      <c r="G12">
        <f>D12/$F$14</f>
        <v>1.1889468022725891E-2</v>
      </c>
      <c r="H12">
        <f>G12*1000</f>
        <v>11.889468022725891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17.245941367710767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16.659126116282771</v>
      </c>
    </row>
    <row r="18" spans="1:8" x14ac:dyDescent="0.3">
      <c r="A18" t="s">
        <v>9</v>
      </c>
      <c r="B18">
        <v>99.17</v>
      </c>
      <c r="C18" s="3">
        <f>C10</f>
        <v>171.27</v>
      </c>
      <c r="D18">
        <f>C18/B18</f>
        <v>1.7270343853988102</v>
      </c>
      <c r="E18">
        <v>0.83799999999999997</v>
      </c>
      <c r="F18">
        <f>C18/E18/1000</f>
        <v>0.20437947494033415</v>
      </c>
      <c r="G18">
        <f>D18/$F$22</f>
        <v>9.9036290804880453E-2</v>
      </c>
      <c r="H18">
        <f>G18*1000</f>
        <v>99.036290804880451</v>
      </c>
    </row>
    <row r="19" spans="1:8" x14ac:dyDescent="0.3">
      <c r="A19" t="s">
        <v>10</v>
      </c>
      <c r="B19" s="4">
        <v>293.29000000000002</v>
      </c>
      <c r="C19" s="3">
        <f>C4</f>
        <v>485.1</v>
      </c>
      <c r="D19">
        <f>C19/B19</f>
        <v>1.6539943400729653</v>
      </c>
      <c r="E19" s="1">
        <v>1.3779999999999999</v>
      </c>
      <c r="F19">
        <f>C19/E19/1000</f>
        <v>0.35203193033381719</v>
      </c>
      <c r="G19">
        <f>D19/$F$22</f>
        <v>9.484783038368183E-2</v>
      </c>
      <c r="H19">
        <f>G19*1000</f>
        <v>94.847830383681824</v>
      </c>
    </row>
    <row r="20" spans="1:8" x14ac:dyDescent="0.3">
      <c r="A20" t="s">
        <v>11</v>
      </c>
      <c r="B20">
        <v>154.21</v>
      </c>
      <c r="C20" s="3">
        <f>$C$5</f>
        <v>31.62</v>
      </c>
      <c r="D20">
        <f>C20/B20</f>
        <v>0.20504506841320277</v>
      </c>
      <c r="E20" s="1">
        <v>1.04</v>
      </c>
      <c r="F20">
        <f>C20/E20/1000</f>
        <v>3.0403846153846153E-2</v>
      </c>
      <c r="G20">
        <f>D20/$F$22</f>
        <v>1.1758250556654231E-2</v>
      </c>
      <c r="H20">
        <f>G20*1000</f>
        <v>11.758250556654231</v>
      </c>
    </row>
    <row r="21" spans="1:8" ht="15.6" customHeight="1" x14ac:dyDescent="0.3">
      <c r="A21" t="s">
        <v>13</v>
      </c>
      <c r="B21">
        <v>94.11</v>
      </c>
      <c r="C21" s="5">
        <v>205.93</v>
      </c>
      <c r="D21">
        <f>C21/B21</f>
        <v>2.1881840399532462</v>
      </c>
      <c r="E21">
        <v>1.07</v>
      </c>
      <c r="F21">
        <f>C21/E21/1000</f>
        <v>0.19245794392523366</v>
      </c>
      <c r="G21">
        <f>D21/$F$22</f>
        <v>0.12548078529737255</v>
      </c>
      <c r="H21">
        <f>G21*1000</f>
        <v>125.48078529737255</v>
      </c>
    </row>
    <row r="22" spans="1:8" x14ac:dyDescent="0.3">
      <c r="A22" t="s">
        <v>12</v>
      </c>
      <c r="F22">
        <f>SUM(F17:F21)</f>
        <v>17.438399311636001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16.659126116282771</v>
      </c>
    </row>
    <row r="26" spans="1:8" x14ac:dyDescent="0.3">
      <c r="A26" t="s">
        <v>9</v>
      </c>
      <c r="B26">
        <v>99.17</v>
      </c>
      <c r="C26" s="3">
        <f>C18+198.7</f>
        <v>369.97</v>
      </c>
      <c r="D26">
        <f>C26/B26</f>
        <v>3.7306645154784714</v>
      </c>
      <c r="E26">
        <v>0.83799999999999997</v>
      </c>
      <c r="F26">
        <f>C26/E26/1000</f>
        <v>0.44149164677804298</v>
      </c>
      <c r="G26">
        <f>D26/$F$30</f>
        <v>0.2110640203519189</v>
      </c>
      <c r="H26">
        <f>G26*1000</f>
        <v>211.06402035191891</v>
      </c>
    </row>
    <row r="27" spans="1:8" x14ac:dyDescent="0.3">
      <c r="A27" t="s">
        <v>10</v>
      </c>
      <c r="B27" s="4">
        <v>293.29000000000002</v>
      </c>
      <c r="C27" s="3">
        <f>C4</f>
        <v>485.1</v>
      </c>
      <c r="D27">
        <f>C27/B27</f>
        <v>1.6539943400729653</v>
      </c>
      <c r="E27" s="1">
        <v>1.3779999999999999</v>
      </c>
      <c r="F27">
        <f>C27/E27/1000</f>
        <v>0.35203193033381719</v>
      </c>
      <c r="G27">
        <f>D27/$F$30</f>
        <v>9.3575472575117322E-2</v>
      </c>
      <c r="H27">
        <f>G27*1000</f>
        <v>93.575472575117317</v>
      </c>
    </row>
    <row r="28" spans="1:8" x14ac:dyDescent="0.3">
      <c r="A28" t="s">
        <v>11</v>
      </c>
      <c r="B28">
        <v>154.21</v>
      </c>
      <c r="C28" s="3">
        <f>$C$5</f>
        <v>31.62</v>
      </c>
      <c r="D28">
        <f>C28/B28</f>
        <v>0.20504506841320277</v>
      </c>
      <c r="E28" s="1">
        <v>1.04</v>
      </c>
      <c r="F28">
        <f>C28/E28/1000</f>
        <v>3.0403846153846153E-2</v>
      </c>
      <c r="G28">
        <f>D28/$F$30</f>
        <v>1.1600516828320147E-2</v>
      </c>
      <c r="H28">
        <f>G28*1000</f>
        <v>11.600516828320147</v>
      </c>
    </row>
    <row r="29" spans="1:8" x14ac:dyDescent="0.3">
      <c r="A29" t="s">
        <v>13</v>
      </c>
      <c r="B29">
        <v>94.11</v>
      </c>
      <c r="C29" s="3">
        <f>C21</f>
        <v>205.93</v>
      </c>
      <c r="D29">
        <f>C29/B29</f>
        <v>2.1881840399532462</v>
      </c>
      <c r="E29">
        <v>1.07</v>
      </c>
      <c r="F29">
        <f>C29/E29/1000</f>
        <v>0.19245794392523366</v>
      </c>
      <c r="G29">
        <f>D29/$F$30</f>
        <v>0.12379749474289101</v>
      </c>
      <c r="H29">
        <f>G29*1000</f>
        <v>123.797494742891</v>
      </c>
    </row>
    <row r="30" spans="1:8" x14ac:dyDescent="0.3">
      <c r="A30" t="s">
        <v>12</v>
      </c>
      <c r="F30">
        <f>SUM(F25:F29)</f>
        <v>17.675511483473709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130</v>
      </c>
      <c r="E34">
        <f>D34+273.15</f>
        <v>403.15</v>
      </c>
      <c r="F34">
        <f>E34*$B$33+$A$33</f>
        <v>0.99009019500000006</v>
      </c>
    </row>
    <row r="35" spans="1:6" x14ac:dyDescent="0.3">
      <c r="C35" t="s">
        <v>21</v>
      </c>
      <c r="D35">
        <f>F33/F34</f>
        <v>1.1106084077521847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5"/>
  <sheetViews>
    <sheetView zoomScale="85" zoomScaleNormal="85" workbookViewId="0">
      <selection activeCell="U17" sqref="Q1:U17"/>
    </sheetView>
  </sheetViews>
  <sheetFormatPr defaultColWidth="16.1093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15*$D$35</f>
        <v>16.916619745819595</v>
      </c>
      <c r="R2" s="15"/>
      <c r="S2" s="15"/>
      <c r="T2" s="15"/>
      <c r="U2" s="15"/>
    </row>
    <row r="3" spans="1:21" x14ac:dyDescent="0.3">
      <c r="A3" t="s">
        <v>9</v>
      </c>
      <c r="B3">
        <v>99.17</v>
      </c>
      <c r="C3" s="3">
        <v>63.01</v>
      </c>
      <c r="D3">
        <f>C3/B3</f>
        <v>0.63537360088736505</v>
      </c>
      <c r="E3">
        <v>0.83799999999999997</v>
      </c>
      <c r="F3">
        <f>C3/E3/1000</f>
        <v>7.5190930787589497E-2</v>
      </c>
      <c r="G3">
        <f>D3/$F$6</f>
        <v>3.634280460206446E-2</v>
      </c>
      <c r="H3">
        <f>G3*1000</f>
        <v>36.342804602064462</v>
      </c>
      <c r="J3">
        <f>H3</f>
        <v>36.342804602064462</v>
      </c>
      <c r="K3">
        <f>H6</f>
        <v>0</v>
      </c>
      <c r="R3" s="15"/>
      <c r="S3" s="15"/>
      <c r="T3" s="15"/>
      <c r="U3" s="15"/>
    </row>
    <row r="4" spans="1:21" x14ac:dyDescent="0.3">
      <c r="A4" t="s">
        <v>10</v>
      </c>
      <c r="B4" s="4">
        <v>293.29000000000002</v>
      </c>
      <c r="C4" s="3">
        <v>647.22</v>
      </c>
      <c r="D4">
        <f>C4/B4</f>
        <v>2.2067578164956188</v>
      </c>
      <c r="E4" s="1">
        <v>1.3779999999999999</v>
      </c>
      <c r="F4">
        <f>C4/E4/1000</f>
        <v>0.46968069666182877</v>
      </c>
      <c r="G4">
        <f>D4/$F$6</f>
        <v>0.12622458348438054</v>
      </c>
      <c r="H4">
        <f>G4*1000</f>
        <v>126.22458348438053</v>
      </c>
      <c r="J4">
        <f>H10</f>
        <v>96.379145783664939</v>
      </c>
      <c r="K4">
        <f>H13</f>
        <v>0</v>
      </c>
      <c r="R4" s="15"/>
      <c r="S4" s="15"/>
      <c r="T4" s="15"/>
      <c r="U4" s="15"/>
    </row>
    <row r="5" spans="1:21" x14ac:dyDescent="0.3">
      <c r="A5" t="s">
        <v>11</v>
      </c>
      <c r="B5">
        <v>154.21</v>
      </c>
      <c r="C5" s="3">
        <v>22.15</v>
      </c>
      <c r="D5">
        <f>C5/B5</f>
        <v>0.14363530250956486</v>
      </c>
      <c r="E5" s="1">
        <v>1.04</v>
      </c>
      <c r="F5">
        <f>C5/E5/1000</f>
        <v>2.129807692307692E-2</v>
      </c>
      <c r="G5">
        <f>D5/$F$6</f>
        <v>8.215811493856702E-3</v>
      </c>
      <c r="H5">
        <f>G5*1000</f>
        <v>8.2158114938567017</v>
      </c>
      <c r="J5">
        <f>H18</f>
        <v>95.438991121464539</v>
      </c>
      <c r="K5">
        <f>H21</f>
        <v>110.90834776222678</v>
      </c>
      <c r="R5" s="15"/>
      <c r="S5" s="15"/>
      <c r="T5" s="15"/>
      <c r="U5" s="15"/>
    </row>
    <row r="6" spans="1:21" x14ac:dyDescent="0.3">
      <c r="A6" t="s">
        <v>12</v>
      </c>
      <c r="F6">
        <f>SUM(F2:F5)</f>
        <v>17.48278945019209</v>
      </c>
      <c r="J6">
        <f>H26</f>
        <v>201.98635991314194</v>
      </c>
      <c r="K6">
        <f>H29</f>
        <v>109.49393471590822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8</v>
      </c>
      <c r="F9">
        <f>$F$2</f>
        <v>16.916619745819595</v>
      </c>
      <c r="R9" s="15"/>
      <c r="S9" s="15"/>
      <c r="T9" s="15"/>
      <c r="U9" s="15"/>
    </row>
    <row r="10" spans="1:21" x14ac:dyDescent="0.3">
      <c r="A10" t="s">
        <v>9</v>
      </c>
      <c r="B10">
        <v>99.17</v>
      </c>
      <c r="C10" s="3">
        <f>C3+105.29</f>
        <v>168.3</v>
      </c>
      <c r="D10">
        <f>C10/B10</f>
        <v>1.6970858122416055</v>
      </c>
      <c r="E10">
        <v>0.83799999999999997</v>
      </c>
      <c r="F10">
        <f>C10/E10/1000</f>
        <v>0.20083532219570407</v>
      </c>
      <c r="G10">
        <f>D10/$F$14</f>
        <v>9.6379145783664938E-2</v>
      </c>
      <c r="H10">
        <f>G10*1000</f>
        <v>96.379145783664939</v>
      </c>
      <c r="R10" s="15"/>
      <c r="S10" s="15"/>
      <c r="T10" s="15"/>
      <c r="U10" s="15"/>
    </row>
    <row r="11" spans="1:21" x14ac:dyDescent="0.3">
      <c r="A11" t="s">
        <v>10</v>
      </c>
      <c r="B11" s="4">
        <v>293.29000000000002</v>
      </c>
      <c r="C11" s="3">
        <v>647.22</v>
      </c>
      <c r="D11">
        <f>C11/B11</f>
        <v>2.2067578164956188</v>
      </c>
      <c r="E11" s="1">
        <v>1.3779999999999999</v>
      </c>
      <c r="F11">
        <f>C11/E11/1000</f>
        <v>0.46968069666182877</v>
      </c>
      <c r="G11">
        <f>D11/$F$14</f>
        <v>0.1253239121858821</v>
      </c>
      <c r="H11">
        <f>G11*1000</f>
        <v>125.32391218588209</v>
      </c>
    </row>
    <row r="12" spans="1:21" x14ac:dyDescent="0.3">
      <c r="A12" t="s">
        <v>11</v>
      </c>
      <c r="B12">
        <v>154.21</v>
      </c>
      <c r="C12" s="3">
        <v>22.15</v>
      </c>
      <c r="D12">
        <f>C12/B12</f>
        <v>0.14363530250956486</v>
      </c>
      <c r="E12" s="1">
        <v>1.04</v>
      </c>
      <c r="F12">
        <f>C12/E12/1000</f>
        <v>2.129807692307692E-2</v>
      </c>
      <c r="G12">
        <f>D12/$F$14</f>
        <v>8.1571878454189464E-3</v>
      </c>
      <c r="H12">
        <f>G12*1000</f>
        <v>8.1571878454189459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17.608433841600206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16.916619745819595</v>
      </c>
    </row>
    <row r="18" spans="1:8" x14ac:dyDescent="0.3">
      <c r="A18" t="s">
        <v>9</v>
      </c>
      <c r="B18">
        <v>99.17</v>
      </c>
      <c r="C18" s="3">
        <f>C10</f>
        <v>168.3</v>
      </c>
      <c r="D18">
        <f>C18/B18</f>
        <v>1.6970858122416055</v>
      </c>
      <c r="E18">
        <v>0.83799999999999997</v>
      </c>
      <c r="F18">
        <f>C18/E18/1000</f>
        <v>0.20083532219570407</v>
      </c>
      <c r="G18">
        <f>D18/$F$22</f>
        <v>9.5438991121464534E-2</v>
      </c>
      <c r="H18">
        <f>G18*1000</f>
        <v>95.438991121464539</v>
      </c>
    </row>
    <row r="19" spans="1:8" x14ac:dyDescent="0.3">
      <c r="A19" t="s">
        <v>10</v>
      </c>
      <c r="B19" s="4">
        <v>293.29000000000002</v>
      </c>
      <c r="C19" s="3">
        <v>647.22</v>
      </c>
      <c r="D19">
        <f>C19/B19</f>
        <v>2.2067578164956188</v>
      </c>
      <c r="E19" s="1">
        <v>1.3779999999999999</v>
      </c>
      <c r="F19">
        <f>C19/E19/1000</f>
        <v>0.46968069666182877</v>
      </c>
      <c r="G19">
        <f>D19/$F$22</f>
        <v>0.1241014085065984</v>
      </c>
      <c r="H19">
        <f>G19*1000</f>
        <v>124.1014085065984</v>
      </c>
    </row>
    <row r="20" spans="1:8" x14ac:dyDescent="0.3">
      <c r="A20" t="s">
        <v>11</v>
      </c>
      <c r="B20">
        <v>154.21</v>
      </c>
      <c r="C20" s="3">
        <v>22.15</v>
      </c>
      <c r="D20">
        <f>C20/B20</f>
        <v>0.14363530250956486</v>
      </c>
      <c r="E20" s="1">
        <v>1.04</v>
      </c>
      <c r="F20">
        <f>C20/E20/1000</f>
        <v>2.129807692307692E-2</v>
      </c>
      <c r="G20">
        <f>D20/$F$22</f>
        <v>8.0776165012141632E-3</v>
      </c>
      <c r="H20">
        <f>G20*1000</f>
        <v>8.0776165012141625</v>
      </c>
    </row>
    <row r="21" spans="1:8" x14ac:dyDescent="0.3">
      <c r="A21" t="s">
        <v>13</v>
      </c>
      <c r="B21">
        <v>94.11</v>
      </c>
      <c r="C21" s="3">
        <v>185.6</v>
      </c>
      <c r="D21">
        <f>C21/B21</f>
        <v>1.972160238019339</v>
      </c>
      <c r="E21">
        <v>1.07</v>
      </c>
      <c r="F21">
        <f>C21/E21/1000</f>
        <v>0.17345794392523362</v>
      </c>
      <c r="G21">
        <f>D21/$F$22</f>
        <v>0.11090834776222679</v>
      </c>
      <c r="H21">
        <f>G21*1000</f>
        <v>110.90834776222678</v>
      </c>
    </row>
    <row r="22" spans="1:8" x14ac:dyDescent="0.3">
      <c r="A22" t="s">
        <v>12</v>
      </c>
      <c r="F22">
        <f>SUM(F17:F21)</f>
        <v>17.781891785525438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16.916619745819595</v>
      </c>
    </row>
    <row r="26" spans="1:8" x14ac:dyDescent="0.3">
      <c r="A26" t="s">
        <v>9</v>
      </c>
      <c r="B26">
        <v>99.17</v>
      </c>
      <c r="C26" s="3">
        <f>C18+192.49</f>
        <v>360.79</v>
      </c>
      <c r="D26">
        <f>C26/B26</f>
        <v>3.6380961984471112</v>
      </c>
      <c r="E26">
        <v>0.83799999999999997</v>
      </c>
      <c r="F26">
        <f>C26/E26/1000</f>
        <v>0.4305369928400955</v>
      </c>
      <c r="G26">
        <f>D26/$F$30</f>
        <v>0.20198635991314193</v>
      </c>
      <c r="H26">
        <f>G26*1000</f>
        <v>201.98635991314194</v>
      </c>
    </row>
    <row r="27" spans="1:8" x14ac:dyDescent="0.3">
      <c r="A27" t="s">
        <v>10</v>
      </c>
      <c r="B27" s="4">
        <v>293.29000000000002</v>
      </c>
      <c r="C27" s="3">
        <v>647.22</v>
      </c>
      <c r="D27">
        <f>C27/B27</f>
        <v>2.2067578164956188</v>
      </c>
      <c r="E27" s="1">
        <v>1.3779999999999999</v>
      </c>
      <c r="F27">
        <f>C27/E27/1000</f>
        <v>0.46968069666182877</v>
      </c>
      <c r="G27">
        <f>D27/$F$30</f>
        <v>0.12251874448896685</v>
      </c>
      <c r="H27">
        <f>G27*1000</f>
        <v>122.51874448896685</v>
      </c>
    </row>
    <row r="28" spans="1:8" x14ac:dyDescent="0.3">
      <c r="A28" t="s">
        <v>11</v>
      </c>
      <c r="B28">
        <v>154.21</v>
      </c>
      <c r="C28" s="3">
        <v>22.15</v>
      </c>
      <c r="D28">
        <f>C28/B28</f>
        <v>0.14363530250956486</v>
      </c>
      <c r="E28" s="1">
        <v>1.04</v>
      </c>
      <c r="F28">
        <f>C28/E28/1000</f>
        <v>2.129807692307692E-2</v>
      </c>
      <c r="G28">
        <f>D28/$F$30</f>
        <v>7.9746027390132385E-3</v>
      </c>
      <c r="H28">
        <f>G28*1000</f>
        <v>7.9746027390132381</v>
      </c>
    </row>
    <row r="29" spans="1:8" x14ac:dyDescent="0.3">
      <c r="A29" t="s">
        <v>13</v>
      </c>
      <c r="B29">
        <v>94.11</v>
      </c>
      <c r="C29" s="3">
        <v>185.6</v>
      </c>
      <c r="D29">
        <f>C29/B29</f>
        <v>1.972160238019339</v>
      </c>
      <c r="E29">
        <v>1.07</v>
      </c>
      <c r="F29">
        <f>C29/E29/1000</f>
        <v>0.17345794392523362</v>
      </c>
      <c r="G29">
        <f>D29/$F$30</f>
        <v>0.10949393471590822</v>
      </c>
      <c r="H29">
        <f>G29*1000</f>
        <v>109.49393471590822</v>
      </c>
    </row>
    <row r="30" spans="1:8" x14ac:dyDescent="0.3">
      <c r="A30" t="s">
        <v>12</v>
      </c>
      <c r="F30">
        <f>SUM(F25:F29)</f>
        <v>18.01159345616983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145</v>
      </c>
      <c r="E34">
        <f>D34+273.15</f>
        <v>418.15</v>
      </c>
      <c r="F34">
        <f>E34*$B$33+$A$33</f>
        <v>0.97501969500000008</v>
      </c>
    </row>
    <row r="35" spans="1:6" x14ac:dyDescent="0.3">
      <c r="C35" t="s">
        <v>21</v>
      </c>
      <c r="D35">
        <f>F33/F34</f>
        <v>1.1277746497213064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U35"/>
  <sheetViews>
    <sheetView topLeftCell="F1" workbookViewId="0">
      <selection activeCell="M1" sqref="M1:U1048576"/>
    </sheetView>
  </sheetViews>
  <sheetFormatPr defaultRowHeight="14.4" x14ac:dyDescent="0.3"/>
  <cols>
    <col min="1" max="1" width="18.6640625" customWidth="1"/>
    <col min="2" max="2" width="6.6640625" bestFit="1" customWidth="1"/>
    <col min="3" max="3" width="35.33203125" bestFit="1" customWidth="1"/>
    <col min="4" max="4" width="11.6640625" bestFit="1" customWidth="1"/>
    <col min="5" max="5" width="7.6640625" bestFit="1" customWidth="1"/>
    <col min="6" max="8" width="11.6640625" bestFit="1" customWidth="1"/>
    <col min="10" max="11" width="1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15*D35</f>
        <v>16.040589294553083</v>
      </c>
    </row>
    <row r="3" spans="1:21" ht="15.6" customHeight="1" x14ac:dyDescent="0.3">
      <c r="A3" t="s">
        <v>9</v>
      </c>
      <c r="B3">
        <v>99.17</v>
      </c>
      <c r="C3" s="5">
        <v>61.17</v>
      </c>
      <c r="D3">
        <f>C3/B3</f>
        <v>0.61681960270243019</v>
      </c>
      <c r="E3">
        <v>0.83799999999999997</v>
      </c>
      <c r="F3">
        <f>C3/E3/1000</f>
        <v>7.2995226730310267E-2</v>
      </c>
      <c r="G3">
        <f>D3/$F$6</f>
        <v>3.7015166850470189E-2</v>
      </c>
      <c r="H3">
        <f>G3*1000</f>
        <v>37.015166850470187</v>
      </c>
      <c r="J3">
        <f>H3</f>
        <v>37.015166850470187</v>
      </c>
      <c r="K3">
        <f>H6</f>
        <v>0</v>
      </c>
    </row>
    <row r="4" spans="1:21" ht="16.2" customHeight="1" x14ac:dyDescent="0.35">
      <c r="A4" t="s">
        <v>24</v>
      </c>
      <c r="B4" s="4">
        <v>249.65</v>
      </c>
      <c r="C4" s="5">
        <v>693.22</v>
      </c>
      <c r="D4">
        <f>C4/B4</f>
        <v>2.7767674744642501</v>
      </c>
      <c r="E4" s="6">
        <v>1.3580000000000001</v>
      </c>
      <c r="F4">
        <f>C4/E4/1000</f>
        <v>0.51047128129602359</v>
      </c>
      <c r="G4">
        <f>D4/$F$6</f>
        <v>0.16663301704734876</v>
      </c>
      <c r="H4">
        <f>G4*1000</f>
        <v>166.63301704734874</v>
      </c>
      <c r="J4">
        <f>H10</f>
        <v>111.02826917972621</v>
      </c>
      <c r="K4">
        <f>H13</f>
        <v>0</v>
      </c>
    </row>
    <row r="5" spans="1:21" ht="15.6" customHeight="1" x14ac:dyDescent="0.3">
      <c r="A5" t="s">
        <v>25</v>
      </c>
      <c r="B5">
        <v>170.12</v>
      </c>
      <c r="C5" s="8">
        <v>41.51</v>
      </c>
      <c r="D5">
        <f>C5/B5</f>
        <v>0.24400423230660709</v>
      </c>
      <c r="E5" s="1">
        <v>1.04</v>
      </c>
      <c r="F5">
        <f>C5/E5/1000</f>
        <v>3.991346153846153E-2</v>
      </c>
      <c r="G5">
        <f>D5/$F$6</f>
        <v>1.4642623761435729E-2</v>
      </c>
      <c r="H5">
        <f>G5*1000</f>
        <v>14.642623761435729</v>
      </c>
      <c r="J5">
        <f>H18</f>
        <v>109.50735231965983</v>
      </c>
      <c r="K5">
        <f>H21</f>
        <v>155.74707849027737</v>
      </c>
    </row>
    <row r="6" spans="1:21" x14ac:dyDescent="0.3">
      <c r="A6" t="s">
        <v>12</v>
      </c>
      <c r="F6">
        <f>SUM(F2:F5)</f>
        <v>16.663969264117878</v>
      </c>
      <c r="H6">
        <v>0</v>
      </c>
      <c r="J6">
        <f>H26</f>
        <v>255.77121653520479</v>
      </c>
      <c r="K6">
        <f>H29</f>
        <v>153.01584920915136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8</v>
      </c>
      <c r="F9">
        <f>$F$2</f>
        <v>16.040589294553083</v>
      </c>
      <c r="R9" s="15"/>
      <c r="S9" s="15"/>
      <c r="T9" s="15"/>
      <c r="U9" s="15"/>
    </row>
    <row r="10" spans="1:21" x14ac:dyDescent="0.3">
      <c r="A10" t="s">
        <v>9</v>
      </c>
      <c r="B10">
        <v>99.17</v>
      </c>
      <c r="C10" s="3">
        <f>C3+123.94</f>
        <v>185.11</v>
      </c>
      <c r="D10">
        <f>C10/B10</f>
        <v>1.8665927195724514</v>
      </c>
      <c r="E10">
        <v>0.83799999999999997</v>
      </c>
      <c r="F10">
        <f>C10/E10/1000</f>
        <v>0.22089498806682578</v>
      </c>
      <c r="G10">
        <f>D10/$F$14</f>
        <v>0.11102826917972621</v>
      </c>
      <c r="H10">
        <f>G10*1000</f>
        <v>111.02826917972621</v>
      </c>
      <c r="R10" s="15"/>
      <c r="S10" s="15"/>
      <c r="T10" s="15"/>
      <c r="U10" s="15"/>
    </row>
    <row r="11" spans="1:21" x14ac:dyDescent="0.3">
      <c r="A11" t="str">
        <f>$A$4</f>
        <v>Ar-4Cl-Oph</v>
      </c>
      <c r="B11" s="4">
        <f>$B$4</f>
        <v>249.65</v>
      </c>
      <c r="C11" s="3">
        <f>C4</f>
        <v>693.22</v>
      </c>
      <c r="D11">
        <f>C11/B11</f>
        <v>2.7767674744642501</v>
      </c>
      <c r="E11" s="1">
        <f>$E$4</f>
        <v>1.3580000000000001</v>
      </c>
      <c r="F11">
        <f>C11/E11/1000</f>
        <v>0.51047128129602359</v>
      </c>
      <c r="G11">
        <f>D11/$F$14</f>
        <v>0.16516708940927521</v>
      </c>
      <c r="H11">
        <f>G11*1000</f>
        <v>165.16708940927521</v>
      </c>
    </row>
    <row r="12" spans="1:21" x14ac:dyDescent="0.3">
      <c r="A12" t="str">
        <f>$A$5</f>
        <v>Diphenyl ether</v>
      </c>
      <c r="B12">
        <f>$B$5</f>
        <v>170.12</v>
      </c>
      <c r="C12" s="3">
        <f>$C$5</f>
        <v>41.51</v>
      </c>
      <c r="D12">
        <f>C12/B12</f>
        <v>0.24400423230660709</v>
      </c>
      <c r="E12" s="1">
        <v>1.04</v>
      </c>
      <c r="F12">
        <f>C12/E12/1000</f>
        <v>3.991346153846153E-2</v>
      </c>
      <c r="G12">
        <f>D12/$F$14</f>
        <v>1.4513807592550653E-2</v>
      </c>
      <c r="H12">
        <f>G12*1000</f>
        <v>14.513807592550652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16.811869025454392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16.040589294553083</v>
      </c>
    </row>
    <row r="18" spans="1:8" x14ac:dyDescent="0.3">
      <c r="A18" t="s">
        <v>9</v>
      </c>
      <c r="B18">
        <v>99.17</v>
      </c>
      <c r="C18" s="3">
        <f>C10</f>
        <v>185.11</v>
      </c>
      <c r="D18">
        <f>C18/B18</f>
        <v>1.8665927195724514</v>
      </c>
      <c r="E18">
        <v>0.83799999999999997</v>
      </c>
      <c r="F18">
        <f>C18/E18/1000</f>
        <v>0.22089498806682578</v>
      </c>
      <c r="G18">
        <f>D18/$F$22</f>
        <v>0.10950735231965983</v>
      </c>
      <c r="H18">
        <f>G18*1000</f>
        <v>109.50735231965983</v>
      </c>
    </row>
    <row r="19" spans="1:8" x14ac:dyDescent="0.3">
      <c r="A19" t="str">
        <f>$A$4</f>
        <v>Ar-4Cl-Oph</v>
      </c>
      <c r="B19" s="4">
        <f>$B$4</f>
        <v>249.65</v>
      </c>
      <c r="C19" s="3">
        <f>C4</f>
        <v>693.22</v>
      </c>
      <c r="D19">
        <f>C19/B19</f>
        <v>2.7767674744642501</v>
      </c>
      <c r="E19" s="1">
        <f>$E$4</f>
        <v>1.3580000000000001</v>
      </c>
      <c r="F19">
        <f>C19/E19/1000</f>
        <v>0.51047128129602359</v>
      </c>
      <c r="G19">
        <f>D19/$F$22</f>
        <v>0.16290455381481306</v>
      </c>
      <c r="H19">
        <f>G19*1000</f>
        <v>162.90455381481306</v>
      </c>
    </row>
    <row r="20" spans="1:8" x14ac:dyDescent="0.3">
      <c r="A20" t="str">
        <f>$A$5</f>
        <v>Diphenyl ether</v>
      </c>
      <c r="B20">
        <f>$B$5</f>
        <v>170.12</v>
      </c>
      <c r="C20" s="3">
        <f>$C$5</f>
        <v>41.51</v>
      </c>
      <c r="D20">
        <f>C20/B20</f>
        <v>0.24400423230660709</v>
      </c>
      <c r="E20" s="1">
        <v>1.04</v>
      </c>
      <c r="F20">
        <f>C20/E20/1000</f>
        <v>3.991346153846153E-2</v>
      </c>
      <c r="G20">
        <f>D20/$F$22</f>
        <v>1.431499070713621E-2</v>
      </c>
      <c r="H20">
        <f>G20*1000</f>
        <v>14.314990707136211</v>
      </c>
    </row>
    <row r="21" spans="1:8" ht="15.6" customHeight="1" x14ac:dyDescent="0.3">
      <c r="A21" t="s">
        <v>13</v>
      </c>
      <c r="B21">
        <v>94.11</v>
      </c>
      <c r="C21" s="5">
        <v>249.84</v>
      </c>
      <c r="D21">
        <f>C21/B21</f>
        <v>2.6547656997131019</v>
      </c>
      <c r="E21">
        <v>1.07</v>
      </c>
      <c r="F21">
        <f>C21/E21/1000</f>
        <v>0.23349532710280374</v>
      </c>
      <c r="G21">
        <f>D21/$F$22</f>
        <v>0.15574707849027739</v>
      </c>
      <c r="H21">
        <f>G21*1000</f>
        <v>155.74707849027737</v>
      </c>
    </row>
    <row r="22" spans="1:8" x14ac:dyDescent="0.3">
      <c r="A22" t="s">
        <v>12</v>
      </c>
      <c r="F22">
        <f>SUM(F17:F21)</f>
        <v>17.045364352557197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16.040589294553083</v>
      </c>
    </row>
    <row r="26" spans="1:8" x14ac:dyDescent="0.3">
      <c r="A26" t="s">
        <v>9</v>
      </c>
      <c r="B26">
        <v>99.17</v>
      </c>
      <c r="C26" s="3">
        <f>C18+254.96</f>
        <v>440.07000000000005</v>
      </c>
      <c r="D26">
        <f>C26/B26</f>
        <v>4.4375315115458305</v>
      </c>
      <c r="E26">
        <v>0.83799999999999997</v>
      </c>
      <c r="F26">
        <f>C26/E26/1000</f>
        <v>0.52514319809069221</v>
      </c>
      <c r="G26">
        <f>D26/$F$30</f>
        <v>0.25577121653520479</v>
      </c>
      <c r="H26">
        <f>G26*1000</f>
        <v>255.77121653520479</v>
      </c>
    </row>
    <row r="27" spans="1:8" x14ac:dyDescent="0.3">
      <c r="A27" t="str">
        <f>$A$4</f>
        <v>Ar-4Cl-Oph</v>
      </c>
      <c r="B27" s="4">
        <f>$B$4</f>
        <v>249.65</v>
      </c>
      <c r="C27" s="3">
        <f>C4</f>
        <v>693.22</v>
      </c>
      <c r="D27">
        <f>C27/B27</f>
        <v>2.7767674744642501</v>
      </c>
      <c r="E27" s="1">
        <f>$E$4</f>
        <v>1.3580000000000001</v>
      </c>
      <c r="F27">
        <f>C27/E27/1000</f>
        <v>0.51047128129602359</v>
      </c>
      <c r="G27">
        <f>D27/$F$30</f>
        <v>0.16004780881695702</v>
      </c>
      <c r="H27">
        <f>G27*1000</f>
        <v>160.047808816957</v>
      </c>
    </row>
    <row r="28" spans="1:8" x14ac:dyDescent="0.3">
      <c r="A28" t="str">
        <f>$A$5</f>
        <v>Diphenyl ether</v>
      </c>
      <c r="B28">
        <f>$B$5</f>
        <v>170.12</v>
      </c>
      <c r="C28" s="3">
        <f>$C$5</f>
        <v>41.51</v>
      </c>
      <c r="D28">
        <f>C28/B28</f>
        <v>0.24400423230660709</v>
      </c>
      <c r="E28" s="1">
        <v>1.04</v>
      </c>
      <c r="F28">
        <f>C28/E28/1000</f>
        <v>3.991346153846153E-2</v>
      </c>
      <c r="G28">
        <f>D28/$F$30</f>
        <v>1.4063958571205529E-2</v>
      </c>
      <c r="H28">
        <f>G28*1000</f>
        <v>14.063958571205529</v>
      </c>
    </row>
    <row r="29" spans="1:8" x14ac:dyDescent="0.3">
      <c r="A29" t="s">
        <v>13</v>
      </c>
      <c r="B29">
        <v>94.11</v>
      </c>
      <c r="C29" s="3">
        <f>C21</f>
        <v>249.84</v>
      </c>
      <c r="D29">
        <f>C29/B29</f>
        <v>2.6547656997131019</v>
      </c>
      <c r="E29">
        <v>1.07</v>
      </c>
      <c r="F29">
        <f>C29/E29/1000</f>
        <v>0.23349532710280374</v>
      </c>
      <c r="G29">
        <f>D29/$F$30</f>
        <v>0.15301584920915134</v>
      </c>
      <c r="H29">
        <f>G29*1000</f>
        <v>153.01584920915136</v>
      </c>
    </row>
    <row r="30" spans="1:8" x14ac:dyDescent="0.3">
      <c r="A30" t="s">
        <v>12</v>
      </c>
      <c r="F30">
        <f>SUM(F25:F29)</f>
        <v>17.349612562581065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92</v>
      </c>
      <c r="E34">
        <f>D34+273.15</f>
        <v>365.15</v>
      </c>
      <c r="F34">
        <f>E34*$B$33+$A$33</f>
        <v>1.028268795</v>
      </c>
    </row>
    <row r="35" spans="1:6" x14ac:dyDescent="0.3">
      <c r="C35" t="s">
        <v>21</v>
      </c>
      <c r="D35">
        <f>F33/F34</f>
        <v>1.0693726196368722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3"/>
  <dimension ref="A1:U35"/>
  <sheetViews>
    <sheetView topLeftCell="B1" workbookViewId="0">
      <selection activeCell="Q2" sqref="Q2:U14"/>
    </sheetView>
  </sheetViews>
  <sheetFormatPr defaultRowHeight="14.4" x14ac:dyDescent="0.3"/>
  <cols>
    <col min="1" max="1" width="14.33203125" bestFit="1" customWidth="1"/>
    <col min="2" max="2" width="6.6640625" bestFit="1" customWidth="1"/>
    <col min="3" max="3" width="6.109375" bestFit="1" customWidth="1"/>
    <col min="4" max="4" width="11.6640625" bestFit="1" customWidth="1"/>
    <col min="5" max="5" width="6.5546875" bestFit="1" customWidth="1"/>
    <col min="6" max="8" width="11.6640625" bestFit="1" customWidth="1"/>
    <col min="10" max="11" width="1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15*$D$35</f>
        <v>16.040589294553083</v>
      </c>
    </row>
    <row r="3" spans="1:21" ht="15.6" customHeight="1" x14ac:dyDescent="0.3">
      <c r="A3" t="s">
        <v>9</v>
      </c>
      <c r="B3">
        <v>99.17</v>
      </c>
      <c r="C3" s="5">
        <v>60.26</v>
      </c>
      <c r="D3">
        <f>C3/B3</f>
        <v>0.6076434405566199</v>
      </c>
      <c r="E3">
        <v>0.83799999999999997</v>
      </c>
      <c r="F3">
        <f>C3/E3/1000</f>
        <v>7.1909307875894987E-2</v>
      </c>
      <c r="G3">
        <f>D3/$F$6</f>
        <v>3.6639149980822266E-2</v>
      </c>
      <c r="H3">
        <f>G3*1000</f>
        <v>36.639149980822268</v>
      </c>
      <c r="J3">
        <f>H3</f>
        <v>36.639149980822268</v>
      </c>
      <c r="K3">
        <f>H6</f>
        <v>0</v>
      </c>
    </row>
    <row r="4" spans="1:21" x14ac:dyDescent="0.3">
      <c r="A4" t="s">
        <v>26</v>
      </c>
      <c r="B4" s="4">
        <v>258.23</v>
      </c>
      <c r="C4" s="8">
        <v>610.63</v>
      </c>
      <c r="D4">
        <f>C4/B4</f>
        <v>2.3646749022189519</v>
      </c>
      <c r="E4" s="1">
        <v>1.3779999999999999</v>
      </c>
      <c r="F4">
        <f>C4/E4/1000</f>
        <v>0.44312772133526851</v>
      </c>
      <c r="G4">
        <f>D4/$F$6</f>
        <v>0.14258308839625064</v>
      </c>
      <c r="H4">
        <f>G4*1000</f>
        <v>142.58308839625064</v>
      </c>
      <c r="J4">
        <f>H10</f>
        <v>117.50221824962055</v>
      </c>
      <c r="K4">
        <f>H13</f>
        <v>0</v>
      </c>
    </row>
    <row r="5" spans="1:21" ht="15.6" customHeight="1" x14ac:dyDescent="0.3">
      <c r="A5" t="s">
        <v>11</v>
      </c>
      <c r="B5">
        <v>154.21</v>
      </c>
      <c r="C5" s="5">
        <v>30.07</v>
      </c>
      <c r="D5">
        <f>C5/B5</f>
        <v>0.19499383956941832</v>
      </c>
      <c r="E5" s="1">
        <v>1.04</v>
      </c>
      <c r="F5">
        <f>C5/E5/1000</f>
        <v>2.8913461538461537E-2</v>
      </c>
      <c r="G5">
        <f>D5/$F$6</f>
        <v>1.1757567113331821E-2</v>
      </c>
      <c r="H5">
        <f>G5*1000</f>
        <v>11.757567113331822</v>
      </c>
      <c r="J5">
        <f>H18</f>
        <v>116.11827365827938</v>
      </c>
      <c r="K5">
        <f>H21</f>
        <v>133.91235310991402</v>
      </c>
    </row>
    <row r="6" spans="1:21" x14ac:dyDescent="0.3">
      <c r="A6" t="s">
        <v>12</v>
      </c>
      <c r="F6">
        <f>SUM(F2:F5)</f>
        <v>16.584539785302709</v>
      </c>
      <c r="H6">
        <v>0</v>
      </c>
      <c r="J6">
        <f>H26</f>
        <v>260.87254641281237</v>
      </c>
      <c r="K6">
        <f>H29</f>
        <v>131.58641793414438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8</v>
      </c>
      <c r="F9">
        <f>$F$2</f>
        <v>16.040589294553083</v>
      </c>
      <c r="R9" s="15"/>
      <c r="S9" s="15"/>
      <c r="T9" s="15"/>
      <c r="U9" s="15"/>
    </row>
    <row r="10" spans="1:21" x14ac:dyDescent="0.3">
      <c r="A10" t="s">
        <v>9</v>
      </c>
      <c r="B10">
        <f>$B$3</f>
        <v>99.17</v>
      </c>
      <c r="C10" s="3">
        <f>C3+134.87</f>
        <v>195.13</v>
      </c>
      <c r="D10">
        <f>C10/B10</f>
        <v>1.967631340123021</v>
      </c>
      <c r="E10">
        <v>0.83799999999999997</v>
      </c>
      <c r="F10">
        <f>C10/E10/1000</f>
        <v>0.23285202863961815</v>
      </c>
      <c r="G10">
        <f>D10/$F$14</f>
        <v>0.11750221824962055</v>
      </c>
      <c r="H10">
        <f>G10*1000</f>
        <v>117.50221824962055</v>
      </c>
      <c r="R10" s="15"/>
      <c r="S10" s="15"/>
      <c r="T10" s="15"/>
      <c r="U10" s="15"/>
    </row>
    <row r="11" spans="1:21" x14ac:dyDescent="0.3">
      <c r="A11" t="s">
        <v>10</v>
      </c>
      <c r="B11" s="4">
        <f>$B$4</f>
        <v>258.23</v>
      </c>
      <c r="C11" s="3">
        <f>$C$4</f>
        <v>610.63</v>
      </c>
      <c r="D11">
        <f>C11/B11</f>
        <v>2.3646749022189519</v>
      </c>
      <c r="E11" s="1">
        <v>1.3779999999999999</v>
      </c>
      <c r="F11">
        <f>C11/E11/1000</f>
        <v>0.44312772133526851</v>
      </c>
      <c r="G11">
        <f>D11/$F$14</f>
        <v>0.14121270625449547</v>
      </c>
      <c r="H11">
        <f>G11*1000</f>
        <v>141.21270625449549</v>
      </c>
    </row>
    <row r="12" spans="1:21" x14ac:dyDescent="0.3">
      <c r="A12" t="s">
        <v>11</v>
      </c>
      <c r="B12">
        <f>$B$5</f>
        <v>154.21</v>
      </c>
      <c r="C12" s="3">
        <f>$C$5</f>
        <v>30.07</v>
      </c>
      <c r="D12">
        <f>C12/B12</f>
        <v>0.19499383956941832</v>
      </c>
      <c r="E12" s="1">
        <v>1.04</v>
      </c>
      <c r="F12">
        <f>C12/E12/1000</f>
        <v>2.8913461538461537E-2</v>
      </c>
      <c r="G12">
        <f>D12/$F$14</f>
        <v>1.1644563809897824E-2</v>
      </c>
      <c r="H12">
        <f>G12*1000</f>
        <v>11.644563809897825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16.745482506066434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16.040589294553083</v>
      </c>
    </row>
    <row r="18" spans="1:8" x14ac:dyDescent="0.3">
      <c r="A18" t="s">
        <v>9</v>
      </c>
      <c r="B18">
        <v>99.17</v>
      </c>
      <c r="C18" s="3">
        <f>C10</f>
        <v>195.13</v>
      </c>
      <c r="D18">
        <f>C18/B18</f>
        <v>1.967631340123021</v>
      </c>
      <c r="E18">
        <v>0.83799999999999997</v>
      </c>
      <c r="F18">
        <f>C18/E18/1000</f>
        <v>0.23285202863961815</v>
      </c>
      <c r="G18">
        <f>D18/$F$22</f>
        <v>0.11611827365827938</v>
      </c>
      <c r="H18">
        <f>G18*1000</f>
        <v>116.11827365827938</v>
      </c>
    </row>
    <row r="19" spans="1:8" x14ac:dyDescent="0.3">
      <c r="A19" t="s">
        <v>10</v>
      </c>
      <c r="B19" s="4">
        <f>$B$4</f>
        <v>258.23</v>
      </c>
      <c r="C19" s="3">
        <f>$C$4</f>
        <v>610.63</v>
      </c>
      <c r="D19">
        <f>C19/B19</f>
        <v>2.3646749022189519</v>
      </c>
      <c r="E19" s="1">
        <v>1.3779999999999999</v>
      </c>
      <c r="F19">
        <f>C19/E19/1000</f>
        <v>0.44312772133526851</v>
      </c>
      <c r="G19">
        <f>D19/$F$22</f>
        <v>0.13954949883627987</v>
      </c>
      <c r="H19">
        <f>G19*1000</f>
        <v>139.54949883627987</v>
      </c>
    </row>
    <row r="20" spans="1:8" x14ac:dyDescent="0.3">
      <c r="A20" t="s">
        <v>11</v>
      </c>
      <c r="B20">
        <f>$B$5</f>
        <v>154.21</v>
      </c>
      <c r="C20" s="3">
        <f>$C$5</f>
        <v>30.07</v>
      </c>
      <c r="D20">
        <f>C20/B20</f>
        <v>0.19499383956941832</v>
      </c>
      <c r="E20" s="1">
        <v>1.04</v>
      </c>
      <c r="F20">
        <f>C20/E20/1000</f>
        <v>2.8913461538461537E-2</v>
      </c>
      <c r="G20">
        <f>D20/$F$22</f>
        <v>1.1507413793980681E-2</v>
      </c>
      <c r="H20">
        <f>G20*1000</f>
        <v>11.507413793980682</v>
      </c>
    </row>
    <row r="21" spans="1:8" ht="15.6" customHeight="1" x14ac:dyDescent="0.3">
      <c r="A21" t="s">
        <v>13</v>
      </c>
      <c r="B21">
        <f>$B$13</f>
        <v>94.11</v>
      </c>
      <c r="C21" s="5">
        <v>213.55</v>
      </c>
      <c r="D21">
        <f>C21/B21</f>
        <v>2.2691531186908938</v>
      </c>
      <c r="E21">
        <v>1.07</v>
      </c>
      <c r="F21">
        <f>C21/E21/1000</f>
        <v>0.19957943925233645</v>
      </c>
      <c r="G21">
        <f>D21/$F$22</f>
        <v>0.13391235310991403</v>
      </c>
      <c r="H21">
        <f>G21*1000</f>
        <v>133.91235310991402</v>
      </c>
    </row>
    <row r="22" spans="1:8" x14ac:dyDescent="0.3">
      <c r="A22" t="s">
        <v>12</v>
      </c>
      <c r="F22">
        <f>SUM(F17:F21)</f>
        <v>16.94506194531877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16.040589294553083</v>
      </c>
    </row>
    <row r="26" spans="1:8" x14ac:dyDescent="0.3">
      <c r="A26" t="s">
        <v>9</v>
      </c>
      <c r="B26">
        <v>99.17</v>
      </c>
      <c r="C26" s="3">
        <f>C18+251</f>
        <v>446.13</v>
      </c>
      <c r="D26">
        <f>C26/B26</f>
        <v>4.498638701220127</v>
      </c>
      <c r="E26">
        <v>0.83799999999999997</v>
      </c>
      <c r="F26">
        <f>C26/E26/1000</f>
        <v>0.53237470167064438</v>
      </c>
      <c r="G26">
        <f>D26/$F$30</f>
        <v>0.26087254641281238</v>
      </c>
      <c r="H26">
        <f>G26*1000</f>
        <v>260.87254641281237</v>
      </c>
    </row>
    <row r="27" spans="1:8" x14ac:dyDescent="0.3">
      <c r="A27" t="s">
        <v>10</v>
      </c>
      <c r="B27" s="4">
        <f>$B$4</f>
        <v>258.23</v>
      </c>
      <c r="C27" s="3">
        <f>$C$4</f>
        <v>610.63</v>
      </c>
      <c r="D27">
        <f>C27/B27</f>
        <v>2.3646749022189519</v>
      </c>
      <c r="E27" s="1">
        <v>1.3779999999999999</v>
      </c>
      <c r="F27">
        <f>C27/E27/1000</f>
        <v>0.44312772133526851</v>
      </c>
      <c r="G27">
        <f>D27/$F$30</f>
        <v>0.1371256515916727</v>
      </c>
      <c r="H27">
        <f>G27*1000</f>
        <v>137.12565159167269</v>
      </c>
    </row>
    <row r="28" spans="1:8" x14ac:dyDescent="0.3">
      <c r="A28" t="s">
        <v>11</v>
      </c>
      <c r="B28">
        <f>$B$5</f>
        <v>154.21</v>
      </c>
      <c r="C28" s="3">
        <f>$C$5</f>
        <v>30.07</v>
      </c>
      <c r="D28">
        <f>C28/B28</f>
        <v>0.19499383956941832</v>
      </c>
      <c r="E28" s="1">
        <v>1.04</v>
      </c>
      <c r="F28">
        <f>C28/E28/1000</f>
        <v>2.8913461538461537E-2</v>
      </c>
      <c r="G28">
        <f>D28/$F$30</f>
        <v>1.1307540534315177E-2</v>
      </c>
      <c r="H28">
        <f>G28*1000</f>
        <v>11.307540534315176</v>
      </c>
    </row>
    <row r="29" spans="1:8" x14ac:dyDescent="0.3">
      <c r="A29" t="s">
        <v>13</v>
      </c>
      <c r="B29">
        <v>94.11</v>
      </c>
      <c r="C29" s="3">
        <f>C21</f>
        <v>213.55</v>
      </c>
      <c r="D29">
        <f>C29/B29</f>
        <v>2.2691531186908938</v>
      </c>
      <c r="E29">
        <v>1.07</v>
      </c>
      <c r="F29">
        <f>C29/E29/1000</f>
        <v>0.19957943925233645</v>
      </c>
      <c r="G29">
        <f>D29/$F$30</f>
        <v>0.13158641793414438</v>
      </c>
      <c r="H29">
        <f>G29*1000</f>
        <v>131.58641793414438</v>
      </c>
    </row>
    <row r="30" spans="1:8" x14ac:dyDescent="0.3">
      <c r="A30" t="s">
        <v>12</v>
      </c>
      <c r="F30">
        <f>SUM(F25:F29)</f>
        <v>17.244584618349794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92</v>
      </c>
      <c r="E34">
        <f>D34+273.15</f>
        <v>365.15</v>
      </c>
      <c r="F34">
        <f>E34*$B$33+$A$33</f>
        <v>1.028268795</v>
      </c>
    </row>
    <row r="35" spans="1:6" x14ac:dyDescent="0.3">
      <c r="C35" t="s">
        <v>21</v>
      </c>
      <c r="D35">
        <f>F33/F34</f>
        <v>1.0693726196368722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U35"/>
  <sheetViews>
    <sheetView topLeftCell="G1" zoomScale="81" workbookViewId="0">
      <selection activeCell="N2" sqref="N2:U34"/>
    </sheetView>
  </sheetViews>
  <sheetFormatPr defaultColWidth="16.3320312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23</v>
      </c>
      <c r="F2">
        <f>15*D35</f>
        <v>16.040589294553083</v>
      </c>
      <c r="J2">
        <f>N3</f>
        <v>0</v>
      </c>
      <c r="K2">
        <v>0</v>
      </c>
    </row>
    <row r="3" spans="1:21" x14ac:dyDescent="0.3">
      <c r="A3" t="s">
        <v>9</v>
      </c>
      <c r="B3">
        <v>99.17</v>
      </c>
      <c r="C3" s="3">
        <v>61.01</v>
      </c>
      <c r="D3">
        <f>C3/B3</f>
        <v>0.61520621155591404</v>
      </c>
      <c r="E3">
        <v>0.83799999999999997</v>
      </c>
      <c r="F3">
        <f>C3/E3/1000</f>
        <v>7.2804295942720768E-2</v>
      </c>
      <c r="G3">
        <f>D3/$F$6</f>
        <v>3.7071086927825347E-2</v>
      </c>
      <c r="H3">
        <f>G3*1000</f>
        <v>37.071086927825348</v>
      </c>
      <c r="J3">
        <f>N10</f>
        <v>0</v>
      </c>
      <c r="K3">
        <v>0</v>
      </c>
    </row>
    <row r="4" spans="1:21" x14ac:dyDescent="0.3">
      <c r="A4" t="s">
        <v>27</v>
      </c>
      <c r="B4" s="4">
        <v>283.20999999999998</v>
      </c>
      <c r="C4" s="3">
        <v>619.35</v>
      </c>
      <c r="D4">
        <f>C4/B4</f>
        <v>2.1868931181808553</v>
      </c>
      <c r="E4" s="1">
        <v>1.3779999999999999</v>
      </c>
      <c r="F4">
        <f>C4/E4/1000</f>
        <v>0.44945573294629904</v>
      </c>
      <c r="G4">
        <f>D4/$F$6</f>
        <v>0.1317777736361124</v>
      </c>
      <c r="H4">
        <f>G4*1000</f>
        <v>131.77777363611239</v>
      </c>
      <c r="J4">
        <f>N18</f>
        <v>0</v>
      </c>
      <c r="K4">
        <f>N21</f>
        <v>0</v>
      </c>
    </row>
    <row r="5" spans="1:21" x14ac:dyDescent="0.3">
      <c r="A5" t="s">
        <v>11</v>
      </c>
      <c r="B5">
        <v>154.21</v>
      </c>
      <c r="C5" s="3">
        <v>33.76</v>
      </c>
      <c r="D5">
        <f>C5/B5</f>
        <v>0.21892224888139547</v>
      </c>
      <c r="E5" s="1">
        <v>1.04</v>
      </c>
      <c r="F5">
        <f>C5/E5/1000</f>
        <v>3.2461538461538458E-2</v>
      </c>
      <c r="G5">
        <f>D5/$F$6</f>
        <v>1.3191813681776552E-2</v>
      </c>
      <c r="H5">
        <f>G5*1000</f>
        <v>13.191813681776551</v>
      </c>
      <c r="J5">
        <f>N26</f>
        <v>0</v>
      </c>
      <c r="K5">
        <f>N29</f>
        <v>0</v>
      </c>
    </row>
    <row r="6" spans="1:21" x14ac:dyDescent="0.3">
      <c r="A6" t="s">
        <v>12</v>
      </c>
      <c r="F6">
        <f>SUM(F2:F5)</f>
        <v>16.595310861903641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23</v>
      </c>
      <c r="F9">
        <f>$F$2</f>
        <v>16.040589294553083</v>
      </c>
      <c r="R9" s="15"/>
      <c r="S9" s="15"/>
      <c r="T9" s="15"/>
      <c r="U9" s="15"/>
    </row>
    <row r="10" spans="1:21" x14ac:dyDescent="0.3">
      <c r="A10" t="s">
        <v>9</v>
      </c>
      <c r="B10">
        <v>99.17</v>
      </c>
      <c r="C10" s="3">
        <f>C3+124.6</f>
        <v>185.60999999999999</v>
      </c>
      <c r="D10">
        <f>C10/B10</f>
        <v>1.8716345669053138</v>
      </c>
      <c r="E10">
        <v>0.83799999999999997</v>
      </c>
      <c r="F10">
        <f>C10/E10/1000</f>
        <v>0.22149164677804295</v>
      </c>
      <c r="G10">
        <f>D10/$F$14</f>
        <v>0.11177942944841932</v>
      </c>
      <c r="H10">
        <f>G10*1000</f>
        <v>111.77942944841932</v>
      </c>
      <c r="R10" s="15"/>
      <c r="S10" s="15"/>
      <c r="T10" s="15"/>
      <c r="U10" s="15"/>
    </row>
    <row r="11" spans="1:21" x14ac:dyDescent="0.3">
      <c r="A11" t="s">
        <v>27</v>
      </c>
      <c r="B11" s="4">
        <v>283.20999999999998</v>
      </c>
      <c r="C11" s="3">
        <f>$C$4</f>
        <v>619.35</v>
      </c>
      <c r="D11">
        <f>C11/B11</f>
        <v>2.1868931181808553</v>
      </c>
      <c r="E11" s="1">
        <v>1.3779999999999999</v>
      </c>
      <c r="F11">
        <f>C11/E11/1000</f>
        <v>0.44945573294629904</v>
      </c>
      <c r="G11">
        <f>D11/$F$14</f>
        <v>0.13060758191654909</v>
      </c>
      <c r="H11">
        <f>G11*1000</f>
        <v>130.60758191654909</v>
      </c>
    </row>
    <row r="12" spans="1:21" x14ac:dyDescent="0.3">
      <c r="A12" t="s">
        <v>11</v>
      </c>
      <c r="B12">
        <v>154.21</v>
      </c>
      <c r="C12" s="3">
        <f>$C$5</f>
        <v>33.76</v>
      </c>
      <c r="D12">
        <f>C12/B12</f>
        <v>0.21892224888139547</v>
      </c>
      <c r="E12" s="1">
        <v>1.04</v>
      </c>
      <c r="F12">
        <f>C12/E12/1000</f>
        <v>3.2461538461538458E-2</v>
      </c>
      <c r="G12">
        <f>D12/$F$14</f>
        <v>1.3074669866772784E-2</v>
      </c>
      <c r="H12">
        <f>G12*1000</f>
        <v>13.074669866772785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16.743998212738962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9" x14ac:dyDescent="0.3">
      <c r="A17" t="s">
        <v>23</v>
      </c>
      <c r="F17">
        <f>$F$2</f>
        <v>16.040589294553083</v>
      </c>
    </row>
    <row r="18" spans="1:9" x14ac:dyDescent="0.3">
      <c r="A18" t="s">
        <v>9</v>
      </c>
      <c r="B18">
        <v>99.17</v>
      </c>
      <c r="C18" s="3">
        <f>C10</f>
        <v>185.60999999999999</v>
      </c>
      <c r="D18">
        <f>C18/B18</f>
        <v>1.8716345669053138</v>
      </c>
      <c r="E18">
        <v>0.83799999999999997</v>
      </c>
      <c r="F18">
        <f>C18/E18/1000</f>
        <v>0.22149164677804295</v>
      </c>
      <c r="G18">
        <f>D18/$F$22</f>
        <v>0.11050458610434635</v>
      </c>
      <c r="H18">
        <f>G18*1000</f>
        <v>110.50458610434636</v>
      </c>
    </row>
    <row r="19" spans="1:9" x14ac:dyDescent="0.3">
      <c r="A19" t="s">
        <v>27</v>
      </c>
      <c r="B19" s="4">
        <v>283.20999999999998</v>
      </c>
      <c r="C19" s="3">
        <f>$C$4</f>
        <v>619.35</v>
      </c>
      <c r="D19">
        <f>C19/B19</f>
        <v>2.1868931181808553</v>
      </c>
      <c r="E19" s="1">
        <v>1.3779999999999999</v>
      </c>
      <c r="F19">
        <f>C19/E19/1000</f>
        <v>0.44945573294629904</v>
      </c>
      <c r="G19">
        <f>D19/$F$22</f>
        <v>0.1291180036702349</v>
      </c>
      <c r="H19">
        <f>G19*1000</f>
        <v>129.11800367023491</v>
      </c>
    </row>
    <row r="20" spans="1:9" x14ac:dyDescent="0.3">
      <c r="A20" t="s">
        <v>11</v>
      </c>
      <c r="B20">
        <v>154.21</v>
      </c>
      <c r="C20" s="3">
        <f>$C$5</f>
        <v>33.76</v>
      </c>
      <c r="D20">
        <f>C20/B20</f>
        <v>0.21892224888139547</v>
      </c>
      <c r="E20" s="1">
        <v>1.04</v>
      </c>
      <c r="F20">
        <f>C20/E20/1000</f>
        <v>3.2461538461538458E-2</v>
      </c>
      <c r="G20">
        <f>D20/$F$22</f>
        <v>1.2925553379617176E-2</v>
      </c>
      <c r="H20">
        <f>G20*1000</f>
        <v>12.925553379617176</v>
      </c>
    </row>
    <row r="21" spans="1:9" x14ac:dyDescent="0.3">
      <c r="A21" t="s">
        <v>13</v>
      </c>
      <c r="B21">
        <v>94.11</v>
      </c>
      <c r="C21" s="3">
        <v>206.69</v>
      </c>
      <c r="D21">
        <f>C21/B21</f>
        <v>2.196259696100308</v>
      </c>
      <c r="E21">
        <v>1.07</v>
      </c>
      <c r="F21">
        <f>C21/E21/1000</f>
        <v>0.19316822429906541</v>
      </c>
      <c r="G21">
        <f>D21/$F$22</f>
        <v>0.12967102285170612</v>
      </c>
      <c r="H21">
        <f>G21*1000</f>
        <v>129.67102285170611</v>
      </c>
    </row>
    <row r="22" spans="1:9" x14ac:dyDescent="0.3">
      <c r="A22" t="s">
        <v>12</v>
      </c>
      <c r="F22">
        <f>SUM(F17:F21)</f>
        <v>16.937166437038027</v>
      </c>
    </row>
    <row r="24" spans="1:9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9" x14ac:dyDescent="0.3">
      <c r="A25" t="s">
        <v>23</v>
      </c>
      <c r="F25">
        <f>$F$2</f>
        <v>16.040589294553083</v>
      </c>
    </row>
    <row r="26" spans="1:9" x14ac:dyDescent="0.3">
      <c r="A26" t="s">
        <v>9</v>
      </c>
      <c r="B26">
        <v>99.17</v>
      </c>
      <c r="C26" s="3">
        <f>C18+241.88</f>
        <v>427.49</v>
      </c>
      <c r="D26">
        <f>C26/B26</f>
        <v>4.3106786326510029</v>
      </c>
      <c r="E26">
        <v>0.83799999999999997</v>
      </c>
      <c r="F26">
        <f>C26/E26/1000</f>
        <v>0.51013126491646776</v>
      </c>
      <c r="G26">
        <f>D26/$F$30</f>
        <v>0.25024539454602879</v>
      </c>
      <c r="H26">
        <f>G26*1000</f>
        <v>250.24539454602879</v>
      </c>
    </row>
    <row r="27" spans="1:9" x14ac:dyDescent="0.3">
      <c r="A27" t="s">
        <v>27</v>
      </c>
      <c r="B27" s="4">
        <v>283.20999999999998</v>
      </c>
      <c r="C27" s="3">
        <f>$C$4</f>
        <v>619.35</v>
      </c>
      <c r="D27">
        <f>C27/B27</f>
        <v>2.1868931181808553</v>
      </c>
      <c r="E27" s="1">
        <v>1.3779999999999999</v>
      </c>
      <c r="F27">
        <f>C27/E27/1000</f>
        <v>0.44945573294629904</v>
      </c>
      <c r="G27">
        <f>D27/$F$30</f>
        <v>0.12695447232924589</v>
      </c>
      <c r="H27">
        <f>G27*1000</f>
        <v>126.95447232924589</v>
      </c>
      <c r="I27">
        <f>D26/D27</f>
        <v>1.9711428038315824</v>
      </c>
    </row>
    <row r="28" spans="1:9" x14ac:dyDescent="0.3">
      <c r="A28" t="s">
        <v>11</v>
      </c>
      <c r="B28">
        <v>154.21</v>
      </c>
      <c r="C28" s="3">
        <f>$C$5</f>
        <v>33.76</v>
      </c>
      <c r="D28">
        <f>C28/B28</f>
        <v>0.21892224888139547</v>
      </c>
      <c r="E28" s="1">
        <v>1.04</v>
      </c>
      <c r="F28">
        <f>C28/E28/1000</f>
        <v>3.2461538461538458E-2</v>
      </c>
      <c r="G28">
        <f>D28/$F$30</f>
        <v>1.270896979683619E-2</v>
      </c>
      <c r="H28">
        <f>G28*1000</f>
        <v>12.70896979683619</v>
      </c>
    </row>
    <row r="29" spans="1:9" x14ac:dyDescent="0.3">
      <c r="A29" t="s">
        <v>13</v>
      </c>
      <c r="B29">
        <v>94.11</v>
      </c>
      <c r="C29" s="3">
        <f>C21</f>
        <v>206.69</v>
      </c>
      <c r="D29">
        <f>C29/B29</f>
        <v>2.196259696100308</v>
      </c>
      <c r="E29">
        <v>1.07</v>
      </c>
      <c r="F29">
        <f>C29/E29/1000</f>
        <v>0.19316822429906541</v>
      </c>
      <c r="G29">
        <f>D29/$F$30</f>
        <v>0.12749822499251462</v>
      </c>
      <c r="H29">
        <f>G29*1000</f>
        <v>127.49822499251462</v>
      </c>
    </row>
    <row r="30" spans="1:9" x14ac:dyDescent="0.3">
      <c r="A30" t="s">
        <v>12</v>
      </c>
      <c r="F30">
        <f>SUM(F25:F29)</f>
        <v>17.225806055176452</v>
      </c>
    </row>
    <row r="32" spans="1:9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92</v>
      </c>
      <c r="E34">
        <f>D34+273.15</f>
        <v>365.15</v>
      </c>
      <c r="F34">
        <f>E34*$B$33+$A$33</f>
        <v>1.028268795</v>
      </c>
    </row>
    <row r="35" spans="1:6" x14ac:dyDescent="0.3">
      <c r="C35" t="s">
        <v>21</v>
      </c>
      <c r="D35">
        <f>F33/F34</f>
        <v>1.0693726196368722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6"/>
  <dimension ref="A1:U35"/>
  <sheetViews>
    <sheetView topLeftCell="E1" zoomScale="92" workbookViewId="0">
      <selection activeCell="J2" sqref="J2:R33"/>
    </sheetView>
  </sheetViews>
  <sheetFormatPr defaultColWidth="15.55468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15*D35</f>
        <v>16.040589294553083</v>
      </c>
    </row>
    <row r="3" spans="1:21" x14ac:dyDescent="0.3">
      <c r="A3" t="s">
        <v>9</v>
      </c>
      <c r="B3">
        <v>99.17</v>
      </c>
      <c r="C3" s="3">
        <v>58.87</v>
      </c>
      <c r="D3">
        <f>C3/B3</f>
        <v>0.59362710497126148</v>
      </c>
      <c r="E3">
        <v>0.83799999999999997</v>
      </c>
      <c r="F3">
        <f>C3/E3/1000</f>
        <v>7.0250596658711223E-2</v>
      </c>
      <c r="G3">
        <f>D3/$F$6</f>
        <v>3.588554443744138E-2</v>
      </c>
      <c r="H3">
        <f>G3*1000</f>
        <v>35.885544437441382</v>
      </c>
    </row>
    <row r="4" spans="1:21" ht="15.6" customHeight="1" x14ac:dyDescent="0.35">
      <c r="A4" t="s">
        <v>28</v>
      </c>
      <c r="B4" s="4">
        <v>287.27</v>
      </c>
      <c r="C4" s="3">
        <v>561.20000000000005</v>
      </c>
      <c r="D4">
        <f>C4/B4</f>
        <v>1.9535628502802245</v>
      </c>
      <c r="E4" s="6">
        <v>1.4159999999999999</v>
      </c>
      <c r="F4">
        <f>C4/E4/1000</f>
        <v>0.39632768361581922</v>
      </c>
      <c r="G4">
        <f>D4/$F$6</f>
        <v>0.11809546074965617</v>
      </c>
      <c r="H4">
        <f>G4*1000</f>
        <v>118.09546074965617</v>
      </c>
    </row>
    <row r="5" spans="1:21" x14ac:dyDescent="0.3">
      <c r="A5" t="s">
        <v>11</v>
      </c>
      <c r="B5">
        <v>154.21</v>
      </c>
      <c r="C5" s="3">
        <v>36.47</v>
      </c>
      <c r="D5">
        <f>C5/B5</f>
        <v>0.2364956876985928</v>
      </c>
      <c r="E5" s="1">
        <v>1.04</v>
      </c>
      <c r="F5">
        <f>C5/E5/1000</f>
        <v>3.5067307692307696E-2</v>
      </c>
      <c r="G5">
        <f>D5/$F$6</f>
        <v>1.4296477433559862E-2</v>
      </c>
      <c r="H5">
        <f>G5*1000</f>
        <v>14.296477433559861</v>
      </c>
    </row>
    <row r="6" spans="1:21" x14ac:dyDescent="0.3">
      <c r="A6" t="s">
        <v>12</v>
      </c>
      <c r="F6">
        <f>SUM(F2:F5)</f>
        <v>16.542234882519921</v>
      </c>
      <c r="H6">
        <v>0</v>
      </c>
    </row>
    <row r="7" spans="1:21" x14ac:dyDescent="0.3">
      <c r="R7" s="15"/>
      <c r="S7" s="15">
        <f>H10</f>
        <v>108.47435876958943</v>
      </c>
      <c r="T7" s="15">
        <f>H18</f>
        <v>107.08693589660054</v>
      </c>
      <c r="U7" s="15">
        <f>H26</f>
        <v>248.33508955302287</v>
      </c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>
        <f>H11</f>
        <v>117.07666419887843</v>
      </c>
      <c r="T8" s="15">
        <f>H19</f>
        <v>115.57921499848453</v>
      </c>
      <c r="U8" s="15">
        <f>H27</f>
        <v>113.62245430583854</v>
      </c>
    </row>
    <row r="9" spans="1:21" x14ac:dyDescent="0.3">
      <c r="A9" t="s">
        <v>8</v>
      </c>
      <c r="F9">
        <f>$F$2</f>
        <v>16.040589294553083</v>
      </c>
      <c r="R9" s="15"/>
      <c r="S9" s="15">
        <f>H13</f>
        <v>0</v>
      </c>
      <c r="T9" s="15">
        <f>H21</f>
        <v>145.42188262775139</v>
      </c>
      <c r="U9" s="15">
        <f>H29</f>
        <v>142.95988438887866</v>
      </c>
    </row>
    <row r="10" spans="1:21" x14ac:dyDescent="0.3">
      <c r="A10" t="s">
        <v>9</v>
      </c>
      <c r="B10">
        <v>99.17</v>
      </c>
      <c r="C10" s="3">
        <f>C3+120.63</f>
        <v>179.5</v>
      </c>
      <c r="D10">
        <f>C10/B10</f>
        <v>1.8100231924977312</v>
      </c>
      <c r="E10">
        <v>0.83799999999999997</v>
      </c>
      <c r="F10">
        <f>C10/E10/1000</f>
        <v>0.21420047732696898</v>
      </c>
      <c r="G10">
        <f>D10/$F$14</f>
        <v>0.10847435876958943</v>
      </c>
      <c r="H10">
        <f>G10*1000</f>
        <v>108.47435876958943</v>
      </c>
      <c r="R10" s="15"/>
      <c r="S10" s="15">
        <f>H12</f>
        <v>14.173143295184648</v>
      </c>
      <c r="T10" s="15">
        <f>H20</f>
        <v>13.991864111671273</v>
      </c>
      <c r="U10" s="15">
        <f>H28</f>
        <v>13.754981297482567</v>
      </c>
    </row>
    <row r="11" spans="1:21" x14ac:dyDescent="0.3">
      <c r="A11" t="str">
        <f>$A$4</f>
        <v>Ar-COOEt-Oph</v>
      </c>
      <c r="B11" s="4">
        <f>$B$4</f>
        <v>287.27</v>
      </c>
      <c r="C11" s="3">
        <f>C4</f>
        <v>561.20000000000005</v>
      </c>
      <c r="D11">
        <f>C11/B11</f>
        <v>1.9535628502802245</v>
      </c>
      <c r="E11" s="1">
        <f>$E$4</f>
        <v>1.4159999999999999</v>
      </c>
      <c r="F11">
        <f>C11/E11/1000</f>
        <v>0.39632768361581922</v>
      </c>
      <c r="G11">
        <f>D11/$F$14</f>
        <v>0.11707666419887844</v>
      </c>
      <c r="H11">
        <f>G11*1000</f>
        <v>117.07666419887843</v>
      </c>
    </row>
    <row r="12" spans="1:21" x14ac:dyDescent="0.3">
      <c r="A12" t="s">
        <v>11</v>
      </c>
      <c r="B12">
        <v>154.21</v>
      </c>
      <c r="C12" s="3">
        <f>$C$5</f>
        <v>36.47</v>
      </c>
      <c r="D12">
        <f>C12/B12</f>
        <v>0.2364956876985928</v>
      </c>
      <c r="E12" s="1">
        <v>1.04</v>
      </c>
      <c r="F12">
        <f>C12/E12/1000</f>
        <v>3.5067307692307696E-2</v>
      </c>
      <c r="G12">
        <f>D12/$F$14</f>
        <v>1.4173143295184648E-2</v>
      </c>
      <c r="H12">
        <f>G12*1000</f>
        <v>14.173143295184648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16.68618476318818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16.040589294553083</v>
      </c>
    </row>
    <row r="18" spans="1:8" x14ac:dyDescent="0.3">
      <c r="A18" t="s">
        <v>9</v>
      </c>
      <c r="B18">
        <v>99.17</v>
      </c>
      <c r="C18" s="3">
        <f>C10</f>
        <v>179.5</v>
      </c>
      <c r="D18">
        <f>C18/B18</f>
        <v>1.8100231924977312</v>
      </c>
      <c r="E18">
        <v>0.83799999999999997</v>
      </c>
      <c r="F18">
        <f>C18/E18/1000</f>
        <v>0.21420047732696898</v>
      </c>
      <c r="G18">
        <f>D18/$F$22</f>
        <v>0.10708693589660054</v>
      </c>
      <c r="H18">
        <f>G18*1000</f>
        <v>107.08693589660054</v>
      </c>
    </row>
    <row r="19" spans="1:8" x14ac:dyDescent="0.3">
      <c r="A19" t="str">
        <f>$A$4</f>
        <v>Ar-COOEt-Oph</v>
      </c>
      <c r="B19" s="4">
        <f>$B$4</f>
        <v>287.27</v>
      </c>
      <c r="C19" s="3">
        <f>C4</f>
        <v>561.20000000000005</v>
      </c>
      <c r="D19">
        <f>C19/B19</f>
        <v>1.9535628502802245</v>
      </c>
      <c r="E19" s="1">
        <f>$E$4</f>
        <v>1.4159999999999999</v>
      </c>
      <c r="F19">
        <f>C19/E19/1000</f>
        <v>0.39632768361581922</v>
      </c>
      <c r="G19">
        <f>D19/$F$22</f>
        <v>0.11557921499848453</v>
      </c>
      <c r="H19">
        <f>G19*1000</f>
        <v>115.57921499848453</v>
      </c>
    </row>
    <row r="20" spans="1:8" x14ac:dyDescent="0.3">
      <c r="A20" t="s">
        <v>11</v>
      </c>
      <c r="B20">
        <v>154.21</v>
      </c>
      <c r="C20" s="3">
        <f>$C$5</f>
        <v>36.47</v>
      </c>
      <c r="D20">
        <f>C20/B20</f>
        <v>0.2364956876985928</v>
      </c>
      <c r="E20" s="1">
        <v>1.04</v>
      </c>
      <c r="F20">
        <f>C20/E20/1000</f>
        <v>3.5067307692307696E-2</v>
      </c>
      <c r="G20">
        <f>D20/$F$22</f>
        <v>1.3991864111671273E-2</v>
      </c>
      <c r="H20">
        <f>G20*1000</f>
        <v>13.991864111671273</v>
      </c>
    </row>
    <row r="21" spans="1:8" x14ac:dyDescent="0.3">
      <c r="A21" t="s">
        <v>13</v>
      </c>
      <c r="B21">
        <v>94.11</v>
      </c>
      <c r="C21" s="3">
        <v>231.32</v>
      </c>
      <c r="D21">
        <f>C21/B21</f>
        <v>2.4579747104452236</v>
      </c>
      <c r="E21">
        <v>1.07</v>
      </c>
      <c r="F21">
        <f>C21/E21/1000</f>
        <v>0.21618691588785047</v>
      </c>
      <c r="G21">
        <f>D21/$F$22</f>
        <v>0.14542188262775138</v>
      </c>
      <c r="H21">
        <f>G21*1000</f>
        <v>145.42188262775139</v>
      </c>
    </row>
    <row r="22" spans="1:8" x14ac:dyDescent="0.3">
      <c r="A22" t="s">
        <v>12</v>
      </c>
      <c r="F22">
        <f>SUM(F17:F21)</f>
        <v>16.90237167907603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16.040589294553083</v>
      </c>
    </row>
    <row r="26" spans="1:8" x14ac:dyDescent="0.3">
      <c r="A26" t="s">
        <v>9</v>
      </c>
      <c r="B26">
        <v>99.17</v>
      </c>
      <c r="C26" s="3">
        <f>C18+243.93</f>
        <v>423.43</v>
      </c>
      <c r="D26">
        <f>C26/B26</f>
        <v>4.2697388323081578</v>
      </c>
      <c r="E26">
        <v>0.83799999999999997</v>
      </c>
      <c r="F26">
        <f>C26/E26/1000</f>
        <v>0.50528639618138427</v>
      </c>
      <c r="G26">
        <f>D26/$F$30</f>
        <v>0.24833508955302286</v>
      </c>
      <c r="H26">
        <f>G26*1000</f>
        <v>248.33508955302287</v>
      </c>
    </row>
    <row r="27" spans="1:8" x14ac:dyDescent="0.3">
      <c r="A27" t="str">
        <f>$A$4</f>
        <v>Ar-COOEt-Oph</v>
      </c>
      <c r="B27" s="4">
        <f>$B$4</f>
        <v>287.27</v>
      </c>
      <c r="C27" s="3">
        <f>C4</f>
        <v>561.20000000000005</v>
      </c>
      <c r="D27">
        <f>C27/B27</f>
        <v>1.9535628502802245</v>
      </c>
      <c r="E27" s="1">
        <f>$E$4</f>
        <v>1.4159999999999999</v>
      </c>
      <c r="F27">
        <f>C27/E27/1000</f>
        <v>0.39632768361581922</v>
      </c>
      <c r="G27">
        <f>D27/$F$30</f>
        <v>0.11362245430583855</v>
      </c>
      <c r="H27">
        <f>G27*1000</f>
        <v>113.62245430583854</v>
      </c>
    </row>
    <row r="28" spans="1:8" x14ac:dyDescent="0.3">
      <c r="A28" t="s">
        <v>11</v>
      </c>
      <c r="B28">
        <v>154.21</v>
      </c>
      <c r="C28" s="3">
        <f>$C$5</f>
        <v>36.47</v>
      </c>
      <c r="D28">
        <f>C28/B28</f>
        <v>0.2364956876985928</v>
      </c>
      <c r="E28" s="1">
        <v>1.04</v>
      </c>
      <c r="F28">
        <f>C28/E28/1000</f>
        <v>3.5067307692307696E-2</v>
      </c>
      <c r="G28">
        <f>D28/$F$30</f>
        <v>1.3754981297482568E-2</v>
      </c>
      <c r="H28">
        <f>G28*1000</f>
        <v>13.754981297482567</v>
      </c>
    </row>
    <row r="29" spans="1:8" x14ac:dyDescent="0.3">
      <c r="A29" t="s">
        <v>13</v>
      </c>
      <c r="B29">
        <v>94.11</v>
      </c>
      <c r="C29" s="3">
        <f>C21</f>
        <v>231.32</v>
      </c>
      <c r="D29">
        <f>C29/B29</f>
        <v>2.4579747104452236</v>
      </c>
      <c r="E29">
        <v>1.07</v>
      </c>
      <c r="F29">
        <f>C29/E29/1000</f>
        <v>0.21618691588785047</v>
      </c>
      <c r="G29">
        <f>D29/$F$30</f>
        <v>0.14295988438887866</v>
      </c>
      <c r="H29">
        <f>G29*1000</f>
        <v>142.95988438887866</v>
      </c>
    </row>
    <row r="30" spans="1:8" x14ac:dyDescent="0.3">
      <c r="A30" t="s">
        <v>12</v>
      </c>
      <c r="F30">
        <f>SUM(F25:F29)</f>
        <v>17.193457597930443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92</v>
      </c>
      <c r="E34">
        <f>D34+273.15</f>
        <v>365.15</v>
      </c>
      <c r="F34">
        <f>E34*$B$33+$A$33</f>
        <v>1.028268795</v>
      </c>
    </row>
    <row r="35" spans="1:6" x14ac:dyDescent="0.3">
      <c r="C35" t="s">
        <v>21</v>
      </c>
      <c r="D35">
        <f>F33/F34</f>
        <v>1.0693726196368722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8"/>
  <dimension ref="A1:U35"/>
  <sheetViews>
    <sheetView workbookViewId="0">
      <selection activeCell="J25" sqref="J25"/>
    </sheetView>
  </sheetViews>
  <sheetFormatPr defaultRowHeight="14.4" x14ac:dyDescent="0.3"/>
  <cols>
    <col min="1" max="1" width="14.33203125" bestFit="1" customWidth="1"/>
    <col min="2" max="2" width="6.6640625" bestFit="1" customWidth="1"/>
    <col min="3" max="3" width="5.6640625" bestFit="1" customWidth="1"/>
    <col min="4" max="4" width="11.6640625" bestFit="1" customWidth="1"/>
    <col min="5" max="5" width="6.5546875" bestFit="1" customWidth="1"/>
    <col min="6" max="8" width="11.6640625" bestFit="1" customWidth="1"/>
    <col min="10" max="11" width="1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15*D35</f>
        <v>16.040589294553083</v>
      </c>
    </row>
    <row r="3" spans="1:21" x14ac:dyDescent="0.3">
      <c r="A3" t="s">
        <v>9</v>
      </c>
      <c r="B3">
        <v>99.17</v>
      </c>
      <c r="C3" s="3">
        <v>59.96</v>
      </c>
      <c r="D3">
        <f>C3/B3</f>
        <v>0.60461833215690231</v>
      </c>
      <c r="E3">
        <v>0.83799999999999997</v>
      </c>
      <c r="F3">
        <f>C3/E3/1000</f>
        <v>7.1551312649164686E-2</v>
      </c>
      <c r="G3">
        <f>D3/$F$6</f>
        <v>3.6421213214760093E-2</v>
      </c>
      <c r="H3">
        <f>G3*1000</f>
        <v>36.421213214760094</v>
      </c>
      <c r="J3">
        <f>H3</f>
        <v>36.421213214760094</v>
      </c>
      <c r="K3">
        <f>H6</f>
        <v>0</v>
      </c>
    </row>
    <row r="4" spans="1:21" x14ac:dyDescent="0.3">
      <c r="A4" t="s">
        <v>29</v>
      </c>
      <c r="B4" s="4">
        <v>319.32</v>
      </c>
      <c r="C4" s="3">
        <v>638.48</v>
      </c>
      <c r="D4">
        <f>C4/B4</f>
        <v>1.9994989352373795</v>
      </c>
      <c r="E4" s="1">
        <v>1.3779999999999999</v>
      </c>
      <c r="F4">
        <f>C4/E4/1000</f>
        <v>0.46333817126269961</v>
      </c>
      <c r="G4">
        <f>D4/$F$6</f>
        <v>0.12044652497249793</v>
      </c>
      <c r="H4">
        <f>G4*1000</f>
        <v>120.44652497249793</v>
      </c>
      <c r="J4">
        <f>H10</f>
        <v>108.60921965539421</v>
      </c>
      <c r="K4">
        <f>H13</f>
        <v>0</v>
      </c>
    </row>
    <row r="5" spans="1:21" x14ac:dyDescent="0.3">
      <c r="A5" t="s">
        <v>11</v>
      </c>
      <c r="B5">
        <v>154.21</v>
      </c>
      <c r="C5" s="3">
        <v>26.25</v>
      </c>
      <c r="D5">
        <f>C5/B5</f>
        <v>0.17022242396731729</v>
      </c>
      <c r="E5" s="1">
        <v>1.04</v>
      </c>
      <c r="F5">
        <f>C5/E5/1000</f>
        <v>2.5240384615384612E-2</v>
      </c>
      <c r="G5">
        <f>D5/$F$6</f>
        <v>1.0253918658288529E-2</v>
      </c>
      <c r="H5">
        <f>G5*1000</f>
        <v>10.253918658288528</v>
      </c>
      <c r="J5">
        <f>H18</f>
        <v>107.50574972350832</v>
      </c>
      <c r="K5">
        <f>H21</f>
        <v>115.51591290319892</v>
      </c>
    </row>
    <row r="6" spans="1:21" x14ac:dyDescent="0.3">
      <c r="A6" t="s">
        <v>12</v>
      </c>
      <c r="F6">
        <f>SUM(F2:F5)</f>
        <v>16.600719163080328</v>
      </c>
      <c r="H6">
        <v>0</v>
      </c>
      <c r="J6">
        <f>H26</f>
        <v>249.36084158691605</v>
      </c>
      <c r="K6">
        <f>H29</f>
        <v>113.55172179201784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8</v>
      </c>
      <c r="F9">
        <f>$F$2</f>
        <v>16.040589294553083</v>
      </c>
      <c r="R9" s="15"/>
      <c r="S9" s="15"/>
      <c r="T9" s="15"/>
      <c r="U9" s="15"/>
    </row>
    <row r="10" spans="1:21" x14ac:dyDescent="0.3">
      <c r="A10" t="str">
        <f>$A$3</f>
        <v>4-Me-piperidine</v>
      </c>
      <c r="B10">
        <f>$B$3</f>
        <v>99.17</v>
      </c>
      <c r="C10" s="3">
        <f>C3+120.39</f>
        <v>180.35</v>
      </c>
      <c r="D10">
        <f>C10/B10</f>
        <v>1.8185943329635978</v>
      </c>
      <c r="E10">
        <v>0.83799999999999997</v>
      </c>
      <c r="F10">
        <f>C10/E10/1000</f>
        <v>0.21521479713603819</v>
      </c>
      <c r="G10">
        <f>D10/$F$14</f>
        <v>0.10860921965539422</v>
      </c>
      <c r="H10">
        <f>G10*1000</f>
        <v>108.60921965539421</v>
      </c>
      <c r="R10" s="15"/>
      <c r="S10" s="15"/>
      <c r="T10" s="15"/>
      <c r="U10" s="15"/>
    </row>
    <row r="11" spans="1:21" x14ac:dyDescent="0.3">
      <c r="A11" t="str">
        <f>$A$4</f>
        <v>Ar-COPh-Oph</v>
      </c>
      <c r="B11" s="4">
        <f>$B$4</f>
        <v>319.32</v>
      </c>
      <c r="C11" s="3">
        <f>$C$4</f>
        <v>638.48</v>
      </c>
      <c r="D11">
        <f>C11/B11</f>
        <v>1.9994989352373795</v>
      </c>
      <c r="E11" s="1">
        <v>1.3779999999999999</v>
      </c>
      <c r="F11">
        <f>C11/E11/1000</f>
        <v>0.46333817126269961</v>
      </c>
      <c r="G11">
        <f>D11/$F$14</f>
        <v>0.11941311765996267</v>
      </c>
      <c r="H11">
        <f>G11*1000</f>
        <v>119.41311765996267</v>
      </c>
    </row>
    <row r="12" spans="1:21" x14ac:dyDescent="0.3">
      <c r="A12" t="str">
        <f>$A$5</f>
        <v>Biphenyl</v>
      </c>
      <c r="B12">
        <f>$B$5</f>
        <v>154.21</v>
      </c>
      <c r="C12" s="3">
        <f>$C$5</f>
        <v>26.25</v>
      </c>
      <c r="D12">
        <f>C12/B12</f>
        <v>0.17022242396731729</v>
      </c>
      <c r="E12" s="1">
        <v>1.04</v>
      </c>
      <c r="F12">
        <f>C12/E12/1000</f>
        <v>2.5240384615384612E-2</v>
      </c>
      <c r="G12">
        <f>D12/$F$14</f>
        <v>1.0165942068461328E-2</v>
      </c>
      <c r="H12">
        <f>G12*1000</f>
        <v>10.165942068461328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16.744382647567203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16.040589294553083</v>
      </c>
    </row>
    <row r="18" spans="1:8" x14ac:dyDescent="0.3">
      <c r="A18" t="str">
        <f>$A$3</f>
        <v>4-Me-piperidine</v>
      </c>
      <c r="B18">
        <f>$B$3</f>
        <v>99.17</v>
      </c>
      <c r="C18" s="3">
        <f>C10</f>
        <v>180.35</v>
      </c>
      <c r="D18">
        <f>C18/B18</f>
        <v>1.8185943329635978</v>
      </c>
      <c r="E18">
        <v>0.83799999999999997</v>
      </c>
      <c r="F18">
        <f>C18/E18/1000</f>
        <v>0.21521479713603819</v>
      </c>
      <c r="G18">
        <f>D18/$F$22</f>
        <v>0.10750574972350832</v>
      </c>
      <c r="H18">
        <f>G18*1000</f>
        <v>107.50574972350832</v>
      </c>
    </row>
    <row r="19" spans="1:8" x14ac:dyDescent="0.3">
      <c r="A19" t="str">
        <f>$A$4</f>
        <v>Ar-COPh-Oph</v>
      </c>
      <c r="B19" s="4">
        <f>$B$4</f>
        <v>319.32</v>
      </c>
      <c r="C19" s="3">
        <f>$C$4</f>
        <v>638.48</v>
      </c>
      <c r="D19">
        <f>C19/B19</f>
        <v>1.9994989352373795</v>
      </c>
      <c r="E19" s="1">
        <v>1.3779999999999999</v>
      </c>
      <c r="F19">
        <f>C19/E19/1000</f>
        <v>0.46333817126269961</v>
      </c>
      <c r="G19">
        <f>D19/$F$22</f>
        <v>0.11819988009846825</v>
      </c>
      <c r="H19">
        <f>G19*1000</f>
        <v>118.19988009846826</v>
      </c>
    </row>
    <row r="20" spans="1:8" x14ac:dyDescent="0.3">
      <c r="A20" t="str">
        <f>$A$5</f>
        <v>Biphenyl</v>
      </c>
      <c r="B20">
        <f>$B$5</f>
        <v>154.21</v>
      </c>
      <c r="C20" s="3">
        <f>$C$5</f>
        <v>26.25</v>
      </c>
      <c r="D20">
        <f>C20/B20</f>
        <v>0.17022242396731729</v>
      </c>
      <c r="E20" s="1">
        <v>1.04</v>
      </c>
      <c r="F20">
        <f>C20/E20/1000</f>
        <v>2.5240384615384612E-2</v>
      </c>
      <c r="G20">
        <f>D20/$F$22</f>
        <v>1.0062656072691963E-2</v>
      </c>
      <c r="H20">
        <f>G20*1000</f>
        <v>10.062656072691963</v>
      </c>
    </row>
    <row r="21" spans="1:8" x14ac:dyDescent="0.3">
      <c r="A21" t="s">
        <v>13</v>
      </c>
      <c r="B21">
        <f>$B$13</f>
        <v>94.11</v>
      </c>
      <c r="C21" s="3">
        <v>183.9</v>
      </c>
      <c r="D21">
        <f>C21/B21</f>
        <v>1.9540962703219638</v>
      </c>
      <c r="E21">
        <v>1.07</v>
      </c>
      <c r="F21">
        <f>C21/E21/1000</f>
        <v>0.17186915887850465</v>
      </c>
      <c r="G21">
        <f>D21/$F$22</f>
        <v>0.11551591290319892</v>
      </c>
      <c r="H21">
        <f>G21*1000</f>
        <v>115.51591290319892</v>
      </c>
    </row>
    <row r="22" spans="1:8" x14ac:dyDescent="0.3">
      <c r="A22" t="s">
        <v>12</v>
      </c>
      <c r="F22">
        <f>SUM(F17:F21)</f>
        <v>16.916251806445707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16.040589294553083</v>
      </c>
    </row>
    <row r="26" spans="1:8" x14ac:dyDescent="0.3">
      <c r="A26" t="str">
        <f>$A$3</f>
        <v>4-Me-piperidine</v>
      </c>
      <c r="B26">
        <f>$B$3</f>
        <v>99.17</v>
      </c>
      <c r="C26" s="3">
        <f>C18+245.21</f>
        <v>425.56</v>
      </c>
      <c r="D26">
        <f>C26/B26</f>
        <v>4.2912171019461534</v>
      </c>
      <c r="E26">
        <v>0.83799999999999997</v>
      </c>
      <c r="F26">
        <f>C26/E26/1000</f>
        <v>0.50782816229116945</v>
      </c>
      <c r="G26">
        <f>D26/$F$30</f>
        <v>0.24936084158691604</v>
      </c>
      <c r="H26">
        <f>G26*1000</f>
        <v>249.36084158691605</v>
      </c>
    </row>
    <row r="27" spans="1:8" x14ac:dyDescent="0.3">
      <c r="A27" t="str">
        <f>$A$4</f>
        <v>Ar-COPh-Oph</v>
      </c>
      <c r="B27" s="4">
        <f>$B$4</f>
        <v>319.32</v>
      </c>
      <c r="C27" s="3">
        <f>$C$4</f>
        <v>638.48</v>
      </c>
      <c r="D27">
        <f>C27/B27</f>
        <v>1.9994989352373795</v>
      </c>
      <c r="E27" s="1">
        <v>1.3779999999999999</v>
      </c>
      <c r="F27">
        <f>C27/E27/1000</f>
        <v>0.46333817126269961</v>
      </c>
      <c r="G27">
        <f>D27/$F$30</f>
        <v>0.11619005177268049</v>
      </c>
      <c r="H27">
        <f>G27*1000</f>
        <v>116.19005177268049</v>
      </c>
    </row>
    <row r="28" spans="1:8" x14ac:dyDescent="0.3">
      <c r="A28" t="str">
        <f>$A$5</f>
        <v>Biphenyl</v>
      </c>
      <c r="B28">
        <f>$B$5</f>
        <v>154.21</v>
      </c>
      <c r="C28" s="3">
        <f>$C$5</f>
        <v>26.25</v>
      </c>
      <c r="D28">
        <f>C28/B28</f>
        <v>0.17022242396731729</v>
      </c>
      <c r="E28" s="1">
        <v>1.04</v>
      </c>
      <c r="F28">
        <f>C28/E28/1000</f>
        <v>2.5240384615384612E-2</v>
      </c>
      <c r="G28">
        <f>D28/$F$30</f>
        <v>9.891554281465877E-3</v>
      </c>
      <c r="H28">
        <f>G28*1000</f>
        <v>9.8915542814658775</v>
      </c>
    </row>
    <row r="29" spans="1:8" x14ac:dyDescent="0.3">
      <c r="A29" t="s">
        <v>13</v>
      </c>
      <c r="B29">
        <v>94.11</v>
      </c>
      <c r="C29" s="3">
        <f>C21</f>
        <v>183.9</v>
      </c>
      <c r="D29">
        <f>C29/B29</f>
        <v>1.9540962703219638</v>
      </c>
      <c r="E29">
        <v>1.07</v>
      </c>
      <c r="F29">
        <f>C29/E29/1000</f>
        <v>0.17186915887850465</v>
      </c>
      <c r="G29">
        <f>D29/$F$30</f>
        <v>0.11355172179201785</v>
      </c>
      <c r="H29">
        <f>G29*1000</f>
        <v>113.55172179201784</v>
      </c>
    </row>
    <row r="30" spans="1:8" x14ac:dyDescent="0.3">
      <c r="A30" t="s">
        <v>12</v>
      </c>
      <c r="F30">
        <f>SUM(F25:F29)</f>
        <v>17.208865171600838</v>
      </c>
    </row>
    <row r="32" spans="1:8" x14ac:dyDescent="0.3">
      <c r="A32" t="s">
        <v>30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92</v>
      </c>
      <c r="E34">
        <f>D34+273.15</f>
        <v>365.15</v>
      </c>
      <c r="F34">
        <f>E34*$B$33+$A$33</f>
        <v>1.028268795</v>
      </c>
    </row>
    <row r="35" spans="1:6" x14ac:dyDescent="0.3">
      <c r="C35" t="s">
        <v>21</v>
      </c>
      <c r="D35">
        <f>F33/F34</f>
        <v>1.0693726196368722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1:U35"/>
  <sheetViews>
    <sheetView topLeftCell="C1" zoomScale="66" zoomScaleNormal="100" workbookViewId="0">
      <selection activeCell="J25" sqref="J25"/>
    </sheetView>
  </sheetViews>
  <sheetFormatPr defaultColWidth="15.55468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15*D35</f>
        <v>16.040589294553083</v>
      </c>
    </row>
    <row r="3" spans="1:21" x14ac:dyDescent="0.3">
      <c r="A3" t="s">
        <v>9</v>
      </c>
      <c r="B3">
        <v>99.17</v>
      </c>
      <c r="C3" s="3">
        <v>59.92</v>
      </c>
      <c r="D3">
        <f>C3/B3</f>
        <v>0.60421498437027332</v>
      </c>
      <c r="E3">
        <v>0.83799999999999997</v>
      </c>
      <c r="F3">
        <f>C3/E3/1000</f>
        <v>7.1503579952267304E-2</v>
      </c>
      <c r="G3">
        <f>D3/$F$6</f>
        <v>3.644211683903946E-2</v>
      </c>
      <c r="H3">
        <f>G3*1000</f>
        <v>36.442116839039457</v>
      </c>
      <c r="J3">
        <f>H3</f>
        <v>36.442116839039457</v>
      </c>
      <c r="K3">
        <f>H6</f>
        <v>0</v>
      </c>
    </row>
    <row r="4" spans="1:21" ht="15.6" customHeight="1" x14ac:dyDescent="0.35">
      <c r="A4" t="s">
        <v>31</v>
      </c>
      <c r="B4" s="4">
        <v>240.22</v>
      </c>
      <c r="C4" s="3">
        <v>622.9</v>
      </c>
      <c r="D4">
        <f>C4/B4</f>
        <v>2.5930397135958705</v>
      </c>
      <c r="E4" s="6">
        <v>1.4159999999999999</v>
      </c>
      <c r="F4">
        <f>C4/E4/1000</f>
        <v>0.43990112994350283</v>
      </c>
      <c r="G4">
        <f>D4/$F$6</f>
        <v>0.15639442691017647</v>
      </c>
      <c r="H4">
        <f>G4*1000</f>
        <v>156.39442691017646</v>
      </c>
      <c r="J4">
        <f>H10</f>
        <v>108.41526073963824</v>
      </c>
      <c r="K4">
        <f>H13</f>
        <v>0</v>
      </c>
    </row>
    <row r="5" spans="1:21" x14ac:dyDescent="0.3">
      <c r="A5" t="s">
        <v>11</v>
      </c>
      <c r="B5">
        <v>154.21</v>
      </c>
      <c r="C5" s="3">
        <v>29.26</v>
      </c>
      <c r="D5">
        <f>C5/B5</f>
        <v>0.18974126191556967</v>
      </c>
      <c r="E5" s="1">
        <v>1.04</v>
      </c>
      <c r="F5">
        <f>C5/E5/1000</f>
        <v>2.8134615384615386E-2</v>
      </c>
      <c r="G5">
        <f>D5/$F$6</f>
        <v>1.1443895657636666E-2</v>
      </c>
      <c r="H5">
        <f>G5*1000</f>
        <v>11.443895657636666</v>
      </c>
      <c r="J5">
        <f>H18</f>
        <v>107.21072970425351</v>
      </c>
      <c r="K5">
        <f>H21</f>
        <v>126.32100724565245</v>
      </c>
    </row>
    <row r="6" spans="1:21" x14ac:dyDescent="0.3">
      <c r="A6" t="s">
        <v>12</v>
      </c>
      <c r="F6">
        <f>SUM(F2:F5)</f>
        <v>16.58012861983347</v>
      </c>
      <c r="H6">
        <v>0</v>
      </c>
      <c r="J6">
        <f>H26</f>
        <v>225.95848858029217</v>
      </c>
      <c r="K6">
        <f>H29</f>
        <v>124.52303641529208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8</v>
      </c>
      <c r="F9">
        <f>$F$2</f>
        <v>16.040589294553083</v>
      </c>
      <c r="R9" s="15"/>
      <c r="S9" s="15"/>
      <c r="T9" s="15"/>
      <c r="U9" s="15"/>
    </row>
    <row r="10" spans="1:21" x14ac:dyDescent="0.3">
      <c r="A10" t="s">
        <v>9</v>
      </c>
      <c r="B10">
        <v>99.17</v>
      </c>
      <c r="C10" s="3">
        <f>C3+119.88</f>
        <v>179.8</v>
      </c>
      <c r="D10">
        <f>C10/B10</f>
        <v>1.813048300897449</v>
      </c>
      <c r="E10">
        <v>0.83799999999999997</v>
      </c>
      <c r="F10">
        <f>C10/E10/1000</f>
        <v>0.21455847255369931</v>
      </c>
      <c r="G10">
        <f>D10/$F$14</f>
        <v>0.10841526073963824</v>
      </c>
      <c r="H10">
        <f>G10*1000</f>
        <v>108.41526073963824</v>
      </c>
      <c r="R10" s="15"/>
      <c r="S10" s="15"/>
      <c r="T10" s="15"/>
      <c r="U10" s="15"/>
    </row>
    <row r="11" spans="1:21" x14ac:dyDescent="0.3">
      <c r="A11" t="str">
        <f>$A$4</f>
        <v>Ar-CN-Oph</v>
      </c>
      <c r="B11" s="4">
        <f>$B$4</f>
        <v>240.22</v>
      </c>
      <c r="C11" s="3">
        <f>C4</f>
        <v>622.9</v>
      </c>
      <c r="D11">
        <f>C11/B11</f>
        <v>2.5930397135958705</v>
      </c>
      <c r="E11" s="1">
        <f>$E$4</f>
        <v>1.4159999999999999</v>
      </c>
      <c r="F11">
        <f>C11/E11/1000</f>
        <v>0.43990112994350283</v>
      </c>
      <c r="G11">
        <f>D11/$F$14</f>
        <v>0.15505658427223246</v>
      </c>
      <c r="H11">
        <f>G11*1000</f>
        <v>155.05658427223244</v>
      </c>
    </row>
    <row r="12" spans="1:21" x14ac:dyDescent="0.3">
      <c r="A12" t="s">
        <v>11</v>
      </c>
      <c r="B12">
        <v>154.21</v>
      </c>
      <c r="C12" s="3">
        <f>$C$5</f>
        <v>29.26</v>
      </c>
      <c r="D12">
        <f>C12/B12</f>
        <v>0.18974126191556967</v>
      </c>
      <c r="E12" s="1">
        <v>1.04</v>
      </c>
      <c r="F12">
        <f>C12/E12/1000</f>
        <v>2.8134615384615386E-2</v>
      </c>
      <c r="G12">
        <f>D12/$F$14</f>
        <v>1.1346001302591894E-2</v>
      </c>
      <c r="H12">
        <f>G12*1000</f>
        <v>11.346001302591894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16.7231835124349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16.040589294553083</v>
      </c>
    </row>
    <row r="18" spans="1:8" x14ac:dyDescent="0.3">
      <c r="A18" t="s">
        <v>9</v>
      </c>
      <c r="B18">
        <v>99.17</v>
      </c>
      <c r="C18" s="3">
        <f>C10</f>
        <v>179.8</v>
      </c>
      <c r="D18">
        <f>C18/B18</f>
        <v>1.813048300897449</v>
      </c>
      <c r="E18">
        <v>0.83799999999999997</v>
      </c>
      <c r="F18">
        <f>C18/E18/1000</f>
        <v>0.21455847255369931</v>
      </c>
      <c r="G18">
        <f>D18/$F$22</f>
        <v>0.10721072970425351</v>
      </c>
      <c r="H18">
        <f>G18*1000</f>
        <v>107.21072970425351</v>
      </c>
    </row>
    <row r="19" spans="1:8" x14ac:dyDescent="0.3">
      <c r="A19" t="str">
        <f>$A$4</f>
        <v>Ar-CN-Oph</v>
      </c>
      <c r="B19" s="4">
        <f>$B$4</f>
        <v>240.22</v>
      </c>
      <c r="C19" s="3">
        <f>C4</f>
        <v>622.9</v>
      </c>
      <c r="D19">
        <f>C19/B19</f>
        <v>2.5930397135958705</v>
      </c>
      <c r="E19" s="1">
        <f>$E$4</f>
        <v>1.4159999999999999</v>
      </c>
      <c r="F19">
        <f>C19/E19/1000</f>
        <v>0.43990112994350283</v>
      </c>
      <c r="G19">
        <f>D19/$F$22</f>
        <v>0.15333385200444605</v>
      </c>
      <c r="H19">
        <f>G19*1000</f>
        <v>153.33385200444604</v>
      </c>
    </row>
    <row r="20" spans="1:8" x14ac:dyDescent="0.3">
      <c r="A20" t="s">
        <v>11</v>
      </c>
      <c r="B20">
        <v>154.21</v>
      </c>
      <c r="C20" s="3">
        <f>$C$5</f>
        <v>29.26</v>
      </c>
      <c r="D20">
        <f>C20/B20</f>
        <v>0.18974126191556967</v>
      </c>
      <c r="E20" s="1">
        <v>1.04</v>
      </c>
      <c r="F20">
        <f>C20/E20/1000</f>
        <v>2.8134615384615386E-2</v>
      </c>
      <c r="G20">
        <f>D20/$F$22</f>
        <v>1.1219943304822483E-2</v>
      </c>
      <c r="H20">
        <f>G20*1000</f>
        <v>11.219943304822483</v>
      </c>
    </row>
    <row r="21" spans="1:8" x14ac:dyDescent="0.3">
      <c r="A21" t="s">
        <v>13</v>
      </c>
      <c r="B21">
        <v>94.11</v>
      </c>
      <c r="C21" s="3">
        <v>201.04</v>
      </c>
      <c r="D21">
        <f>C21/B21</f>
        <v>2.1362235681649135</v>
      </c>
      <c r="E21">
        <v>1.07</v>
      </c>
      <c r="F21">
        <f>C21/E21/1000</f>
        <v>0.1878878504672897</v>
      </c>
      <c r="G21">
        <f>D21/$F$22</f>
        <v>0.12632100724565246</v>
      </c>
      <c r="H21">
        <f>G21*1000</f>
        <v>126.32100724565245</v>
      </c>
    </row>
    <row r="22" spans="1:8" x14ac:dyDescent="0.3">
      <c r="A22" t="s">
        <v>12</v>
      </c>
      <c r="F22">
        <f>SUM(F17:F21)</f>
        <v>16.911071362902192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16.040589294553083</v>
      </c>
    </row>
    <row r="26" spans="1:8" x14ac:dyDescent="0.3">
      <c r="A26" t="s">
        <v>9</v>
      </c>
      <c r="B26">
        <v>99.17</v>
      </c>
      <c r="C26" s="3">
        <f>C18+204.62</f>
        <v>384.42</v>
      </c>
      <c r="D26">
        <f>C26/B26</f>
        <v>3.8763739033982052</v>
      </c>
      <c r="E26">
        <v>0.83799999999999997</v>
      </c>
      <c r="F26">
        <f>C26/E26/1000</f>
        <v>0.45873508353221965</v>
      </c>
      <c r="G26">
        <f>D26/$F$30</f>
        <v>0.22595848858029216</v>
      </c>
      <c r="H26">
        <f>G26*1000</f>
        <v>225.95848858029217</v>
      </c>
    </row>
    <row r="27" spans="1:8" x14ac:dyDescent="0.3">
      <c r="A27" t="str">
        <f>$A$4</f>
        <v>Ar-CN-Oph</v>
      </c>
      <c r="B27" s="4">
        <f>$B$4</f>
        <v>240.22</v>
      </c>
      <c r="C27" s="3">
        <f>C4</f>
        <v>622.9</v>
      </c>
      <c r="D27">
        <f>C27/B27</f>
        <v>2.5930397135958705</v>
      </c>
      <c r="E27" s="1">
        <f>$E$4</f>
        <v>1.4159999999999999</v>
      </c>
      <c r="F27">
        <f>C27/E27/1000</f>
        <v>0.43990112994350283</v>
      </c>
      <c r="G27">
        <f>D27/$F$30</f>
        <v>0.15115139795961197</v>
      </c>
      <c r="H27">
        <f>G27*1000</f>
        <v>151.15139795961196</v>
      </c>
    </row>
    <row r="28" spans="1:8" x14ac:dyDescent="0.3">
      <c r="A28" t="s">
        <v>11</v>
      </c>
      <c r="B28">
        <v>154.21</v>
      </c>
      <c r="C28" s="3">
        <f>$C$5</f>
        <v>29.26</v>
      </c>
      <c r="D28">
        <f>C28/B28</f>
        <v>0.18974126191556967</v>
      </c>
      <c r="E28" s="1">
        <v>1.04</v>
      </c>
      <c r="F28">
        <f>C28/E28/1000</f>
        <v>2.8134615384615386E-2</v>
      </c>
      <c r="G28">
        <f>D28/$F$30</f>
        <v>1.106024594948761E-2</v>
      </c>
      <c r="H28">
        <f>G28*1000</f>
        <v>11.06024594948761</v>
      </c>
    </row>
    <row r="29" spans="1:8" x14ac:dyDescent="0.3">
      <c r="A29" t="s">
        <v>13</v>
      </c>
      <c r="B29">
        <v>94.11</v>
      </c>
      <c r="C29" s="3">
        <f>C21</f>
        <v>201.04</v>
      </c>
      <c r="D29">
        <f>C29/B29</f>
        <v>2.1362235681649135</v>
      </c>
      <c r="E29">
        <v>1.07</v>
      </c>
      <c r="F29">
        <f>C29/E29/1000</f>
        <v>0.1878878504672897</v>
      </c>
      <c r="G29">
        <f>D29/$F$30</f>
        <v>0.12452303641529208</v>
      </c>
      <c r="H29">
        <f>G29*1000</f>
        <v>124.52303641529208</v>
      </c>
    </row>
    <row r="30" spans="1:8" x14ac:dyDescent="0.3">
      <c r="A30" t="s">
        <v>12</v>
      </c>
      <c r="F30">
        <f>SUM(F25:F29)</f>
        <v>17.155247973880712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92</v>
      </c>
      <c r="E34">
        <f>D34+273.15</f>
        <v>365.15</v>
      </c>
      <c r="F34">
        <f>E34*$B$33+$A$33</f>
        <v>1.028268795</v>
      </c>
    </row>
    <row r="35" spans="1:6" x14ac:dyDescent="0.3">
      <c r="C35" t="s">
        <v>21</v>
      </c>
      <c r="D35">
        <f>F33/F34</f>
        <v>1.0693726196368722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9"/>
  <dimension ref="A1:U35"/>
  <sheetViews>
    <sheetView workbookViewId="0">
      <selection activeCell="J25" sqref="J25"/>
    </sheetView>
  </sheetViews>
  <sheetFormatPr defaultRowHeight="14.4" x14ac:dyDescent="0.3"/>
  <cols>
    <col min="1" max="1" width="18.6640625" customWidth="1"/>
    <col min="2" max="2" width="6.6640625" bestFit="1" customWidth="1"/>
    <col min="3" max="3" width="9" bestFit="1" customWidth="1"/>
    <col min="4" max="4" width="11.6640625" bestFit="1" customWidth="1"/>
    <col min="5" max="5" width="6.5546875" bestFit="1" customWidth="1"/>
    <col min="6" max="8" width="11.6640625" bestFit="1" customWidth="1"/>
    <col min="10" max="11" width="1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15*D35</f>
        <v>16.040589294553083</v>
      </c>
    </row>
    <row r="3" spans="1:21" ht="15.6" customHeight="1" x14ac:dyDescent="0.3">
      <c r="A3" t="s">
        <v>9</v>
      </c>
      <c r="B3">
        <v>99.17</v>
      </c>
      <c r="C3" s="5">
        <v>55.72</v>
      </c>
      <c r="D3">
        <f>C3/B3</f>
        <v>0.56186346677422605</v>
      </c>
      <c r="E3">
        <v>0.83799999999999997</v>
      </c>
      <c r="F3">
        <f>C3/E3/1000</f>
        <v>6.6491646778042965E-2</v>
      </c>
      <c r="G3">
        <f>D3/$F$6</f>
        <v>3.3910187914663575E-2</v>
      </c>
      <c r="H3">
        <f>G3*1000</f>
        <v>33.910187914663574</v>
      </c>
      <c r="J3">
        <f>H3</f>
        <v>33.910187914663574</v>
      </c>
      <c r="K3">
        <f>H6</f>
        <v>0</v>
      </c>
    </row>
    <row r="4" spans="1:21" ht="15.6" customHeight="1" x14ac:dyDescent="0.35">
      <c r="A4" t="s">
        <v>32</v>
      </c>
      <c r="B4" s="4">
        <v>260.20999999999998</v>
      </c>
      <c r="C4" s="8">
        <v>607.5</v>
      </c>
      <c r="D4">
        <f>C4/B4</f>
        <v>2.3346527804465627</v>
      </c>
      <c r="E4" s="6">
        <v>1.4159999999999999</v>
      </c>
      <c r="F4">
        <f>C4/E4/1000</f>
        <v>0.42902542372881358</v>
      </c>
      <c r="G4">
        <f>D4/$F$6</f>
        <v>0.14090347421048302</v>
      </c>
      <c r="H4">
        <f>G4*1000</f>
        <v>140.90347421048301</v>
      </c>
      <c r="J4">
        <f>H10</f>
        <v>101.68406354373217</v>
      </c>
      <c r="K4">
        <f>H13</f>
        <v>0</v>
      </c>
    </row>
    <row r="5" spans="1:21" ht="15.6" customHeight="1" x14ac:dyDescent="0.3">
      <c r="A5" t="s">
        <v>11</v>
      </c>
      <c r="B5">
        <v>154.21</v>
      </c>
      <c r="C5" s="5">
        <v>34.380000000000003</v>
      </c>
      <c r="D5">
        <f>C5/B5</f>
        <v>0.2229427404189093</v>
      </c>
      <c r="E5" s="1">
        <v>1.04</v>
      </c>
      <c r="F5">
        <f>C5/E5/1000</f>
        <v>3.3057692307692309E-2</v>
      </c>
      <c r="G5">
        <f>D5/$F$6</f>
        <v>1.3455279919192769E-2</v>
      </c>
      <c r="H5">
        <f>G5*1000</f>
        <v>13.455279919192769</v>
      </c>
      <c r="J5">
        <f>H18</f>
        <v>100.37917979049995</v>
      </c>
      <c r="K5">
        <f>H21</f>
        <v>145.9039114473882</v>
      </c>
    </row>
    <row r="6" spans="1:21" x14ac:dyDescent="0.3">
      <c r="A6" t="s">
        <v>12</v>
      </c>
      <c r="F6">
        <f>SUM(F2:F5)</f>
        <v>16.569164057367633</v>
      </c>
      <c r="H6">
        <v>0</v>
      </c>
      <c r="J6">
        <f>H26</f>
        <v>235.49546224980861</v>
      </c>
      <c r="K6">
        <f>H29</f>
        <v>143.54288534460605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8</v>
      </c>
      <c r="F9">
        <f>$F$2</f>
        <v>16.040589294553083</v>
      </c>
      <c r="R9" s="15"/>
      <c r="S9" s="15"/>
      <c r="T9" s="15"/>
      <c r="U9" s="15"/>
    </row>
    <row r="10" spans="1:21" x14ac:dyDescent="0.3">
      <c r="A10" t="s">
        <v>9</v>
      </c>
      <c r="B10">
        <v>99.17</v>
      </c>
      <c r="C10" s="3">
        <f>C3+112.72</f>
        <v>168.44</v>
      </c>
      <c r="D10">
        <f>C10/B10</f>
        <v>1.6984975294948068</v>
      </c>
      <c r="E10">
        <v>0.83799999999999997</v>
      </c>
      <c r="F10">
        <f>C10/E10/1000</f>
        <v>0.20100238663484488</v>
      </c>
      <c r="G10">
        <f>D10/$F$14</f>
        <v>0.10168406354373216</v>
      </c>
      <c r="H10">
        <f>G10*1000</f>
        <v>101.68406354373217</v>
      </c>
      <c r="R10" s="15"/>
      <c r="S10" s="15"/>
      <c r="T10" s="15"/>
      <c r="U10" s="15"/>
    </row>
    <row r="11" spans="1:21" x14ac:dyDescent="0.3">
      <c r="A11" t="str">
        <f>$A$4</f>
        <v>Ar-NO2-Oph</v>
      </c>
      <c r="B11" s="4">
        <f>$B$4</f>
        <v>260.20999999999998</v>
      </c>
      <c r="C11" s="3">
        <f>C4</f>
        <v>607.5</v>
      </c>
      <c r="D11">
        <f>C11/B11</f>
        <v>2.3346527804465627</v>
      </c>
      <c r="E11" s="1">
        <f>$E$4</f>
        <v>1.4159999999999999</v>
      </c>
      <c r="F11">
        <f>C11/E11/1000</f>
        <v>0.42902542372881358</v>
      </c>
      <c r="G11">
        <f>D11/$F$14</f>
        <v>0.13976881188051507</v>
      </c>
      <c r="H11">
        <f>G11*1000</f>
        <v>139.76881188051507</v>
      </c>
    </row>
    <row r="12" spans="1:21" x14ac:dyDescent="0.3">
      <c r="A12" t="s">
        <v>11</v>
      </c>
      <c r="B12">
        <v>154.21</v>
      </c>
      <c r="C12" s="3">
        <f>$C$5</f>
        <v>34.380000000000003</v>
      </c>
      <c r="D12">
        <f>C12/B12</f>
        <v>0.2229427404189093</v>
      </c>
      <c r="E12" s="1">
        <v>1.04</v>
      </c>
      <c r="F12">
        <f>C12/E12/1000</f>
        <v>3.3057692307692309E-2</v>
      </c>
      <c r="G12">
        <f>D12/$F$14</f>
        <v>1.3346927734485982E-2</v>
      </c>
      <c r="H12">
        <f>G12*1000</f>
        <v>13.346927734485982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16.703674797224433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16.040589294553083</v>
      </c>
    </row>
    <row r="18" spans="1:8" x14ac:dyDescent="0.3">
      <c r="A18" t="s">
        <v>9</v>
      </c>
      <c r="B18">
        <v>99.17</v>
      </c>
      <c r="C18" s="3">
        <f>C10</f>
        <v>168.44</v>
      </c>
      <c r="D18">
        <f>C18/B18</f>
        <v>1.6984975294948068</v>
      </c>
      <c r="E18">
        <v>0.83799999999999997</v>
      </c>
      <c r="F18">
        <f>C18/E18/1000</f>
        <v>0.20100238663484488</v>
      </c>
      <c r="G18">
        <f>D18/$F$22</f>
        <v>0.10037917979049994</v>
      </c>
      <c r="H18">
        <f>G18*1000</f>
        <v>100.37917979049995</v>
      </c>
    </row>
    <row r="19" spans="1:8" x14ac:dyDescent="0.3">
      <c r="A19" t="str">
        <f>$A$4</f>
        <v>Ar-NO2-Oph</v>
      </c>
      <c r="B19" s="4">
        <f>$B$4</f>
        <v>260.20999999999998</v>
      </c>
      <c r="C19" s="3">
        <f>C4</f>
        <v>607.5</v>
      </c>
      <c r="D19">
        <f>C19/B19</f>
        <v>2.3346527804465627</v>
      </c>
      <c r="E19" s="1">
        <f>$E$4</f>
        <v>1.4159999999999999</v>
      </c>
      <c r="F19">
        <f>C19/E19/1000</f>
        <v>0.42902542372881358</v>
      </c>
      <c r="G19">
        <f>D19/$F$22</f>
        <v>0.13797519697690713</v>
      </c>
      <c r="H19">
        <f>G19*1000</f>
        <v>137.97519697690714</v>
      </c>
    </row>
    <row r="20" spans="1:8" x14ac:dyDescent="0.3">
      <c r="A20" t="s">
        <v>11</v>
      </c>
      <c r="B20">
        <v>154.21</v>
      </c>
      <c r="C20" s="3">
        <f>$C$5</f>
        <v>34.380000000000003</v>
      </c>
      <c r="D20">
        <f>C20/B20</f>
        <v>0.2229427404189093</v>
      </c>
      <c r="E20" s="1">
        <v>1.04</v>
      </c>
      <c r="F20">
        <f>C20/E20/1000</f>
        <v>3.3057692307692309E-2</v>
      </c>
      <c r="G20">
        <f>D20/$F$22</f>
        <v>1.3175650264356112E-2</v>
      </c>
      <c r="H20">
        <f>G20*1000</f>
        <v>13.175650264356113</v>
      </c>
    </row>
    <row r="21" spans="1:8" ht="15.6" customHeight="1" x14ac:dyDescent="0.3">
      <c r="A21" t="s">
        <v>13</v>
      </c>
      <c r="B21">
        <v>94.11</v>
      </c>
      <c r="C21" s="5">
        <v>232.34</v>
      </c>
      <c r="D21">
        <f>C21/B21</f>
        <v>2.468813091063649</v>
      </c>
      <c r="E21">
        <v>1.07</v>
      </c>
      <c r="F21">
        <f>C21/E21/1000</f>
        <v>0.21714018691588785</v>
      </c>
      <c r="G21">
        <f>D21/$F$22</f>
        <v>0.14590391144738821</v>
      </c>
      <c r="H21">
        <f>G21*1000</f>
        <v>145.9039114473882</v>
      </c>
    </row>
    <row r="22" spans="1:8" x14ac:dyDescent="0.3">
      <c r="A22" t="s">
        <v>12</v>
      </c>
      <c r="F22">
        <f>SUM(F17:F21)</f>
        <v>16.920814984140321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16.040589294553083</v>
      </c>
    </row>
    <row r="26" spans="1:8" x14ac:dyDescent="0.3">
      <c r="A26" t="s">
        <v>9</v>
      </c>
      <c r="B26">
        <v>99.17</v>
      </c>
      <c r="C26" s="3">
        <f>C18+233.23</f>
        <v>401.66999999999996</v>
      </c>
      <c r="D26">
        <f>C26/B26</f>
        <v>4.05031763638197</v>
      </c>
      <c r="E26">
        <v>0.83799999999999997</v>
      </c>
      <c r="F26">
        <f>C26/E26/1000</f>
        <v>0.4793198090692124</v>
      </c>
      <c r="G26">
        <f>D26/$F$30</f>
        <v>0.23549546224980861</v>
      </c>
      <c r="H26">
        <f>G26*1000</f>
        <v>235.49546224980861</v>
      </c>
    </row>
    <row r="27" spans="1:8" x14ac:dyDescent="0.3">
      <c r="A27" t="str">
        <f>$A$4</f>
        <v>Ar-NO2-Oph</v>
      </c>
      <c r="B27" s="4">
        <f>$B$4</f>
        <v>260.20999999999998</v>
      </c>
      <c r="C27" s="3">
        <f>C4</f>
        <v>607.5</v>
      </c>
      <c r="D27">
        <f>C27/B27</f>
        <v>2.3346527804465627</v>
      </c>
      <c r="E27" s="1">
        <f>$E$4</f>
        <v>1.4159999999999999</v>
      </c>
      <c r="F27">
        <f>C27/E27/1000</f>
        <v>0.42902542372881358</v>
      </c>
      <c r="G27">
        <f>D27/$F$30</f>
        <v>0.13574247382118518</v>
      </c>
      <c r="H27">
        <f>G27*1000</f>
        <v>135.74247382118517</v>
      </c>
    </row>
    <row r="28" spans="1:8" x14ac:dyDescent="0.3">
      <c r="A28" t="s">
        <v>11</v>
      </c>
      <c r="B28">
        <v>154.21</v>
      </c>
      <c r="C28" s="3">
        <f>$C$5</f>
        <v>34.380000000000003</v>
      </c>
      <c r="D28">
        <f>C28/B28</f>
        <v>0.2229427404189093</v>
      </c>
      <c r="E28" s="1">
        <v>1.04</v>
      </c>
      <c r="F28">
        <f>C28/E28/1000</f>
        <v>3.3057692307692309E-2</v>
      </c>
      <c r="G28">
        <f>D28/$F$30</f>
        <v>1.2962441078346792E-2</v>
      </c>
      <c r="H28">
        <f>G28*1000</f>
        <v>12.962441078346792</v>
      </c>
    </row>
    <row r="29" spans="1:8" x14ac:dyDescent="0.3">
      <c r="A29" t="s">
        <v>13</v>
      </c>
      <c r="B29">
        <v>94.11</v>
      </c>
      <c r="C29" s="3">
        <f>C21</f>
        <v>232.34</v>
      </c>
      <c r="D29">
        <f>C29/B29</f>
        <v>2.468813091063649</v>
      </c>
      <c r="E29">
        <v>1.07</v>
      </c>
      <c r="F29">
        <f>C29/E29/1000</f>
        <v>0.21714018691588785</v>
      </c>
      <c r="G29">
        <f>D29/$F$30</f>
        <v>0.14354288534460605</v>
      </c>
      <c r="H29">
        <f>G29*1000</f>
        <v>143.54288534460605</v>
      </c>
    </row>
    <row r="30" spans="1:8" x14ac:dyDescent="0.3">
      <c r="A30" t="s">
        <v>12</v>
      </c>
      <c r="F30">
        <f>SUM(F25:F29)</f>
        <v>17.199132406574691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92</v>
      </c>
      <c r="E34">
        <f>D34+273.15</f>
        <v>365.15</v>
      </c>
      <c r="F34">
        <f>E34*$B$33+$A$33</f>
        <v>1.028268795</v>
      </c>
    </row>
    <row r="35" spans="1:6" x14ac:dyDescent="0.3">
      <c r="C35" t="s">
        <v>21</v>
      </c>
      <c r="D35">
        <f>F33/F34</f>
        <v>1.0693726196368722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/>
  <dimension ref="A1:U35"/>
  <sheetViews>
    <sheetView zoomScale="85" zoomScaleNormal="85" workbookViewId="0">
      <selection activeCell="I10" sqref="I10:K28"/>
    </sheetView>
  </sheetViews>
  <sheetFormatPr defaultColWidth="15.55468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15*D35</f>
        <v>16.040589294553083</v>
      </c>
    </row>
    <row r="3" spans="1:21" x14ac:dyDescent="0.3">
      <c r="A3" t="s">
        <v>9</v>
      </c>
      <c r="B3">
        <v>99.17</v>
      </c>
      <c r="C3" s="3">
        <v>56.22</v>
      </c>
      <c r="D3">
        <f>C3/B3</f>
        <v>0.56690531410708878</v>
      </c>
      <c r="E3">
        <v>0.83799999999999997</v>
      </c>
      <c r="F3">
        <f>C3/E3/1000</f>
        <v>6.7088305489260147E-2</v>
      </c>
      <c r="G3">
        <f>D3/$F$6</f>
        <v>3.4435841692115422E-2</v>
      </c>
      <c r="H3">
        <f>G3*1000</f>
        <v>34.435841692115424</v>
      </c>
      <c r="J3">
        <f>H3</f>
        <v>34.435841692115424</v>
      </c>
      <c r="K3">
        <f>H6</f>
        <v>0</v>
      </c>
    </row>
    <row r="4" spans="1:21" ht="15.6" customHeight="1" x14ac:dyDescent="0.35">
      <c r="A4" t="s">
        <v>32</v>
      </c>
      <c r="B4" s="4">
        <v>260.20999999999998</v>
      </c>
      <c r="C4" s="2">
        <v>459.43</v>
      </c>
      <c r="D4">
        <f>C4/B4</f>
        <v>1.7656123899926983</v>
      </c>
      <c r="E4" s="6">
        <v>1.4159999999999999</v>
      </c>
      <c r="F4">
        <f>C4/E4/1000</f>
        <v>0.32445621468926555</v>
      </c>
      <c r="G4">
        <f>D4/$F$6</f>
        <v>0.10724956573601795</v>
      </c>
      <c r="H4">
        <f>G4*1000</f>
        <v>107.24956573601794</v>
      </c>
      <c r="J4">
        <f>H10</f>
        <v>106.4617589414904</v>
      </c>
      <c r="K4">
        <f>H13</f>
        <v>0</v>
      </c>
    </row>
    <row r="5" spans="1:21" x14ac:dyDescent="0.3">
      <c r="A5" t="s">
        <v>11</v>
      </c>
      <c r="B5">
        <v>154.21</v>
      </c>
      <c r="C5" s="3">
        <v>31.74</v>
      </c>
      <c r="D5">
        <f>C5/B5</f>
        <v>0.20582322806562478</v>
      </c>
      <c r="E5" s="1">
        <v>1.04</v>
      </c>
      <c r="F5">
        <f>C5/E5/1000</f>
        <v>3.0519230769230767E-2</v>
      </c>
      <c r="G5">
        <f>D5/$F$6</f>
        <v>1.2502433690168501E-2</v>
      </c>
      <c r="H5">
        <f>G5*1000</f>
        <v>12.5024336901685</v>
      </c>
      <c r="J5">
        <f>H18</f>
        <v>105.49999058057398</v>
      </c>
      <c r="K5">
        <f>H21</f>
        <v>102.71286732469547</v>
      </c>
    </row>
    <row r="6" spans="1:21" x14ac:dyDescent="0.3">
      <c r="A6" t="s">
        <v>12</v>
      </c>
      <c r="F6">
        <f>SUM(F2:F5)</f>
        <v>16.46265304550084</v>
      </c>
      <c r="H6">
        <v>0</v>
      </c>
      <c r="J6">
        <f>H26</f>
        <v>211.8981025532423</v>
      </c>
      <c r="K6">
        <f>H29</f>
        <v>101.40322901617998</v>
      </c>
    </row>
    <row r="7" spans="1:21" x14ac:dyDescent="0.3">
      <c r="R7" s="15">
        <f>H3</f>
        <v>34.435841692115424</v>
      </c>
      <c r="S7" s="15">
        <f>H10</f>
        <v>106.4617589414904</v>
      </c>
      <c r="T7" s="15">
        <f>H18</f>
        <v>105.49999058057398</v>
      </c>
      <c r="U7" s="15">
        <f>H26</f>
        <v>211.8981025532423</v>
      </c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>
        <f>H4</f>
        <v>107.24956573601794</v>
      </c>
      <c r="S8" s="15">
        <f>H11</f>
        <v>106.33166846280136</v>
      </c>
      <c r="T8" s="15">
        <f>H19</f>
        <v>105.37107533050883</v>
      </c>
      <c r="U8" s="15">
        <f>H27</f>
        <v>104.02754359532643</v>
      </c>
    </row>
    <row r="9" spans="1:21" x14ac:dyDescent="0.3">
      <c r="A9" t="s">
        <v>8</v>
      </c>
      <c r="F9">
        <f>$F$2</f>
        <v>16.040589294553083</v>
      </c>
      <c r="R9" s="15">
        <f>H6</f>
        <v>0</v>
      </c>
      <c r="S9" s="15">
        <f>H13</f>
        <v>0</v>
      </c>
      <c r="T9" s="15">
        <f>H21</f>
        <v>102.71286732469547</v>
      </c>
      <c r="U9" s="15">
        <f>H29</f>
        <v>101.40322901617998</v>
      </c>
    </row>
    <row r="10" spans="1:21" x14ac:dyDescent="0.3">
      <c r="A10" t="s">
        <v>9</v>
      </c>
      <c r="B10">
        <v>99.17</v>
      </c>
      <c r="C10" s="3">
        <f>C3+119.09</f>
        <v>175.31</v>
      </c>
      <c r="D10">
        <f>C10/B10</f>
        <v>1.7677725118483412</v>
      </c>
      <c r="E10">
        <v>0.83799999999999997</v>
      </c>
      <c r="F10">
        <f>C10/E10/1000</f>
        <v>0.20920047732696898</v>
      </c>
      <c r="G10">
        <f>D10/$F$14</f>
        <v>0.1064617589414904</v>
      </c>
      <c r="H10">
        <f>G10*1000</f>
        <v>106.4617589414904</v>
      </c>
      <c r="R10" s="15">
        <f>H5</f>
        <v>12.5024336901685</v>
      </c>
      <c r="S10" s="15">
        <f>H12</f>
        <v>12.395431394037779</v>
      </c>
      <c r="T10" s="15">
        <f>H20</f>
        <v>12.28345190155872</v>
      </c>
      <c r="U10" s="15">
        <f>H28</f>
        <v>12.126831999981688</v>
      </c>
    </row>
    <row r="11" spans="1:21" x14ac:dyDescent="0.3">
      <c r="A11" t="str">
        <f>$A$4</f>
        <v>Ar-NO2-Oph</v>
      </c>
      <c r="B11" s="4">
        <f>$B$4</f>
        <v>260.20999999999998</v>
      </c>
      <c r="C11" s="3">
        <f>C4</f>
        <v>459.43</v>
      </c>
      <c r="D11">
        <f>C11/B11</f>
        <v>1.7656123899926983</v>
      </c>
      <c r="E11" s="1">
        <f>$E$4</f>
        <v>1.4159999999999999</v>
      </c>
      <c r="F11">
        <f>C11/E11/1000</f>
        <v>0.32445621468926555</v>
      </c>
      <c r="G11">
        <f>D11/$F$14</f>
        <v>0.10633166846280136</v>
      </c>
      <c r="H11">
        <f>G11*1000</f>
        <v>106.33166846280136</v>
      </c>
    </row>
    <row r="12" spans="1:21" x14ac:dyDescent="0.3">
      <c r="A12" t="s">
        <v>11</v>
      </c>
      <c r="B12">
        <v>154.21</v>
      </c>
      <c r="C12" s="3">
        <f>$C$5</f>
        <v>31.74</v>
      </c>
      <c r="D12">
        <f>C12/B12</f>
        <v>0.20582322806562478</v>
      </c>
      <c r="E12" s="1">
        <v>1.04</v>
      </c>
      <c r="F12">
        <f>C12/E12/1000</f>
        <v>3.0519230769230767E-2</v>
      </c>
      <c r="G12">
        <f>D12/$F$14</f>
        <v>1.2395431394037778E-2</v>
      </c>
      <c r="H12">
        <f>G12*1000</f>
        <v>12.395431394037779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16.604765217338549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16.040589294553083</v>
      </c>
    </row>
    <row r="18" spans="1:8" x14ac:dyDescent="0.3">
      <c r="A18" t="s">
        <v>9</v>
      </c>
      <c r="B18">
        <v>99.17</v>
      </c>
      <c r="C18" s="3">
        <f>C10</f>
        <v>175.31</v>
      </c>
      <c r="D18">
        <f>C18/B18</f>
        <v>1.7677725118483412</v>
      </c>
      <c r="E18">
        <v>0.83799999999999997</v>
      </c>
      <c r="F18">
        <f>C18/E18/1000</f>
        <v>0.20920047732696898</v>
      </c>
      <c r="G18">
        <f>D18/$F$22</f>
        <v>0.10549999058057398</v>
      </c>
      <c r="H18">
        <f>G18*1000</f>
        <v>105.49999058057398</v>
      </c>
    </row>
    <row r="19" spans="1:8" x14ac:dyDescent="0.3">
      <c r="A19" t="str">
        <f>$A$4</f>
        <v>Ar-NO2-Oph</v>
      </c>
      <c r="B19" s="4">
        <f>$B$4</f>
        <v>260.20999999999998</v>
      </c>
      <c r="C19" s="3">
        <f>C4</f>
        <v>459.43</v>
      </c>
      <c r="D19">
        <f>C19/B19</f>
        <v>1.7656123899926983</v>
      </c>
      <c r="E19" s="1">
        <f>$E$4</f>
        <v>1.4159999999999999</v>
      </c>
      <c r="F19">
        <f>C19/E19/1000</f>
        <v>0.32445621468926555</v>
      </c>
      <c r="G19">
        <f>D19/$F$22</f>
        <v>0.10537107533050884</v>
      </c>
      <c r="H19">
        <f>G19*1000</f>
        <v>105.37107533050883</v>
      </c>
    </row>
    <row r="20" spans="1:8" x14ac:dyDescent="0.3">
      <c r="A20" t="s">
        <v>11</v>
      </c>
      <c r="B20">
        <v>154.21</v>
      </c>
      <c r="C20" s="3">
        <f>$C$5</f>
        <v>31.74</v>
      </c>
      <c r="D20">
        <f>C20/B20</f>
        <v>0.20582322806562478</v>
      </c>
      <c r="E20" s="1">
        <v>1.04</v>
      </c>
      <c r="F20">
        <f>C20/E20/1000</f>
        <v>3.0519230769230767E-2</v>
      </c>
      <c r="G20">
        <f>D20/$F$22</f>
        <v>1.2283451901558721E-2</v>
      </c>
      <c r="H20">
        <f>G20*1000</f>
        <v>12.28345190155872</v>
      </c>
    </row>
    <row r="21" spans="1:8" x14ac:dyDescent="0.3">
      <c r="A21" t="s">
        <v>13</v>
      </c>
      <c r="B21">
        <v>94.11</v>
      </c>
      <c r="C21" s="3">
        <v>161.97</v>
      </c>
      <c r="D21">
        <f>C21/B21</f>
        <v>1.7210710870258208</v>
      </c>
      <c r="E21">
        <v>1.07</v>
      </c>
      <c r="F21">
        <f>C21/E21/1000</f>
        <v>0.15137383177570093</v>
      </c>
      <c r="G21">
        <f>D21/$F$22</f>
        <v>0.10271286732469546</v>
      </c>
      <c r="H21">
        <f>G21*1000</f>
        <v>102.71286732469547</v>
      </c>
    </row>
    <row r="22" spans="1:8" x14ac:dyDescent="0.3">
      <c r="A22" t="s">
        <v>12</v>
      </c>
      <c r="F22">
        <f>SUM(F17:F21)</f>
        <v>16.75613904911425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16.040589294553083</v>
      </c>
    </row>
    <row r="26" spans="1:8" x14ac:dyDescent="0.3">
      <c r="A26" t="s">
        <v>9</v>
      </c>
      <c r="B26">
        <v>99.17</v>
      </c>
      <c r="C26" s="3">
        <f>C18+181.35</f>
        <v>356.65999999999997</v>
      </c>
      <c r="D26">
        <f>C26/B26</f>
        <v>3.5964505394776642</v>
      </c>
      <c r="E26">
        <v>0.83799999999999997</v>
      </c>
      <c r="F26">
        <f>C26/E26/1000</f>
        <v>0.42560859188544153</v>
      </c>
      <c r="G26">
        <f>D26/$F$30</f>
        <v>0.21189810255324229</v>
      </c>
      <c r="H26">
        <f>G26*1000</f>
        <v>211.8981025532423</v>
      </c>
    </row>
    <row r="27" spans="1:8" x14ac:dyDescent="0.3">
      <c r="A27" t="str">
        <f>$A$4</f>
        <v>Ar-NO2-Oph</v>
      </c>
      <c r="B27" s="4">
        <f>$B$4</f>
        <v>260.20999999999998</v>
      </c>
      <c r="C27" s="3">
        <f>C4</f>
        <v>459.43</v>
      </c>
      <c r="D27">
        <f>C27/B27</f>
        <v>1.7656123899926983</v>
      </c>
      <c r="E27" s="1">
        <f>$E$4</f>
        <v>1.4159999999999999</v>
      </c>
      <c r="F27">
        <f>C27/E27/1000</f>
        <v>0.32445621468926555</v>
      </c>
      <c r="G27">
        <f>D27/$F$30</f>
        <v>0.10402754359532644</v>
      </c>
      <c r="H27">
        <f>G27*1000</f>
        <v>104.02754359532643</v>
      </c>
    </row>
    <row r="28" spans="1:8" x14ac:dyDescent="0.3">
      <c r="A28" t="s">
        <v>11</v>
      </c>
      <c r="B28">
        <v>154.21</v>
      </c>
      <c r="C28" s="3">
        <f>$C$5</f>
        <v>31.74</v>
      </c>
      <c r="D28">
        <f>C28/B28</f>
        <v>0.20582322806562478</v>
      </c>
      <c r="E28" s="1">
        <v>1.04</v>
      </c>
      <c r="F28">
        <f>C28/E28/1000</f>
        <v>3.0519230769230767E-2</v>
      </c>
      <c r="G28">
        <f>D28/$F$30</f>
        <v>1.2126831999981687E-2</v>
      </c>
      <c r="H28">
        <f>G28*1000</f>
        <v>12.126831999981688</v>
      </c>
    </row>
    <row r="29" spans="1:8" x14ac:dyDescent="0.3">
      <c r="A29" t="s">
        <v>13</v>
      </c>
      <c r="B29">
        <v>94.11</v>
      </c>
      <c r="C29" s="3">
        <f>C21</f>
        <v>161.97</v>
      </c>
      <c r="D29">
        <f>C29/B29</f>
        <v>1.7210710870258208</v>
      </c>
      <c r="E29">
        <v>1.07</v>
      </c>
      <c r="F29">
        <f>C29/E29/1000</f>
        <v>0.15137383177570093</v>
      </c>
      <c r="G29">
        <f>D29/$F$30</f>
        <v>0.10140322901617997</v>
      </c>
      <c r="H29">
        <f>G29*1000</f>
        <v>101.40322901617998</v>
      </c>
    </row>
    <row r="30" spans="1:8" x14ac:dyDescent="0.3">
      <c r="A30" t="s">
        <v>12</v>
      </c>
      <c r="F30">
        <f>SUM(F25:F29)</f>
        <v>16.972547163672722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92</v>
      </c>
      <c r="E34">
        <f>D34+273.15</f>
        <v>365.15</v>
      </c>
      <c r="F34">
        <f>E34*$B$33+$A$33</f>
        <v>1.028268795</v>
      </c>
    </row>
    <row r="35" spans="1:6" x14ac:dyDescent="0.3">
      <c r="C35" t="s">
        <v>21</v>
      </c>
      <c r="D35">
        <f>F33/F34</f>
        <v>1.0693726196368722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6"/>
  <dimension ref="A1:U35"/>
  <sheetViews>
    <sheetView topLeftCell="A15" workbookViewId="0">
      <selection activeCell="J25" sqref="J25"/>
    </sheetView>
  </sheetViews>
  <sheetFormatPr defaultRowHeight="14.4" x14ac:dyDescent="0.3"/>
  <cols>
    <col min="1" max="1" width="14.33203125" bestFit="1" customWidth="1"/>
    <col min="2" max="2" width="6.6640625" bestFit="1" customWidth="1"/>
    <col min="3" max="3" width="5.6640625" bestFit="1" customWidth="1"/>
    <col min="4" max="4" width="11.6640625" bestFit="1" customWidth="1"/>
    <col min="5" max="5" width="6.5546875" bestFit="1" customWidth="1"/>
    <col min="6" max="8" width="11.6640625" bestFit="1" customWidth="1"/>
    <col min="10" max="11" width="1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15*D35</f>
        <v>16.040589294553083</v>
      </c>
    </row>
    <row r="3" spans="1:21" x14ac:dyDescent="0.3">
      <c r="A3" t="s">
        <v>33</v>
      </c>
      <c r="B3" s="3">
        <v>85.15</v>
      </c>
      <c r="C3" s="8">
        <v>51.58</v>
      </c>
      <c r="D3">
        <f>C3/B3</f>
        <v>0.60575455079271867</v>
      </c>
      <c r="E3">
        <v>0.86199999999999999</v>
      </c>
      <c r="F3">
        <f>C3/E3/1000</f>
        <v>5.9837587006960555E-2</v>
      </c>
      <c r="G3">
        <f>D3/$F$6</f>
        <v>3.6671535693708998E-2</v>
      </c>
      <c r="H3">
        <f>G3*1000</f>
        <v>36.671535693708996</v>
      </c>
      <c r="J3">
        <f>H3</f>
        <v>36.671535693708996</v>
      </c>
      <c r="K3">
        <f>H6</f>
        <v>0</v>
      </c>
    </row>
    <row r="4" spans="1:21" x14ac:dyDescent="0.3">
      <c r="A4" t="s">
        <v>10</v>
      </c>
      <c r="B4" s="4">
        <v>293.29000000000002</v>
      </c>
      <c r="C4" s="8">
        <v>544.12</v>
      </c>
      <c r="D4">
        <f>C4/B4</f>
        <v>1.8552286133178764</v>
      </c>
      <c r="E4" s="1">
        <v>1.3779999999999999</v>
      </c>
      <c r="F4">
        <f>C4/E4/1000</f>
        <v>0.39486211901306245</v>
      </c>
      <c r="G4">
        <f>D4/$F$6</f>
        <v>0.11231295286885451</v>
      </c>
      <c r="H4">
        <f>G4*1000</f>
        <v>112.31295286885451</v>
      </c>
      <c r="J4">
        <f>H10</f>
        <v>111.31755405169122</v>
      </c>
      <c r="K4">
        <f>H13</f>
        <v>0</v>
      </c>
    </row>
    <row r="5" spans="1:21" x14ac:dyDescent="0.3">
      <c r="A5" t="s">
        <v>11</v>
      </c>
      <c r="B5">
        <v>154.21</v>
      </c>
      <c r="C5" s="8">
        <v>24.02</v>
      </c>
      <c r="D5">
        <f>C5/B5</f>
        <v>0.15576162375980804</v>
      </c>
      <c r="E5" s="1">
        <v>1.04</v>
      </c>
      <c r="F5">
        <f>C5/E5/1000</f>
        <v>2.3096153846153846E-2</v>
      </c>
      <c r="G5">
        <f>D5/$F$6</f>
        <v>9.4295914705764209E-3</v>
      </c>
      <c r="H5">
        <f>G5*1000</f>
        <v>9.4295914705764208</v>
      </c>
      <c r="J5">
        <f>H18</f>
        <v>110.06719843125278</v>
      </c>
      <c r="K5">
        <f>H21</f>
        <v>127.70794006369584</v>
      </c>
    </row>
    <row r="6" spans="1:21" x14ac:dyDescent="0.3">
      <c r="A6" t="s">
        <v>12</v>
      </c>
      <c r="F6">
        <f>SUM(F2:F5)</f>
        <v>16.51838515441926</v>
      </c>
      <c r="H6">
        <v>0</v>
      </c>
      <c r="J6">
        <f>H26</f>
        <v>256.80027497864972</v>
      </c>
      <c r="K6">
        <f>H29</f>
        <v>125.83652078995853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8</v>
      </c>
      <c r="F9">
        <f>$F$2</f>
        <v>16.040589294553083</v>
      </c>
      <c r="R9" s="15"/>
      <c r="S9" s="15"/>
      <c r="T9" s="15"/>
      <c r="U9" s="15"/>
    </row>
    <row r="10" spans="1:21" x14ac:dyDescent="0.3">
      <c r="A10" t="s">
        <v>9</v>
      </c>
      <c r="B10">
        <f>$B$3</f>
        <v>85.15</v>
      </c>
      <c r="C10" s="3">
        <f>C3+106.16</f>
        <v>157.74</v>
      </c>
      <c r="D10">
        <f>C10/B10</f>
        <v>1.8524955960070464</v>
      </c>
      <c r="E10">
        <f>$E$3</f>
        <v>0.86199999999999999</v>
      </c>
      <c r="F10">
        <f>C10/E10/1000</f>
        <v>0.18299303944315545</v>
      </c>
      <c r="G10">
        <f>D10/$F$14</f>
        <v>0.11131755405169122</v>
      </c>
      <c r="H10">
        <f>G10*1000</f>
        <v>111.31755405169122</v>
      </c>
      <c r="R10" s="15"/>
      <c r="S10" s="15"/>
      <c r="T10" s="15"/>
      <c r="U10" s="15"/>
    </row>
    <row r="11" spans="1:21" x14ac:dyDescent="0.3">
      <c r="A11" t="s">
        <v>10</v>
      </c>
      <c r="B11" s="4">
        <f>$B$4</f>
        <v>293.29000000000002</v>
      </c>
      <c r="C11" s="3">
        <f>$C$4</f>
        <v>544.12</v>
      </c>
      <c r="D11">
        <f>C11/B11</f>
        <v>1.8552286133178764</v>
      </c>
      <c r="E11" s="1">
        <f>$E$4</f>
        <v>1.3779999999999999</v>
      </c>
      <c r="F11">
        <f>C11/E11/1000</f>
        <v>0.39486211901306245</v>
      </c>
      <c r="G11">
        <f>D11/$F$14</f>
        <v>0.11148178267543439</v>
      </c>
      <c r="H11">
        <f>G11*1000</f>
        <v>111.48178267543439</v>
      </c>
    </row>
    <row r="12" spans="1:21" x14ac:dyDescent="0.3">
      <c r="A12" t="s">
        <v>11</v>
      </c>
      <c r="B12">
        <f>$B$5</f>
        <v>154.21</v>
      </c>
      <c r="C12" s="3">
        <f>$C$5</f>
        <v>24.02</v>
      </c>
      <c r="D12">
        <f>C12/B12</f>
        <v>0.15576162375980804</v>
      </c>
      <c r="E12" s="1">
        <f>$E$5</f>
        <v>1.04</v>
      </c>
      <c r="F12">
        <f>C12/E12/1000</f>
        <v>2.3096153846153846E-2</v>
      </c>
      <c r="G12">
        <f>D12/$F$14</f>
        <v>9.3598079312225638E-3</v>
      </c>
      <c r="H12">
        <f>G12*1000</f>
        <v>9.3598079312225639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16.641540606855454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16.040589294553083</v>
      </c>
    </row>
    <row r="18" spans="1:8" x14ac:dyDescent="0.3">
      <c r="A18" t="s">
        <v>9</v>
      </c>
      <c r="B18">
        <f>$B$3</f>
        <v>85.15</v>
      </c>
      <c r="C18" s="3">
        <f>C10</f>
        <v>157.74</v>
      </c>
      <c r="D18">
        <f>C18/B18</f>
        <v>1.8524955960070464</v>
      </c>
      <c r="E18">
        <f>$E$3</f>
        <v>0.86199999999999999</v>
      </c>
      <c r="F18">
        <f>C18/E18/1000</f>
        <v>0.18299303944315545</v>
      </c>
      <c r="G18">
        <f>D18/$F$22</f>
        <v>0.11006719843125277</v>
      </c>
      <c r="H18">
        <f>G18*1000</f>
        <v>110.06719843125278</v>
      </c>
    </row>
    <row r="19" spans="1:8" x14ac:dyDescent="0.3">
      <c r="A19" t="s">
        <v>10</v>
      </c>
      <c r="B19" s="4">
        <f>$B$4</f>
        <v>293.29000000000002</v>
      </c>
      <c r="C19" s="3">
        <f>$C$4</f>
        <v>544.12</v>
      </c>
      <c r="D19">
        <f>C19/B19</f>
        <v>1.8552286133178764</v>
      </c>
      <c r="E19" s="1">
        <f>$E$4</f>
        <v>1.3779999999999999</v>
      </c>
      <c r="F19">
        <f>C19/E19/1000</f>
        <v>0.39486211901306245</v>
      </c>
      <c r="G19">
        <f>D19/$F$22</f>
        <v>0.11022958238472375</v>
      </c>
      <c r="H19">
        <f>G19*1000</f>
        <v>110.22958238472374</v>
      </c>
    </row>
    <row r="20" spans="1:8" x14ac:dyDescent="0.3">
      <c r="A20" t="s">
        <v>11</v>
      </c>
      <c r="B20">
        <f>$B$5</f>
        <v>154.21</v>
      </c>
      <c r="C20" s="3">
        <f>$C$5</f>
        <v>24.02</v>
      </c>
      <c r="D20">
        <f>C20/B20</f>
        <v>0.15576162375980804</v>
      </c>
      <c r="E20" s="1">
        <f>$E$5</f>
        <v>1.04</v>
      </c>
      <c r="F20">
        <f>C20/E20/1000</f>
        <v>2.3096153846153846E-2</v>
      </c>
      <c r="G20">
        <f>D20/$F$22</f>
        <v>9.2546754698356205E-3</v>
      </c>
      <c r="H20">
        <f>G20*1000</f>
        <v>9.2546754698356199</v>
      </c>
    </row>
    <row r="21" spans="1:8" x14ac:dyDescent="0.3">
      <c r="A21" t="s">
        <v>13</v>
      </c>
      <c r="B21">
        <f>$B$13</f>
        <v>94.11</v>
      </c>
      <c r="C21" s="8">
        <v>202.28</v>
      </c>
      <c r="D21">
        <f>C21/B21</f>
        <v>2.149399638720646</v>
      </c>
      <c r="E21">
        <v>1.07</v>
      </c>
      <c r="F21">
        <f>C21/E21/1000</f>
        <v>0.18904672897196262</v>
      </c>
      <c r="G21">
        <f>D21/$F$22</f>
        <v>0.12770794006369585</v>
      </c>
      <c r="H21">
        <f>G21*1000</f>
        <v>127.70794006369584</v>
      </c>
    </row>
    <row r="22" spans="1:8" x14ac:dyDescent="0.3">
      <c r="A22" t="s">
        <v>12</v>
      </c>
      <c r="F22">
        <f>SUM(F17:F21)</f>
        <v>16.830587335827417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16.040589294553083</v>
      </c>
    </row>
    <row r="26" spans="1:8" x14ac:dyDescent="0.3">
      <c r="A26" t="s">
        <v>9</v>
      </c>
      <c r="B26">
        <f>$B$3</f>
        <v>85.15</v>
      </c>
      <c r="C26" s="3">
        <f>C18+215.76</f>
        <v>373.5</v>
      </c>
      <c r="D26">
        <f>C26/B26</f>
        <v>4.386376981796829</v>
      </c>
      <c r="E26">
        <f>$E$3</f>
        <v>0.86199999999999999</v>
      </c>
      <c r="F26">
        <f>C26/E26/1000</f>
        <v>0.43329466357308588</v>
      </c>
      <c r="G26">
        <f>D26/$F$30</f>
        <v>0.25680027497864971</v>
      </c>
      <c r="H26">
        <f>G26*1000</f>
        <v>256.80027497864972</v>
      </c>
    </row>
    <row r="27" spans="1:8" x14ac:dyDescent="0.3">
      <c r="A27" t="s">
        <v>10</v>
      </c>
      <c r="B27" s="4">
        <f>$B$4</f>
        <v>293.29000000000002</v>
      </c>
      <c r="C27" s="3">
        <f>$C$4</f>
        <v>544.12</v>
      </c>
      <c r="D27">
        <f>C27/B27</f>
        <v>1.8552286133178764</v>
      </c>
      <c r="E27" s="1">
        <f>$E$4</f>
        <v>1.3779999999999999</v>
      </c>
      <c r="F27">
        <f>C27/E27/1000</f>
        <v>0.39486211901306245</v>
      </c>
      <c r="G27">
        <f>D27/$F$30</f>
        <v>0.10861428920163818</v>
      </c>
      <c r="H27">
        <f>G27*1000</f>
        <v>108.61428920163819</v>
      </c>
    </row>
    <row r="28" spans="1:8" x14ac:dyDescent="0.3">
      <c r="A28" t="s">
        <v>11</v>
      </c>
      <c r="B28">
        <f>$B$5</f>
        <v>154.21</v>
      </c>
      <c r="C28" s="3">
        <f>$C$5</f>
        <v>24.02</v>
      </c>
      <c r="D28">
        <f>C28/B28</f>
        <v>0.15576162375980804</v>
      </c>
      <c r="E28" s="1">
        <f>$E$5</f>
        <v>1.04</v>
      </c>
      <c r="F28">
        <f>C28/E28/1000</f>
        <v>2.3096153846153846E-2</v>
      </c>
      <c r="G28">
        <f>D28/$F$30</f>
        <v>9.1190583888788989E-3</v>
      </c>
      <c r="H28">
        <f>G28*1000</f>
        <v>9.1190583888788996</v>
      </c>
    </row>
    <row r="29" spans="1:8" x14ac:dyDescent="0.3">
      <c r="A29" t="s">
        <v>13</v>
      </c>
      <c r="B29">
        <v>94.11</v>
      </c>
      <c r="C29" s="3">
        <f>C21</f>
        <v>202.28</v>
      </c>
      <c r="D29">
        <f>C29/B29</f>
        <v>2.149399638720646</v>
      </c>
      <c r="E29">
        <v>1.07</v>
      </c>
      <c r="F29">
        <f>C29/E29/1000</f>
        <v>0.18904672897196262</v>
      </c>
      <c r="G29">
        <f>D29/$F$30</f>
        <v>0.12583652078995852</v>
      </c>
      <c r="H29">
        <f>G29*1000</f>
        <v>125.83652078995853</v>
      </c>
    </row>
    <row r="30" spans="1:8" x14ac:dyDescent="0.3">
      <c r="A30" t="s">
        <v>12</v>
      </c>
      <c r="F30">
        <f>SUM(F25:F29)</f>
        <v>17.080888959957349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92</v>
      </c>
      <c r="E34">
        <f>D34+273.15</f>
        <v>365.15</v>
      </c>
      <c r="F34">
        <f>E34*$B$33+$A$33</f>
        <v>1.028268795</v>
      </c>
    </row>
    <row r="35" spans="1:6" x14ac:dyDescent="0.3">
      <c r="C35" t="s">
        <v>21</v>
      </c>
      <c r="D35">
        <f>F33/F34</f>
        <v>1.0693726196368722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59"/>
  <sheetViews>
    <sheetView topLeftCell="J1" workbookViewId="0">
      <selection activeCell="N2" sqref="N2:W55"/>
    </sheetView>
  </sheetViews>
  <sheetFormatPr defaultColWidth="16.109375" defaultRowHeight="14.4" x14ac:dyDescent="0.3"/>
  <cols>
    <col min="1" max="1" width="14.33203125" bestFit="1" customWidth="1"/>
    <col min="2" max="2" width="7" bestFit="1" customWidth="1"/>
    <col min="3" max="3" width="17.44140625" customWidth="1"/>
    <col min="4" max="4" width="12" bestFit="1" customWidth="1"/>
    <col min="5" max="5" width="6.6640625" bestFit="1" customWidth="1"/>
    <col min="6" max="8" width="12" bestFit="1" customWidth="1"/>
    <col min="10" max="11" width="12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4" x14ac:dyDescent="0.3">
      <c r="A2" t="s">
        <v>8</v>
      </c>
      <c r="F2">
        <f>15*D59</f>
        <v>16.040589294553083</v>
      </c>
    </row>
    <row r="3" spans="1:24" ht="18.600000000000001" customHeight="1" x14ac:dyDescent="0.3">
      <c r="A3" t="s">
        <v>34</v>
      </c>
      <c r="B3" s="10">
        <v>86.135999999999996</v>
      </c>
      <c r="C3" s="8">
        <v>44.74</v>
      </c>
      <c r="D3">
        <f>C3/B3</f>
        <v>0.51941116374106067</v>
      </c>
      <c r="E3">
        <v>1.1000000000000001</v>
      </c>
      <c r="F3">
        <f>C3/E3/1000</f>
        <v>4.067272727272727E-2</v>
      </c>
      <c r="G3">
        <f>D3/$F$6</f>
        <v>3.1993829884196447E-2</v>
      </c>
      <c r="H3">
        <f>G3*1000</f>
        <v>31.993829884196447</v>
      </c>
      <c r="J3">
        <f>H3</f>
        <v>31.993829884196447</v>
      </c>
      <c r="K3">
        <f>H6</f>
        <v>0</v>
      </c>
    </row>
    <row r="4" spans="1:24" x14ac:dyDescent="0.3">
      <c r="A4" t="s">
        <v>10</v>
      </c>
      <c r="B4" s="4">
        <v>293.29000000000002</v>
      </c>
      <c r="C4" s="8">
        <v>170.31</v>
      </c>
      <c r="D4">
        <f>C4/B4</f>
        <v>0.58068805619011898</v>
      </c>
      <c r="E4" s="1">
        <v>1.3779999999999999</v>
      </c>
      <c r="F4">
        <f>C4/E4/1000</f>
        <v>0.12359216255442672</v>
      </c>
      <c r="G4">
        <f>D4/$F$6</f>
        <v>3.5768262568174572E-2</v>
      </c>
      <c r="H4">
        <f>G4*1000</f>
        <v>35.768262568174571</v>
      </c>
      <c r="J4">
        <f>H10</f>
        <v>152.64568557518911</v>
      </c>
      <c r="K4">
        <f>H13</f>
        <v>0</v>
      </c>
    </row>
    <row r="5" spans="1:24" x14ac:dyDescent="0.3">
      <c r="A5" t="s">
        <v>11</v>
      </c>
      <c r="B5">
        <v>154.21</v>
      </c>
      <c r="C5" s="8">
        <v>31.07</v>
      </c>
      <c r="D5">
        <f>C5/B5</f>
        <v>0.20147850333960182</v>
      </c>
      <c r="E5" s="1">
        <v>1.04</v>
      </c>
      <c r="F5">
        <f>C5/E5/1000</f>
        <v>2.9874999999999999E-2</v>
      </c>
      <c r="G5">
        <f>D5/$F$6</f>
        <v>1.2410339652197486E-2</v>
      </c>
      <c r="H5">
        <f>G5*1000</f>
        <v>12.410339652197486</v>
      </c>
      <c r="J5">
        <f>H18</f>
        <v>150.95913826559067</v>
      </c>
      <c r="K5">
        <f>H21</f>
        <v>125.62092837754155</v>
      </c>
    </row>
    <row r="6" spans="1:24" x14ac:dyDescent="0.3">
      <c r="A6" t="s">
        <v>12</v>
      </c>
      <c r="F6">
        <f>SUM(F2:F5)</f>
        <v>16.234729184380239</v>
      </c>
      <c r="H6">
        <v>0</v>
      </c>
      <c r="J6">
        <f>H26</f>
        <v>150.33345380016897</v>
      </c>
      <c r="K6">
        <f>H29</f>
        <v>125.10026388302516</v>
      </c>
    </row>
    <row r="7" spans="1:24" x14ac:dyDescent="0.3">
      <c r="J7">
        <f>H34</f>
        <v>386.19082858644657</v>
      </c>
      <c r="K7">
        <f>H37</f>
        <v>122.76227460513486</v>
      </c>
      <c r="R7" s="15"/>
      <c r="S7" s="15"/>
      <c r="T7" s="15"/>
      <c r="U7" s="15"/>
      <c r="V7" s="15"/>
      <c r="W7" s="15"/>
      <c r="X7" s="15">
        <f>K26</f>
        <v>0</v>
      </c>
    </row>
    <row r="8" spans="1:24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J8">
        <f>H42</f>
        <v>382.96578481942919</v>
      </c>
      <c r="K8">
        <f>H45</f>
        <v>121.73709824351771</v>
      </c>
      <c r="R8" s="15"/>
      <c r="S8" s="15"/>
      <c r="T8" s="15"/>
      <c r="U8" s="15"/>
      <c r="V8" s="15"/>
      <c r="W8" s="15"/>
      <c r="X8" s="15">
        <f>K27</f>
        <v>0</v>
      </c>
    </row>
    <row r="9" spans="1:24" x14ac:dyDescent="0.3">
      <c r="A9" t="s">
        <v>8</v>
      </c>
      <c r="F9">
        <f>$F$2</f>
        <v>16.040589294553083</v>
      </c>
      <c r="R9" s="15"/>
      <c r="S9" s="15"/>
      <c r="T9" s="15"/>
      <c r="U9" s="15"/>
      <c r="V9" s="15"/>
      <c r="W9" s="15"/>
      <c r="X9" s="15">
        <f>K29</f>
        <v>0</v>
      </c>
    </row>
    <row r="10" spans="1:24" x14ac:dyDescent="0.3">
      <c r="A10" t="str">
        <f>$A$3</f>
        <v>Piperazine</v>
      </c>
      <c r="B10">
        <f>$B$3</f>
        <v>86.135999999999996</v>
      </c>
      <c r="C10" s="3">
        <f>C3+170.76</f>
        <v>215.5</v>
      </c>
      <c r="D10">
        <f>C10/B10</f>
        <v>2.5018575276307238</v>
      </c>
      <c r="E10">
        <f>$E$3</f>
        <v>1.1000000000000001</v>
      </c>
      <c r="F10">
        <f>C10/E10/1000</f>
        <v>0.19590909090909089</v>
      </c>
      <c r="G10">
        <f>D10/$F$14</f>
        <v>0.15264568557518909</v>
      </c>
      <c r="H10">
        <f>G10*1000</f>
        <v>152.64568557518911</v>
      </c>
      <c r="R10" s="15"/>
      <c r="S10" s="15"/>
      <c r="T10" s="15"/>
      <c r="U10" s="15"/>
      <c r="V10" s="15"/>
      <c r="W10" s="15"/>
      <c r="X10" s="15">
        <f>K28</f>
        <v>0</v>
      </c>
    </row>
    <row r="11" spans="1:24" x14ac:dyDescent="0.3">
      <c r="A11" t="s">
        <v>10</v>
      </c>
      <c r="B11" s="4">
        <v>293.29000000000002</v>
      </c>
      <c r="C11" s="3">
        <f>C4</f>
        <v>170.31</v>
      </c>
      <c r="D11">
        <f>C11/B11</f>
        <v>0.58068805619011898</v>
      </c>
      <c r="E11" s="1">
        <v>1.3779999999999999</v>
      </c>
      <c r="F11">
        <f>C11/E11/1000</f>
        <v>0.12359216255442672</v>
      </c>
      <c r="G11">
        <f>D11/$F$14</f>
        <v>3.5429486077253519E-2</v>
      </c>
      <c r="H11">
        <f>G11*1000</f>
        <v>35.429486077253522</v>
      </c>
    </row>
    <row r="12" spans="1:24" x14ac:dyDescent="0.3">
      <c r="A12" t="s">
        <v>11</v>
      </c>
      <c r="B12">
        <v>154.21</v>
      </c>
      <c r="C12" s="3">
        <f>$C$5</f>
        <v>31.07</v>
      </c>
      <c r="D12">
        <f>C12/B12</f>
        <v>0.20147850333960182</v>
      </c>
      <c r="E12" s="1">
        <v>1.04</v>
      </c>
      <c r="F12">
        <f>C12/E12/1000</f>
        <v>2.9874999999999999E-2</v>
      </c>
      <c r="G12">
        <f>D12/$F$14</f>
        <v>1.2292796025064454E-2</v>
      </c>
      <c r="H12">
        <f>G12*1000</f>
        <v>12.292796025064455</v>
      </c>
    </row>
    <row r="13" spans="1:24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4" x14ac:dyDescent="0.3">
      <c r="A14" t="s">
        <v>12</v>
      </c>
      <c r="F14">
        <f>SUM(F9:F13)</f>
        <v>16.389965548016601</v>
      </c>
    </row>
    <row r="16" spans="1:24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16.040589294553083</v>
      </c>
    </row>
    <row r="18" spans="1:8" x14ac:dyDescent="0.3">
      <c r="A18" t="str">
        <f>$A$3</f>
        <v>Piperazine</v>
      </c>
      <c r="B18">
        <f>$B$3</f>
        <v>86.135999999999996</v>
      </c>
      <c r="C18" s="3">
        <f>C10</f>
        <v>215.5</v>
      </c>
      <c r="D18">
        <f>C18/B18</f>
        <v>2.5018575276307238</v>
      </c>
      <c r="E18">
        <f>$E$3</f>
        <v>1.1000000000000001</v>
      </c>
      <c r="F18">
        <f>C18/E18/1000</f>
        <v>0.19590909090909089</v>
      </c>
      <c r="G18">
        <f>D18/$F$22</f>
        <v>0.15095913826559068</v>
      </c>
      <c r="H18">
        <f>G18*1000</f>
        <v>150.95913826559067</v>
      </c>
    </row>
    <row r="19" spans="1:8" x14ac:dyDescent="0.3">
      <c r="A19" t="s">
        <v>10</v>
      </c>
      <c r="B19" s="4">
        <v>293.29000000000002</v>
      </c>
      <c r="C19" s="3">
        <f>C4</f>
        <v>170.31</v>
      </c>
      <c r="D19">
        <f>C19/B19</f>
        <v>0.58068805619011898</v>
      </c>
      <c r="E19" s="1">
        <v>1.3779999999999999</v>
      </c>
      <c r="F19">
        <f>C19/E19/1000</f>
        <v>0.12359216255442672</v>
      </c>
      <c r="G19">
        <f>D19/$F$22</f>
        <v>3.5038033779084148E-2</v>
      </c>
      <c r="H19">
        <f>G19*1000</f>
        <v>35.038033779084145</v>
      </c>
    </row>
    <row r="20" spans="1:8" x14ac:dyDescent="0.3">
      <c r="A20" t="s">
        <v>11</v>
      </c>
      <c r="B20">
        <v>154.21</v>
      </c>
      <c r="C20" s="3">
        <f>$C$5</f>
        <v>31.07</v>
      </c>
      <c r="D20">
        <f>C20/B20</f>
        <v>0.20147850333960182</v>
      </c>
      <c r="E20" s="1">
        <v>1.04</v>
      </c>
      <c r="F20">
        <f>C20/E20/1000</f>
        <v>2.9874999999999999E-2</v>
      </c>
      <c r="G20">
        <f>D20/$F$22</f>
        <v>1.2156975729945126E-2</v>
      </c>
      <c r="H20">
        <f>G20*1000</f>
        <v>12.156975729945126</v>
      </c>
    </row>
    <row r="21" spans="1:8" x14ac:dyDescent="0.3">
      <c r="A21" t="s">
        <v>13</v>
      </c>
      <c r="B21">
        <v>94.11</v>
      </c>
      <c r="C21" s="8">
        <v>195.93</v>
      </c>
      <c r="D21">
        <f>C21/B21</f>
        <v>2.0819254064392734</v>
      </c>
      <c r="E21">
        <v>1.07</v>
      </c>
      <c r="F21">
        <f>C21/E21/1000</f>
        <v>0.18311214953271027</v>
      </c>
      <c r="G21">
        <f>D21/$F$22</f>
        <v>0.12562092837754155</v>
      </c>
      <c r="H21">
        <f>G21*1000</f>
        <v>125.62092837754155</v>
      </c>
    </row>
    <row r="22" spans="1:8" x14ac:dyDescent="0.3">
      <c r="A22" t="s">
        <v>12</v>
      </c>
      <c r="F22">
        <f>SUM(F17:F21)</f>
        <v>16.573077697549312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16.040589294553083</v>
      </c>
    </row>
    <row r="26" spans="1:8" x14ac:dyDescent="0.3">
      <c r="A26" t="str">
        <f>$A$3</f>
        <v>Piperazine</v>
      </c>
      <c r="B26">
        <f>$B$3</f>
        <v>86.135999999999996</v>
      </c>
      <c r="C26" s="3">
        <f>C18</f>
        <v>215.5</v>
      </c>
      <c r="D26">
        <f>C26/B26</f>
        <v>2.5018575276307238</v>
      </c>
      <c r="E26">
        <f>$E$3</f>
        <v>1.1000000000000001</v>
      </c>
      <c r="F26">
        <f>C26/E26/1000</f>
        <v>0.19590909090909089</v>
      </c>
      <c r="G26">
        <f>D26/$F$30</f>
        <v>0.15033345380016896</v>
      </c>
      <c r="H26">
        <f>G26*1000</f>
        <v>150.33345380016897</v>
      </c>
    </row>
    <row r="27" spans="1:8" x14ac:dyDescent="0.3">
      <c r="A27" t="s">
        <v>10</v>
      </c>
      <c r="B27" s="4">
        <v>293.29000000000002</v>
      </c>
      <c r="C27" s="3">
        <f>C19+95.05</f>
        <v>265.36</v>
      </c>
      <c r="D27">
        <f>C27/B27</f>
        <v>0.90477002284428376</v>
      </c>
      <c r="E27" s="1">
        <v>1.3779999999999999</v>
      </c>
      <c r="F27">
        <f>C27/E27/1000</f>
        <v>0.19256894049346884</v>
      </c>
      <c r="G27">
        <f>D27/$F$30</f>
        <v>5.4366486071590246E-2</v>
      </c>
      <c r="H27">
        <f>G27*1000</f>
        <v>54.366486071590245</v>
      </c>
    </row>
    <row r="28" spans="1:8" x14ac:dyDescent="0.3">
      <c r="A28" t="s">
        <v>11</v>
      </c>
      <c r="B28">
        <v>154.21</v>
      </c>
      <c r="C28" s="3">
        <f>$C$5</f>
        <v>31.07</v>
      </c>
      <c r="D28">
        <f>C28/B28</f>
        <v>0.20147850333960182</v>
      </c>
      <c r="E28" s="1">
        <v>1.04</v>
      </c>
      <c r="F28">
        <f>C28/E28/1000</f>
        <v>2.9874999999999999E-2</v>
      </c>
      <c r="G28">
        <f>D28/$F$30</f>
        <v>1.2106588380440301E-2</v>
      </c>
      <c r="H28">
        <f>G28*1000</f>
        <v>12.1065883804403</v>
      </c>
    </row>
    <row r="29" spans="1:8" x14ac:dyDescent="0.3">
      <c r="A29" t="s">
        <v>13</v>
      </c>
      <c r="B29">
        <v>94.11</v>
      </c>
      <c r="C29" s="3">
        <f>C21</f>
        <v>195.93</v>
      </c>
      <c r="D29">
        <f>C29/B29</f>
        <v>2.0819254064392734</v>
      </c>
      <c r="E29">
        <v>1.07</v>
      </c>
      <c r="F29">
        <f>C29/E29/1000</f>
        <v>0.18311214953271027</v>
      </c>
      <c r="G29">
        <f>D29/$F$30</f>
        <v>0.12510026388302517</v>
      </c>
      <c r="H29">
        <f>G29*1000</f>
        <v>125.10026388302516</v>
      </c>
    </row>
    <row r="30" spans="1:8" x14ac:dyDescent="0.3">
      <c r="A30" t="s">
        <v>12</v>
      </c>
      <c r="F30">
        <f>SUM(F25:F29)</f>
        <v>16.642054475488354</v>
      </c>
    </row>
    <row r="32" spans="1:8" x14ac:dyDescent="0.3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</row>
    <row r="33" spans="1:10" x14ac:dyDescent="0.3">
      <c r="A33" t="s">
        <v>8</v>
      </c>
      <c r="F33">
        <f>$F$2</f>
        <v>16.040589294553083</v>
      </c>
    </row>
    <row r="34" spans="1:10" x14ac:dyDescent="0.3">
      <c r="A34" t="str">
        <f>$A$3</f>
        <v>Piperazine</v>
      </c>
      <c r="B34">
        <f>$B$3</f>
        <v>86.135999999999996</v>
      </c>
      <c r="C34" s="3">
        <f>C26+348.64</f>
        <v>564.14</v>
      </c>
      <c r="D34">
        <f>C34/B34</f>
        <v>6.5494102349772456</v>
      </c>
      <c r="E34">
        <f>$E$3</f>
        <v>1.1000000000000001</v>
      </c>
      <c r="F34">
        <f>C34/E34/1000</f>
        <v>0.51285454545454534</v>
      </c>
      <c r="G34">
        <f>D34/$F$38</f>
        <v>0.38619082858644654</v>
      </c>
      <c r="H34">
        <f>G34*1000</f>
        <v>386.19082858644657</v>
      </c>
    </row>
    <row r="35" spans="1:10" x14ac:dyDescent="0.3">
      <c r="A35" t="s">
        <v>10</v>
      </c>
      <c r="B35" s="4">
        <v>293.29000000000002</v>
      </c>
      <c r="C35" s="3">
        <f>C27</f>
        <v>265.36</v>
      </c>
      <c r="D35">
        <f>C35/B35</f>
        <v>0.90477002284428376</v>
      </c>
      <c r="E35" s="1">
        <v>1.3779999999999999</v>
      </c>
      <c r="F35">
        <f>C35/E35/1000</f>
        <v>0.19256894049346884</v>
      </c>
      <c r="G35">
        <f>D35/$F$38</f>
        <v>5.3350434965328764E-2</v>
      </c>
      <c r="H35">
        <f>G35*1000</f>
        <v>53.350434965328766</v>
      </c>
    </row>
    <row r="36" spans="1:10" x14ac:dyDescent="0.3">
      <c r="A36" t="s">
        <v>11</v>
      </c>
      <c r="B36">
        <v>154.21</v>
      </c>
      <c r="C36" s="3">
        <f>$C$5</f>
        <v>31.07</v>
      </c>
      <c r="D36">
        <f>C36/B36</f>
        <v>0.20147850333960182</v>
      </c>
      <c r="E36" s="1">
        <v>1.04</v>
      </c>
      <c r="F36">
        <f>C36/E36/1000</f>
        <v>2.9874999999999999E-2</v>
      </c>
      <c r="G36">
        <f>D36/$F$38</f>
        <v>1.1880329274769928E-2</v>
      </c>
      <c r="H36">
        <f>G36*1000</f>
        <v>11.880329274769927</v>
      </c>
    </row>
    <row r="37" spans="1:10" x14ac:dyDescent="0.3">
      <c r="A37" t="s">
        <v>13</v>
      </c>
      <c r="B37">
        <v>94.11</v>
      </c>
      <c r="C37" s="3">
        <f>C29</f>
        <v>195.93</v>
      </c>
      <c r="D37">
        <f>C37/B37</f>
        <v>2.0819254064392734</v>
      </c>
      <c r="E37">
        <v>1.07</v>
      </c>
      <c r="F37">
        <f>C37/E37/1000</f>
        <v>0.18311214953271027</v>
      </c>
      <c r="G37">
        <f>D37/$F$38</f>
        <v>0.12276227460513486</v>
      </c>
      <c r="H37">
        <f>G37*1000</f>
        <v>122.76227460513486</v>
      </c>
    </row>
    <row r="38" spans="1:10" x14ac:dyDescent="0.3">
      <c r="A38" t="s">
        <v>12</v>
      </c>
      <c r="F38">
        <f>SUM(F33:F37)</f>
        <v>16.958999930033809</v>
      </c>
    </row>
    <row r="40" spans="1:10" x14ac:dyDescent="0.3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</row>
    <row r="41" spans="1:10" x14ac:dyDescent="0.3">
      <c r="A41" t="s">
        <v>8</v>
      </c>
      <c r="F41">
        <f>$F$2</f>
        <v>16.040589294553083</v>
      </c>
      <c r="J41">
        <f>D42/D43</f>
        <v>4.1563019902554883</v>
      </c>
    </row>
    <row r="42" spans="1:10" x14ac:dyDescent="0.3">
      <c r="A42" t="str">
        <f>$A$3</f>
        <v>Piperazine</v>
      </c>
      <c r="B42">
        <f>$B$3</f>
        <v>86.135999999999996</v>
      </c>
      <c r="C42" s="3">
        <f>C34</f>
        <v>564.14</v>
      </c>
      <c r="D42">
        <f>C42/B42</f>
        <v>6.5494102349772456</v>
      </c>
      <c r="E42">
        <f>$E$3</f>
        <v>1.1000000000000001</v>
      </c>
      <c r="F42">
        <f>C42/E42/1000</f>
        <v>0.51285454545454534</v>
      </c>
      <c r="G42">
        <f>D42/$F$46</f>
        <v>0.38296578481942917</v>
      </c>
      <c r="H42">
        <f>G42*1000</f>
        <v>382.96578481942919</v>
      </c>
    </row>
    <row r="43" spans="1:10" x14ac:dyDescent="0.3">
      <c r="A43" t="s">
        <v>10</v>
      </c>
      <c r="B43" s="4">
        <v>293.29000000000002</v>
      </c>
      <c r="C43" s="3">
        <f>C35+196.8</f>
        <v>462.16</v>
      </c>
      <c r="D43">
        <f>C43/B43</f>
        <v>1.575778239967268</v>
      </c>
      <c r="E43" s="1">
        <v>1.3779999999999999</v>
      </c>
      <c r="F43">
        <f>C43/E43/1000</f>
        <v>0.33538461538461539</v>
      </c>
      <c r="G43">
        <f>D43/$F$46</f>
        <v>9.2140991130408273E-2</v>
      </c>
      <c r="H43">
        <f>G43*1000</f>
        <v>92.140991130408267</v>
      </c>
    </row>
    <row r="44" spans="1:10" x14ac:dyDescent="0.3">
      <c r="A44" t="s">
        <v>11</v>
      </c>
      <c r="B44">
        <v>154.21</v>
      </c>
      <c r="C44" s="3">
        <f>C36</f>
        <v>31.07</v>
      </c>
      <c r="D44">
        <f>C44/B44</f>
        <v>0.20147850333960182</v>
      </c>
      <c r="E44" s="1">
        <v>1.04</v>
      </c>
      <c r="F44">
        <f>C44/E44/1000</f>
        <v>2.9874999999999999E-2</v>
      </c>
      <c r="G44">
        <f>D44/$F$46</f>
        <v>1.1781117747613905E-2</v>
      </c>
      <c r="H44">
        <f>G44*1000</f>
        <v>11.781117747613905</v>
      </c>
    </row>
    <row r="45" spans="1:10" x14ac:dyDescent="0.3">
      <c r="A45" t="s">
        <v>13</v>
      </c>
      <c r="B45">
        <v>94.11</v>
      </c>
      <c r="C45" s="3">
        <f>C37</f>
        <v>195.93</v>
      </c>
      <c r="D45">
        <f>C45/B45</f>
        <v>2.0819254064392734</v>
      </c>
      <c r="E45">
        <v>1.07</v>
      </c>
      <c r="F45">
        <f>C45/E45/1000</f>
        <v>0.18311214953271027</v>
      </c>
      <c r="G45">
        <f>D45/$F$46</f>
        <v>0.12173709824351771</v>
      </c>
      <c r="H45">
        <f>G45*1000</f>
        <v>121.73709824351771</v>
      </c>
    </row>
    <row r="46" spans="1:10" x14ac:dyDescent="0.3">
      <c r="A46" t="s">
        <v>12</v>
      </c>
      <c r="F46">
        <f>SUM(F41:F45)</f>
        <v>17.101815604924955</v>
      </c>
    </row>
    <row r="50" spans="1:6" x14ac:dyDescent="0.3">
      <c r="C50" s="3"/>
    </row>
    <row r="51" spans="1:6" x14ac:dyDescent="0.3">
      <c r="B51" s="4"/>
      <c r="C51" s="3"/>
      <c r="E51" s="1"/>
    </row>
    <row r="52" spans="1:6" x14ac:dyDescent="0.3">
      <c r="C52" s="3"/>
      <c r="E52" s="1"/>
    </row>
    <row r="53" spans="1:6" x14ac:dyDescent="0.3">
      <c r="C53" s="3"/>
    </row>
    <row r="56" spans="1:6" x14ac:dyDescent="0.3">
      <c r="A56" t="s">
        <v>14</v>
      </c>
      <c r="B56" t="s">
        <v>15</v>
      </c>
      <c r="D56" t="s">
        <v>16</v>
      </c>
      <c r="E56" t="s">
        <v>17</v>
      </c>
      <c r="F56" t="s">
        <v>18</v>
      </c>
    </row>
    <row r="57" spans="1:6" x14ac:dyDescent="0.3">
      <c r="A57">
        <v>1.395135</v>
      </c>
      <c r="B57">
        <v>-1.0047000000000001E-3</v>
      </c>
      <c r="C57" t="s">
        <v>19</v>
      </c>
      <c r="D57">
        <v>21</v>
      </c>
      <c r="E57">
        <f>D57+273.15</f>
        <v>294.14999999999998</v>
      </c>
      <c r="F57">
        <f>E57*$B$57+$A$57</f>
        <v>1.0996024950000001</v>
      </c>
    </row>
    <row r="58" spans="1:6" x14ac:dyDescent="0.3">
      <c r="C58" t="s">
        <v>20</v>
      </c>
      <c r="D58">
        <v>92</v>
      </c>
      <c r="E58">
        <f>D58+273.15</f>
        <v>365.15</v>
      </c>
      <c r="F58">
        <f>E58*$B$57+$A$57</f>
        <v>1.028268795</v>
      </c>
    </row>
    <row r="59" spans="1:6" x14ac:dyDescent="0.3">
      <c r="C59" t="s">
        <v>21</v>
      </c>
      <c r="D59">
        <f>F57/F58</f>
        <v>1.0693726196368722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3"/>
  <dimension ref="A1:U35"/>
  <sheetViews>
    <sheetView topLeftCell="B1" zoomScale="85" zoomScaleNormal="85" workbookViewId="0">
      <selection activeCell="J1" sqref="J1:N34"/>
    </sheetView>
  </sheetViews>
  <sheetFormatPr defaultColWidth="15.55468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15*$D$35</f>
        <v>16.040589294553083</v>
      </c>
    </row>
    <row r="3" spans="1:21" x14ac:dyDescent="0.3">
      <c r="A3" t="s">
        <v>35</v>
      </c>
      <c r="B3" s="7">
        <v>130.19</v>
      </c>
      <c r="C3" s="3">
        <v>77.540000000000006</v>
      </c>
      <c r="D3">
        <f>C3/B3</f>
        <v>0.59559105922113842</v>
      </c>
      <c r="E3">
        <v>1.0609999999999999</v>
      </c>
      <c r="F3">
        <f>C3/E3/1000</f>
        <v>7.3081998114985877E-2</v>
      </c>
      <c r="G3">
        <f>D3/$F$6</f>
        <v>3.5893442432577041E-2</v>
      </c>
      <c r="H3">
        <f>G3*1000</f>
        <v>35.893442432577039</v>
      </c>
    </row>
    <row r="4" spans="1:21" x14ac:dyDescent="0.3">
      <c r="A4" t="s">
        <v>10</v>
      </c>
      <c r="B4" s="4">
        <v>293.29000000000002</v>
      </c>
      <c r="C4" s="3">
        <v>626.55999999999995</v>
      </c>
      <c r="D4">
        <f>C4/B4</f>
        <v>2.1363155920761017</v>
      </c>
      <c r="E4" s="1">
        <v>1.3779999999999999</v>
      </c>
      <c r="F4">
        <f>C4/E4/1000</f>
        <v>0.4546879535558781</v>
      </c>
      <c r="G4">
        <f>D4/$F$6</f>
        <v>0.12874558732005695</v>
      </c>
      <c r="H4">
        <f>G4*1000</f>
        <v>128.74558732005696</v>
      </c>
    </row>
    <row r="5" spans="1:21" x14ac:dyDescent="0.3">
      <c r="A5" t="s">
        <v>11</v>
      </c>
      <c r="B5">
        <v>154.21</v>
      </c>
      <c r="C5" s="3">
        <v>25.95</v>
      </c>
      <c r="D5">
        <f>C5/B5</f>
        <v>0.16827702483626222</v>
      </c>
      <c r="E5" s="1">
        <v>1.04</v>
      </c>
      <c r="F5">
        <f>C5/E5/1000</f>
        <v>2.4951923076923076E-2</v>
      </c>
      <c r="G5">
        <f>D5/$F$6</f>
        <v>1.0141256505066329E-2</v>
      </c>
      <c r="H5">
        <f>G5*1000</f>
        <v>10.141256505066329</v>
      </c>
    </row>
    <row r="6" spans="1:21" x14ac:dyDescent="0.3">
      <c r="A6" t="s">
        <v>12</v>
      </c>
      <c r="F6">
        <f>SUM(F2:F5)</f>
        <v>16.593311169300872</v>
      </c>
      <c r="H6">
        <v>0</v>
      </c>
    </row>
    <row r="7" spans="1:21" x14ac:dyDescent="0.3">
      <c r="R7" s="15">
        <f>H3</f>
        <v>35.893442432577039</v>
      </c>
      <c r="S7" s="15">
        <f>H10</f>
        <v>107.06160643126275</v>
      </c>
      <c r="T7" s="15">
        <f>H18</f>
        <v>105.88412140571806</v>
      </c>
      <c r="U7" s="15">
        <f>H26</f>
        <v>225.89950750093897</v>
      </c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>
        <f>H4</f>
        <v>128.74558732005696</v>
      </c>
      <c r="S8" s="15">
        <f>H11</f>
        <v>127.61631847242901</v>
      </c>
      <c r="T8" s="15">
        <f>H19</f>
        <v>126.21276860030092</v>
      </c>
      <c r="U8" s="15">
        <f>H27</f>
        <v>124.32963117262835</v>
      </c>
    </row>
    <row r="9" spans="1:21" x14ac:dyDescent="0.3">
      <c r="A9" t="s">
        <v>8</v>
      </c>
      <c r="F9">
        <f>$F$2</f>
        <v>16.040589294553083</v>
      </c>
      <c r="R9" s="15">
        <f>H6</f>
        <v>0</v>
      </c>
      <c r="S9" s="15">
        <f>H13</f>
        <v>0</v>
      </c>
      <c r="T9" s="15">
        <f>H21</f>
        <v>125.04595320949508</v>
      </c>
      <c r="U9" s="15">
        <f>H29</f>
        <v>123.1802250642428</v>
      </c>
    </row>
    <row r="10" spans="1:21" x14ac:dyDescent="0.3">
      <c r="A10" t="s">
        <v>35</v>
      </c>
      <c r="B10">
        <f>$B$3</f>
        <v>130.19</v>
      </c>
      <c r="C10" s="3">
        <f>C3+155.79</f>
        <v>233.32999999999998</v>
      </c>
      <c r="D10">
        <f>C10/B10</f>
        <v>1.7922267455257699</v>
      </c>
      <c r="E10">
        <f>$E$3</f>
        <v>1.0609999999999999</v>
      </c>
      <c r="F10">
        <f>C10/E10/1000</f>
        <v>0.21991517436380772</v>
      </c>
      <c r="G10">
        <f>D10/$F$14</f>
        <v>0.10706160643126275</v>
      </c>
      <c r="H10">
        <f>G10*1000</f>
        <v>107.06160643126275</v>
      </c>
      <c r="R10" s="15">
        <f>H5</f>
        <v>10.141256505066329</v>
      </c>
      <c r="S10" s="15">
        <f>H12</f>
        <v>10.052304290972142</v>
      </c>
      <c r="T10" s="15">
        <f>H20</f>
        <v>9.9417470317511381</v>
      </c>
      <c r="U10" s="15">
        <f>H28</f>
        <v>9.7934127852278525</v>
      </c>
    </row>
    <row r="11" spans="1:21" x14ac:dyDescent="0.3">
      <c r="A11" t="str">
        <f>$A$4</f>
        <v>Ar-4SO2Me-Oph</v>
      </c>
      <c r="B11" s="4">
        <f>$B$4</f>
        <v>293.29000000000002</v>
      </c>
      <c r="C11" s="3">
        <f>C4</f>
        <v>626.55999999999995</v>
      </c>
      <c r="D11">
        <f>C11/B11</f>
        <v>2.1363155920761017</v>
      </c>
      <c r="E11" s="1">
        <f>$E$4</f>
        <v>1.3779999999999999</v>
      </c>
      <c r="F11">
        <f>C11/E11/1000</f>
        <v>0.4546879535558781</v>
      </c>
      <c r="G11">
        <f>D11/$F$14</f>
        <v>0.12761631847242902</v>
      </c>
      <c r="H11">
        <f>G11*1000</f>
        <v>127.61631847242901</v>
      </c>
    </row>
    <row r="12" spans="1:21" x14ac:dyDescent="0.3">
      <c r="A12" t="s">
        <v>11</v>
      </c>
      <c r="B12">
        <v>154.21</v>
      </c>
      <c r="C12" s="3">
        <f>$C$5</f>
        <v>25.95</v>
      </c>
      <c r="D12">
        <f>C12/B12</f>
        <v>0.16827702483626222</v>
      </c>
      <c r="E12" s="1">
        <v>1.04</v>
      </c>
      <c r="F12">
        <f>C12/E12/1000</f>
        <v>2.4951923076923076E-2</v>
      </c>
      <c r="G12">
        <f>D12/$F$14</f>
        <v>1.0052304290972142E-2</v>
      </c>
      <c r="H12">
        <f>G12*1000</f>
        <v>10.052304290972142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16.740144345549695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16.040589294553083</v>
      </c>
    </row>
    <row r="18" spans="1:8" x14ac:dyDescent="0.3">
      <c r="A18" t="s">
        <v>35</v>
      </c>
      <c r="B18">
        <f>$B$3</f>
        <v>130.19</v>
      </c>
      <c r="C18" s="3">
        <f>C10</f>
        <v>233.32999999999998</v>
      </c>
      <c r="D18">
        <f>C18/B18</f>
        <v>1.7922267455257699</v>
      </c>
      <c r="E18">
        <f>$E$10</f>
        <v>1.0609999999999999</v>
      </c>
      <c r="F18">
        <f>C18/E18/1000</f>
        <v>0.21991517436380772</v>
      </c>
      <c r="G18">
        <f>D18/$F$22</f>
        <v>0.10588412140571807</v>
      </c>
      <c r="H18">
        <f>G18*1000</f>
        <v>105.88412140571806</v>
      </c>
    </row>
    <row r="19" spans="1:8" x14ac:dyDescent="0.3">
      <c r="A19" t="str">
        <f>$A$4</f>
        <v>Ar-4SO2Me-Oph</v>
      </c>
      <c r="B19" s="4">
        <f>$B$4</f>
        <v>293.29000000000002</v>
      </c>
      <c r="C19" s="3">
        <f>C4</f>
        <v>626.55999999999995</v>
      </c>
      <c r="D19">
        <f>C19/B19</f>
        <v>2.1363155920761017</v>
      </c>
      <c r="E19" s="1">
        <f>$E$4</f>
        <v>1.3779999999999999</v>
      </c>
      <c r="F19">
        <f>C19/E19/1000</f>
        <v>0.4546879535558781</v>
      </c>
      <c r="G19">
        <f>D19/$F$22</f>
        <v>0.12621276860030092</v>
      </c>
      <c r="H19">
        <f>G19*1000</f>
        <v>126.21276860030092</v>
      </c>
    </row>
    <row r="20" spans="1:8" x14ac:dyDescent="0.3">
      <c r="A20" t="s">
        <v>11</v>
      </c>
      <c r="B20">
        <v>154.21</v>
      </c>
      <c r="C20" s="3">
        <f>$C$5</f>
        <v>25.95</v>
      </c>
      <c r="D20">
        <f>C20/B20</f>
        <v>0.16827702483626222</v>
      </c>
      <c r="E20" s="1">
        <v>1.04</v>
      </c>
      <c r="F20">
        <f>C20/E20/1000</f>
        <v>2.4951923076923076E-2</v>
      </c>
      <c r="G20">
        <f>D20/$F$22</f>
        <v>9.9417470317511372E-3</v>
      </c>
      <c r="H20">
        <f>G20*1000</f>
        <v>9.9417470317511381</v>
      </c>
    </row>
    <row r="21" spans="1:8" x14ac:dyDescent="0.3">
      <c r="A21" t="s">
        <v>13</v>
      </c>
      <c r="B21">
        <v>94.11</v>
      </c>
      <c r="C21" s="3">
        <v>199.19</v>
      </c>
      <c r="D21">
        <f>C21/B21</f>
        <v>2.1165657209648283</v>
      </c>
      <c r="E21">
        <v>1.07</v>
      </c>
      <c r="F21">
        <f>C21/E21/1000</f>
        <v>0.18615887850467289</v>
      </c>
      <c r="G21">
        <f>D21/$F$22</f>
        <v>0.12504595320949508</v>
      </c>
      <c r="H21">
        <f>G21*1000</f>
        <v>125.04595320949508</v>
      </c>
    </row>
    <row r="22" spans="1:8" x14ac:dyDescent="0.3">
      <c r="A22" t="s">
        <v>12</v>
      </c>
      <c r="F22">
        <f>SUM(F17:F21)</f>
        <v>16.926303224054369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16.040589294553083</v>
      </c>
    </row>
    <row r="26" spans="1:8" x14ac:dyDescent="0.3">
      <c r="A26" t="s">
        <v>35</v>
      </c>
      <c r="B26">
        <f>$B$3</f>
        <v>130.19</v>
      </c>
      <c r="C26" s="3">
        <f>C18+272.01</f>
        <v>505.34</v>
      </c>
      <c r="D26">
        <f>C26/B26</f>
        <v>3.8815577233274445</v>
      </c>
      <c r="E26">
        <f>E18</f>
        <v>1.0609999999999999</v>
      </c>
      <c r="F26">
        <f>C26/E26/1000</f>
        <v>0.47628652214891609</v>
      </c>
      <c r="G26">
        <f>D26/$F$30</f>
        <v>0.22589950750093896</v>
      </c>
      <c r="H26">
        <f>G26*1000</f>
        <v>225.89950750093897</v>
      </c>
    </row>
    <row r="27" spans="1:8" x14ac:dyDescent="0.3">
      <c r="A27" t="str">
        <f>$A$4</f>
        <v>Ar-4SO2Me-Oph</v>
      </c>
      <c r="B27" s="4">
        <f>$B$4</f>
        <v>293.29000000000002</v>
      </c>
      <c r="C27" s="3">
        <f>C4</f>
        <v>626.55999999999995</v>
      </c>
      <c r="D27">
        <f>C27/B27</f>
        <v>2.1363155920761017</v>
      </c>
      <c r="E27" s="1">
        <f>$E$4</f>
        <v>1.3779999999999999</v>
      </c>
      <c r="F27">
        <f>C27/E27/1000</f>
        <v>0.4546879535558781</v>
      </c>
      <c r="G27">
        <f>D27/$F$30</f>
        <v>0.12432963117262835</v>
      </c>
      <c r="H27">
        <f>G27*1000</f>
        <v>124.32963117262835</v>
      </c>
    </row>
    <row r="28" spans="1:8" x14ac:dyDescent="0.3">
      <c r="A28" t="s">
        <v>11</v>
      </c>
      <c r="B28">
        <v>154.21</v>
      </c>
      <c r="C28" s="3">
        <f>$C$5</f>
        <v>25.95</v>
      </c>
      <c r="D28">
        <f>C28/B28</f>
        <v>0.16827702483626222</v>
      </c>
      <c r="E28" s="1">
        <v>1.04</v>
      </c>
      <c r="F28">
        <f>C28/E28/1000</f>
        <v>2.4951923076923076E-2</v>
      </c>
      <c r="G28">
        <f>D28/$F$30</f>
        <v>9.7934127852278528E-3</v>
      </c>
      <c r="H28">
        <f>G28*1000</f>
        <v>9.7934127852278525</v>
      </c>
    </row>
    <row r="29" spans="1:8" x14ac:dyDescent="0.3">
      <c r="A29" t="s">
        <v>13</v>
      </c>
      <c r="B29">
        <v>94.11</v>
      </c>
      <c r="C29" s="3">
        <f>C21</f>
        <v>199.19</v>
      </c>
      <c r="D29">
        <f>C29/B29</f>
        <v>2.1165657209648283</v>
      </c>
      <c r="E29">
        <v>1.07</v>
      </c>
      <c r="F29">
        <f>C29/E29/1000</f>
        <v>0.18615887850467289</v>
      </c>
      <c r="G29">
        <f>D29/$F$30</f>
        <v>0.12318022506424281</v>
      </c>
      <c r="H29">
        <f>G29*1000</f>
        <v>123.1802250642428</v>
      </c>
    </row>
    <row r="30" spans="1:8" x14ac:dyDescent="0.3">
      <c r="A30" t="s">
        <v>12</v>
      </c>
      <c r="F30">
        <f>SUM(F25:F29)</f>
        <v>17.182674571839474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92</v>
      </c>
      <c r="E34">
        <f>D34+273.15</f>
        <v>365.15</v>
      </c>
      <c r="F34">
        <f>E34*$B$33+$A$33</f>
        <v>1.028268795</v>
      </c>
    </row>
    <row r="35" spans="1:6" x14ac:dyDescent="0.3">
      <c r="C35" t="s">
        <v>21</v>
      </c>
      <c r="D35">
        <f>F33/F34</f>
        <v>1.0693726196368722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4"/>
  <dimension ref="A1:U35"/>
  <sheetViews>
    <sheetView zoomScale="85" zoomScaleNormal="85" workbookViewId="0">
      <selection activeCell="C27" sqref="C27"/>
    </sheetView>
  </sheetViews>
  <sheetFormatPr defaultColWidth="15.5546875" defaultRowHeight="14.4" x14ac:dyDescent="0.3"/>
  <cols>
    <col min="1" max="1" width="24.33203125" bestFit="1" customWidth="1"/>
    <col min="2" max="2" width="6.6640625" bestFit="1" customWidth="1"/>
    <col min="3" max="3" width="35.21875" bestFit="1" customWidth="1"/>
    <col min="4" max="4" width="13.109375" bestFit="1" customWidth="1"/>
    <col min="5" max="5" width="6.6640625" bestFit="1" customWidth="1"/>
    <col min="6" max="6" width="11.6640625" bestFit="1" customWidth="1"/>
    <col min="7" max="7" width="15.33203125" bestFit="1" customWidth="1"/>
    <col min="8" max="8" width="11.6640625" bestFit="1" customWidth="1"/>
    <col min="10" max="11" width="11.6640625" bestFit="1" customWidth="1"/>
    <col min="14" max="14" width="1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15*D35</f>
        <v>16.040589294553083</v>
      </c>
    </row>
    <row r="3" spans="1:21" x14ac:dyDescent="0.3">
      <c r="A3" t="s">
        <v>36</v>
      </c>
      <c r="B3" s="7">
        <v>87.1</v>
      </c>
      <c r="C3" s="3">
        <v>62.58</v>
      </c>
      <c r="D3">
        <f>C3/B3</f>
        <v>0.71848450057405289</v>
      </c>
      <c r="E3">
        <v>1.01</v>
      </c>
      <c r="F3">
        <f>C3/E3/1000</f>
        <v>6.196039603960396E-2</v>
      </c>
      <c r="G3">
        <f>D3/$F$6</f>
        <v>4.335372889349963E-2</v>
      </c>
      <c r="H3">
        <f>G3*1000</f>
        <v>43.353728893499628</v>
      </c>
      <c r="J3">
        <f>H3</f>
        <v>43.353728893499628</v>
      </c>
      <c r="K3">
        <f>H6</f>
        <v>0</v>
      </c>
    </row>
    <row r="4" spans="1:21" x14ac:dyDescent="0.3">
      <c r="A4" t="s">
        <v>10</v>
      </c>
      <c r="B4" s="4">
        <v>293.29000000000002</v>
      </c>
      <c r="C4" s="3">
        <v>605.61</v>
      </c>
      <c r="D4">
        <f>C4/B4</f>
        <v>2.064884585222817</v>
      </c>
      <c r="E4" s="1">
        <v>1.3779999999999999</v>
      </c>
      <c r="F4">
        <f>C4/E4/1000</f>
        <v>0.43948476052249641</v>
      </c>
      <c r="G4">
        <f>D4/$F$6</f>
        <v>0.1245962110979313</v>
      </c>
      <c r="H4">
        <f>G4*1000</f>
        <v>124.5962110979313</v>
      </c>
      <c r="J4">
        <f>H10</f>
        <v>130.21093127138082</v>
      </c>
      <c r="K4">
        <f>H13</f>
        <v>0</v>
      </c>
    </row>
    <row r="5" spans="1:21" x14ac:dyDescent="0.3">
      <c r="A5" t="s">
        <v>11</v>
      </c>
      <c r="B5">
        <v>154.21</v>
      </c>
      <c r="C5" s="3">
        <v>31.8</v>
      </c>
      <c r="D5">
        <f>C5/B5</f>
        <v>0.20621230789183581</v>
      </c>
      <c r="E5" s="1">
        <v>1.04</v>
      </c>
      <c r="F5">
        <f>C5/E5/1000</f>
        <v>3.0576923076923078E-2</v>
      </c>
      <c r="G5">
        <f>D5/$F$6</f>
        <v>1.2442958036955018E-2</v>
      </c>
      <c r="H5">
        <f>G5*1000</f>
        <v>12.442958036955018</v>
      </c>
      <c r="J5">
        <f>H18</f>
        <v>128.64404953416718</v>
      </c>
      <c r="K5">
        <f>H21</f>
        <v>136.8159649839468</v>
      </c>
    </row>
    <row r="6" spans="1:21" x14ac:dyDescent="0.3">
      <c r="A6" t="s">
        <v>12</v>
      </c>
      <c r="F6">
        <f>SUM(F2:F5)</f>
        <v>16.572611374192107</v>
      </c>
      <c r="H6">
        <v>0</v>
      </c>
      <c r="J6">
        <f>H26</f>
        <v>288.13943095873634</v>
      </c>
      <c r="K6">
        <f>H29</f>
        <v>134.91301821493769</v>
      </c>
    </row>
    <row r="7" spans="1:21" x14ac:dyDescent="0.3">
      <c r="R7" s="15">
        <f>H3</f>
        <v>43.353728893499628</v>
      </c>
      <c r="S7" s="15">
        <f>H10</f>
        <v>130.21093127138082</v>
      </c>
      <c r="T7" s="15">
        <f>H18</f>
        <v>128.64404953416718</v>
      </c>
      <c r="U7" s="15">
        <f>H26</f>
        <v>288.13943095873634</v>
      </c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>
        <f>H4</f>
        <v>124.5962110979313</v>
      </c>
      <c r="S8" s="15">
        <f>H11</f>
        <v>123.65943844615063</v>
      </c>
      <c r="T8" s="15">
        <f>H19</f>
        <v>122.17139351901974</v>
      </c>
      <c r="U8" s="15">
        <f>H27</f>
        <v>120.4721352592864</v>
      </c>
    </row>
    <row r="9" spans="1:21" x14ac:dyDescent="0.3">
      <c r="A9" t="s">
        <v>8</v>
      </c>
      <c r="F9">
        <f>$F$2</f>
        <v>16.040589294553083</v>
      </c>
      <c r="R9" s="15">
        <f>H6</f>
        <v>0</v>
      </c>
      <c r="S9" s="15">
        <f>H13</f>
        <v>0</v>
      </c>
      <c r="T9" s="15">
        <f>H21</f>
        <v>136.8159649839468</v>
      </c>
      <c r="U9" s="15">
        <f>H29</f>
        <v>134.91301821493769</v>
      </c>
    </row>
    <row r="10" spans="1:21" x14ac:dyDescent="0.3">
      <c r="A10" t="str">
        <f>$A$3</f>
        <v>Morpholine</v>
      </c>
      <c r="B10">
        <f>$B$3</f>
        <v>87.1</v>
      </c>
      <c r="C10" s="3">
        <f>C3+126.8</f>
        <v>189.38</v>
      </c>
      <c r="D10">
        <f>C10/B10</f>
        <v>2.1742824339839264</v>
      </c>
      <c r="E10">
        <f>$E$3</f>
        <v>1.01</v>
      </c>
      <c r="F10">
        <f>C10/E10/1000</f>
        <v>0.18750495049504948</v>
      </c>
      <c r="G10">
        <f>D10/$F$14</f>
        <v>0.13021093127138081</v>
      </c>
      <c r="H10">
        <f>G10*1000</f>
        <v>130.21093127138082</v>
      </c>
      <c r="R10" s="15">
        <f>H5</f>
        <v>12.442958036955018</v>
      </c>
      <c r="S10" s="15">
        <f>H12</f>
        <v>12.349406052560305</v>
      </c>
      <c r="T10" s="15">
        <f>H20</f>
        <v>12.20080056590678</v>
      </c>
      <c r="U10" s="15">
        <f>H28</f>
        <v>12.03110199294462</v>
      </c>
    </row>
    <row r="11" spans="1:21" x14ac:dyDescent="0.3">
      <c r="A11" t="str">
        <f>$A$4</f>
        <v>Ar-4SO2Me-Oph</v>
      </c>
      <c r="B11" s="4">
        <f>$B$4</f>
        <v>293.29000000000002</v>
      </c>
      <c r="C11" s="3">
        <f>C4</f>
        <v>605.61</v>
      </c>
      <c r="D11">
        <f>C11/B11</f>
        <v>2.064884585222817</v>
      </c>
      <c r="E11" s="1">
        <f>$E$4</f>
        <v>1.3779999999999999</v>
      </c>
      <c r="F11">
        <f>C11/E11/1000</f>
        <v>0.43948476052249641</v>
      </c>
      <c r="G11">
        <f>D11/$F$14</f>
        <v>0.12365943844615063</v>
      </c>
      <c r="H11">
        <f>G11*1000</f>
        <v>123.65943844615063</v>
      </c>
    </row>
    <row r="12" spans="1:21" x14ac:dyDescent="0.3">
      <c r="A12" t="s">
        <v>11</v>
      </c>
      <c r="B12">
        <v>154.21</v>
      </c>
      <c r="C12" s="3">
        <f>$C$5</f>
        <v>31.8</v>
      </c>
      <c r="D12">
        <f>C12/B12</f>
        <v>0.20621230789183581</v>
      </c>
      <c r="E12" s="1">
        <v>1.04</v>
      </c>
      <c r="F12">
        <f>C12/E12/1000</f>
        <v>3.0576923076923078E-2</v>
      </c>
      <c r="G12">
        <f>D12/$F$14</f>
        <v>1.2349406052560305E-2</v>
      </c>
      <c r="H12">
        <f>G12*1000</f>
        <v>12.349406052560305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16.698155928647552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16.040589294553083</v>
      </c>
    </row>
    <row r="18" spans="1:8" x14ac:dyDescent="0.3">
      <c r="A18" t="str">
        <f>$A$3</f>
        <v>Morpholine</v>
      </c>
      <c r="B18">
        <f>$B$3</f>
        <v>87.1</v>
      </c>
      <c r="C18" s="3">
        <f>C10</f>
        <v>189.38</v>
      </c>
      <c r="D18">
        <f>C18/B18</f>
        <v>2.1742824339839264</v>
      </c>
      <c r="E18">
        <f>$E$3</f>
        <v>1.01</v>
      </c>
      <c r="F18">
        <f>C18/E18/1000</f>
        <v>0.18750495049504948</v>
      </c>
      <c r="G18">
        <f>D18/$F$22</f>
        <v>0.12864404953416719</v>
      </c>
      <c r="H18">
        <f>G18*1000</f>
        <v>128.64404953416718</v>
      </c>
    </row>
    <row r="19" spans="1:8" x14ac:dyDescent="0.3">
      <c r="A19" t="str">
        <f>$A$4</f>
        <v>Ar-4SO2Me-Oph</v>
      </c>
      <c r="B19" s="4">
        <f>$B$4</f>
        <v>293.29000000000002</v>
      </c>
      <c r="C19" s="3">
        <f>C4</f>
        <v>605.61</v>
      </c>
      <c r="D19">
        <f>C19/B19</f>
        <v>2.064884585222817</v>
      </c>
      <c r="E19" s="1">
        <f>$E$4</f>
        <v>1.3779999999999999</v>
      </c>
      <c r="F19">
        <f>C19/E19/1000</f>
        <v>0.43948476052249641</v>
      </c>
      <c r="G19">
        <f>D19/$F$22</f>
        <v>0.12217139351901975</v>
      </c>
      <c r="H19">
        <f>G19*1000</f>
        <v>122.17139351901974</v>
      </c>
    </row>
    <row r="20" spans="1:8" x14ac:dyDescent="0.3">
      <c r="A20" t="s">
        <v>11</v>
      </c>
      <c r="B20">
        <v>154.21</v>
      </c>
      <c r="C20" s="3">
        <f>$C$5</f>
        <v>31.8</v>
      </c>
      <c r="D20">
        <f>C20/B20</f>
        <v>0.20621230789183581</v>
      </c>
      <c r="E20" s="1">
        <v>1.04</v>
      </c>
      <c r="F20">
        <f>C20/E20/1000</f>
        <v>3.0576923076923078E-2</v>
      </c>
      <c r="G20">
        <f>D20/$F$22</f>
        <v>1.2200800565906781E-2</v>
      </c>
      <c r="H20">
        <f>G20*1000</f>
        <v>12.20080056590678</v>
      </c>
    </row>
    <row r="21" spans="1:8" x14ac:dyDescent="0.3">
      <c r="A21" t="s">
        <v>13</v>
      </c>
      <c r="B21">
        <v>94.11</v>
      </c>
      <c r="C21" s="3">
        <v>217.62</v>
      </c>
      <c r="D21">
        <f>C21/B21</f>
        <v>2.3124003825310808</v>
      </c>
      <c r="E21">
        <v>1.07</v>
      </c>
      <c r="F21">
        <f>C21/E21/1000</f>
        <v>0.20338317757009344</v>
      </c>
      <c r="G21">
        <f>D21/$F$22</f>
        <v>0.1368159649839468</v>
      </c>
      <c r="H21">
        <f>G21*1000</f>
        <v>136.8159649839468</v>
      </c>
    </row>
    <row r="22" spans="1:8" x14ac:dyDescent="0.3">
      <c r="A22" t="s">
        <v>12</v>
      </c>
      <c r="F22">
        <f>SUM(F17:F21)</f>
        <v>16.901539106217644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16.040589294553083</v>
      </c>
    </row>
    <row r="26" spans="1:8" x14ac:dyDescent="0.3">
      <c r="A26" t="str">
        <f>$A$3</f>
        <v>Morpholine</v>
      </c>
      <c r="B26">
        <f>$B$3</f>
        <v>87.1</v>
      </c>
      <c r="C26" s="3">
        <f>C18+240.78</f>
        <v>430.15999999999997</v>
      </c>
      <c r="D26">
        <f>C26/B26</f>
        <v>4.938691159586682</v>
      </c>
      <c r="E26">
        <f>$E$3</f>
        <v>1.01</v>
      </c>
      <c r="F26">
        <f>C26/E26/1000</f>
        <v>0.42590099009900984</v>
      </c>
      <c r="G26">
        <f>D26/$F$30</f>
        <v>0.28813943095873634</v>
      </c>
      <c r="H26">
        <f>G26*1000</f>
        <v>288.13943095873634</v>
      </c>
    </row>
    <row r="27" spans="1:8" x14ac:dyDescent="0.3">
      <c r="A27" t="str">
        <f>$A$4</f>
        <v>Ar-4SO2Me-Oph</v>
      </c>
      <c r="B27" s="4">
        <f>$B$4</f>
        <v>293.29000000000002</v>
      </c>
      <c r="C27" s="3">
        <f>C4</f>
        <v>605.61</v>
      </c>
      <c r="D27">
        <f>C27/B27</f>
        <v>2.064884585222817</v>
      </c>
      <c r="E27" s="1">
        <f>$E$4</f>
        <v>1.3779999999999999</v>
      </c>
      <c r="F27">
        <f>C27/E27/1000</f>
        <v>0.43948476052249641</v>
      </c>
      <c r="G27">
        <f>D27/$F$30</f>
        <v>0.12047213525928641</v>
      </c>
      <c r="H27">
        <f>G27*1000</f>
        <v>120.4721352592864</v>
      </c>
    </row>
    <row r="28" spans="1:8" x14ac:dyDescent="0.3">
      <c r="A28" t="s">
        <v>11</v>
      </c>
      <c r="B28">
        <v>154.21</v>
      </c>
      <c r="C28" s="3">
        <f>$C$5</f>
        <v>31.8</v>
      </c>
      <c r="D28">
        <f>C28/B28</f>
        <v>0.20621230789183581</v>
      </c>
      <c r="E28" s="1">
        <v>1.04</v>
      </c>
      <c r="F28">
        <f>C28/E28/1000</f>
        <v>3.0576923076923078E-2</v>
      </c>
      <c r="G28">
        <f>D28/$F$30</f>
        <v>1.203110199294462E-2</v>
      </c>
      <c r="H28">
        <f>G28*1000</f>
        <v>12.03110199294462</v>
      </c>
    </row>
    <row r="29" spans="1:8" x14ac:dyDescent="0.3">
      <c r="A29" t="s">
        <v>13</v>
      </c>
      <c r="B29">
        <v>94.11</v>
      </c>
      <c r="C29" s="3">
        <f>C21</f>
        <v>217.62</v>
      </c>
      <c r="D29">
        <f>C29/B29</f>
        <v>2.3124003825310808</v>
      </c>
      <c r="E29">
        <v>1.07</v>
      </c>
      <c r="F29">
        <f>C29/E29/1000</f>
        <v>0.20338317757009344</v>
      </c>
      <c r="G29">
        <f>D29/$F$30</f>
        <v>0.1349130182149377</v>
      </c>
      <c r="H29">
        <f>G29*1000</f>
        <v>134.91301821493769</v>
      </c>
    </row>
    <row r="30" spans="1:8" x14ac:dyDescent="0.3">
      <c r="A30" t="s">
        <v>12</v>
      </c>
      <c r="F30">
        <f>SUM(F25:F29)</f>
        <v>17.139935145821603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92</v>
      </c>
      <c r="E34">
        <f>D34+273.15</f>
        <v>365.15</v>
      </c>
      <c r="F34">
        <f>E34*$B$33+$A$33</f>
        <v>1.028268795</v>
      </c>
    </row>
    <row r="35" spans="1:6" x14ac:dyDescent="0.3">
      <c r="C35" t="s">
        <v>21</v>
      </c>
      <c r="D35">
        <f>F33/F34</f>
        <v>1.0693726196368722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33"/>
  <sheetViews>
    <sheetView workbookViewId="0">
      <selection activeCell="P3" sqref="P3:U1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23</v>
      </c>
      <c r="F2">
        <f>15*D33</f>
        <v>16.006231759565058</v>
      </c>
    </row>
    <row r="3" spans="1:21" x14ac:dyDescent="0.3">
      <c r="A3" t="s">
        <v>9</v>
      </c>
      <c r="B3" s="11">
        <v>99.17</v>
      </c>
      <c r="C3" s="3">
        <v>48.65</v>
      </c>
      <c r="D3">
        <f>C3/B3</f>
        <v>0.49057174548754662</v>
      </c>
      <c r="E3" s="12">
        <v>0.83799999999999997</v>
      </c>
      <c r="F3">
        <f>C3/E3/1000</f>
        <v>5.8054892601431977E-2</v>
      </c>
      <c r="G3">
        <f>D3/$F$6</f>
        <v>2.9660483123877091E-2</v>
      </c>
      <c r="H3">
        <f>G3*1000</f>
        <v>29.660483123877089</v>
      </c>
      <c r="J3">
        <f>H3</f>
        <v>29.660483123877089</v>
      </c>
      <c r="K3">
        <f>H6</f>
        <v>0</v>
      </c>
    </row>
    <row r="4" spans="1:21" x14ac:dyDescent="0.3">
      <c r="A4" t="s">
        <v>10</v>
      </c>
      <c r="B4" s="4">
        <v>293.29000000000002</v>
      </c>
      <c r="C4" s="3">
        <v>621.37</v>
      </c>
      <c r="D4">
        <f>C4/B4</f>
        <v>2.118619796106243</v>
      </c>
      <c r="E4" s="1">
        <v>1.3779999999999999</v>
      </c>
      <c r="F4">
        <f>C4/E4/1000</f>
        <v>0.45092162554426712</v>
      </c>
      <c r="G4">
        <f>D4/$F$6</f>
        <v>0.12809397868168979</v>
      </c>
      <c r="H4">
        <f>G4*1000</f>
        <v>128.09397868168978</v>
      </c>
      <c r="J4">
        <f>H10</f>
        <v>69.687839775528531</v>
      </c>
      <c r="K4">
        <f>H13</f>
        <v>0</v>
      </c>
    </row>
    <row r="5" spans="1:21" x14ac:dyDescent="0.3">
      <c r="A5" t="s">
        <v>11</v>
      </c>
      <c r="B5">
        <v>154.21</v>
      </c>
      <c r="C5" s="3">
        <v>25.34</v>
      </c>
      <c r="D5">
        <f>C5/B5</f>
        <v>0.1643213799364503</v>
      </c>
      <c r="E5" s="1">
        <v>1.04</v>
      </c>
      <c r="F5">
        <f>C5/E5/1000</f>
        <v>2.4365384615384612E-2</v>
      </c>
      <c r="G5">
        <f>D5/$F$6</f>
        <v>9.9350432660027799E-3</v>
      </c>
      <c r="H5">
        <f>G5*1000</f>
        <v>9.9350432660027792</v>
      </c>
      <c r="J5">
        <f>H18</f>
        <v>126.51565508275104</v>
      </c>
      <c r="K5">
        <f>H21</f>
        <v>0</v>
      </c>
    </row>
    <row r="6" spans="1:21" x14ac:dyDescent="0.3">
      <c r="A6" t="s">
        <v>12</v>
      </c>
      <c r="F6">
        <f>SUM(F2:F5)</f>
        <v>16.539573662326145</v>
      </c>
      <c r="J6">
        <f>H24</f>
        <v>226.8103279098174</v>
      </c>
      <c r="K6">
        <f>H29</f>
        <v>0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23</v>
      </c>
      <c r="F9">
        <f>$F$2</f>
        <v>16.006231759565058</v>
      </c>
      <c r="R9" s="15"/>
      <c r="S9" s="15"/>
      <c r="T9" s="15"/>
      <c r="U9" s="15"/>
    </row>
    <row r="10" spans="1:21" x14ac:dyDescent="0.3">
      <c r="A10" t="s">
        <v>9</v>
      </c>
      <c r="B10" s="11">
        <v>99.17</v>
      </c>
      <c r="C10" s="3">
        <f>C3+66.2</f>
        <v>114.85</v>
      </c>
      <c r="D10">
        <f>C10/B10</f>
        <v>1.158112332358576</v>
      </c>
      <c r="E10" s="12">
        <v>0.83799999999999997</v>
      </c>
      <c r="F10">
        <f>C10/E10/1000</f>
        <v>0.13705250596658711</v>
      </c>
      <c r="G10">
        <f>D10/$F$13</f>
        <v>6.9687839775528532E-2</v>
      </c>
      <c r="H10">
        <f>G10*1000</f>
        <v>69.687839775528531</v>
      </c>
      <c r="R10" s="15"/>
      <c r="S10" s="15"/>
      <c r="T10" s="15"/>
      <c r="U10" s="15"/>
    </row>
    <row r="11" spans="1:21" x14ac:dyDescent="0.3">
      <c r="A11" t="s">
        <v>10</v>
      </c>
      <c r="B11" s="4">
        <v>293.29000000000002</v>
      </c>
      <c r="C11" s="3">
        <v>621.37</v>
      </c>
      <c r="D11">
        <f>C11/B11</f>
        <v>2.118619796106243</v>
      </c>
      <c r="E11" s="1">
        <v>1.3779999999999999</v>
      </c>
      <c r="F11">
        <f>C11/E11/1000</f>
        <v>0.45092162554426712</v>
      </c>
      <c r="G11">
        <f>D11/$F$13</f>
        <v>0.12748507443628682</v>
      </c>
      <c r="H11">
        <f>G11*1000</f>
        <v>127.48507443628682</v>
      </c>
    </row>
    <row r="12" spans="1:21" x14ac:dyDescent="0.3">
      <c r="A12" t="s">
        <v>11</v>
      </c>
      <c r="B12">
        <v>154.21</v>
      </c>
      <c r="C12" s="3">
        <v>25.34</v>
      </c>
      <c r="D12">
        <f>C12/B12</f>
        <v>0.1643213799364503</v>
      </c>
      <c r="E12" s="1">
        <v>1.04</v>
      </c>
      <c r="F12">
        <f>C12/E12/1000</f>
        <v>2.4365384615384612E-2</v>
      </c>
      <c r="G12">
        <f>D12/$F$13</f>
        <v>9.8878162996364361E-3</v>
      </c>
      <c r="H12">
        <f>G12*1000</f>
        <v>9.8878162996364356</v>
      </c>
    </row>
    <row r="13" spans="1:21" x14ac:dyDescent="0.3">
      <c r="A13" t="s">
        <v>12</v>
      </c>
      <c r="F13">
        <f>SUM(F9:F12)</f>
        <v>16.618571275691298</v>
      </c>
    </row>
    <row r="15" spans="1:21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</row>
    <row r="16" spans="1:21" x14ac:dyDescent="0.3">
      <c r="A16" t="s">
        <v>23</v>
      </c>
      <c r="F16">
        <f>$F$2</f>
        <v>16.006231759565058</v>
      </c>
    </row>
    <row r="17" spans="1:8" x14ac:dyDescent="0.3">
      <c r="A17" t="s">
        <v>9</v>
      </c>
      <c r="B17" s="11">
        <v>99.17</v>
      </c>
      <c r="C17" s="3">
        <f>C10+106.71</f>
        <v>221.56</v>
      </c>
      <c r="D17">
        <f>C17/B17</f>
        <v>2.2341433901381467</v>
      </c>
      <c r="E17" s="12">
        <v>0.83799999999999997</v>
      </c>
      <c r="F17">
        <f>C17/E17/1000</f>
        <v>0.26439140811455847</v>
      </c>
      <c r="G17">
        <f>D17/$F$20</f>
        <v>0.13341427049421919</v>
      </c>
      <c r="H17">
        <f>G17*1000</f>
        <v>133.41427049421918</v>
      </c>
    </row>
    <row r="18" spans="1:8" x14ac:dyDescent="0.3">
      <c r="A18" t="s">
        <v>10</v>
      </c>
      <c r="B18" s="4">
        <v>293.29000000000002</v>
      </c>
      <c r="C18" s="3">
        <v>621.37</v>
      </c>
      <c r="D18">
        <f>C18/B18</f>
        <v>2.118619796106243</v>
      </c>
      <c r="E18" s="1">
        <v>1.3779999999999999</v>
      </c>
      <c r="F18">
        <f>C18/E18/1000</f>
        <v>0.45092162554426712</v>
      </c>
      <c r="G18">
        <f>D18/$F$20</f>
        <v>0.12651565508275103</v>
      </c>
      <c r="H18">
        <f>G18*1000</f>
        <v>126.51565508275104</v>
      </c>
    </row>
    <row r="19" spans="1:8" x14ac:dyDescent="0.3">
      <c r="A19" t="s">
        <v>11</v>
      </c>
      <c r="B19">
        <v>154.21</v>
      </c>
      <c r="C19" s="3">
        <v>25.34</v>
      </c>
      <c r="D19">
        <f>C19/B19</f>
        <v>0.1643213799364503</v>
      </c>
      <c r="E19" s="1">
        <v>1.04</v>
      </c>
      <c r="F19">
        <f>C19/E19/1000</f>
        <v>2.4365384615384612E-2</v>
      </c>
      <c r="G19">
        <f>D19/$F$20</f>
        <v>9.8126275724269244E-3</v>
      </c>
      <c r="H19">
        <f>G19*1000</f>
        <v>9.8126275724269245</v>
      </c>
    </row>
    <row r="20" spans="1:8" x14ac:dyDescent="0.3">
      <c r="A20" t="s">
        <v>12</v>
      </c>
      <c r="F20">
        <f>SUM(F16:F19)</f>
        <v>16.745910177839271</v>
      </c>
    </row>
    <row r="22" spans="1:8" x14ac:dyDescent="0.3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</row>
    <row r="23" spans="1:8" x14ac:dyDescent="0.3">
      <c r="A23" t="s">
        <v>23</v>
      </c>
      <c r="F23">
        <f>$F$2</f>
        <v>16.006231759565058</v>
      </c>
    </row>
    <row r="24" spans="1:8" x14ac:dyDescent="0.3">
      <c r="A24" t="s">
        <v>9</v>
      </c>
      <c r="B24" s="11">
        <v>99.17</v>
      </c>
      <c r="C24" s="3">
        <f>C17+159.38</f>
        <v>380.94</v>
      </c>
      <c r="D24">
        <f>C24/B24</f>
        <v>3.8412826459614804</v>
      </c>
      <c r="E24" s="12">
        <v>0.83799999999999997</v>
      </c>
      <c r="F24">
        <f>C24/E24/1000</f>
        <v>0.45458233890214794</v>
      </c>
      <c r="G24">
        <f>D24/$F$27</f>
        <v>0.22681032790981739</v>
      </c>
      <c r="H24">
        <f>G24*1000</f>
        <v>226.8103279098174</v>
      </c>
    </row>
    <row r="25" spans="1:8" x14ac:dyDescent="0.3">
      <c r="A25" t="s">
        <v>10</v>
      </c>
      <c r="B25" s="4">
        <v>293.29000000000002</v>
      </c>
      <c r="C25" s="3">
        <v>621.37</v>
      </c>
      <c r="D25">
        <f>C25/B25</f>
        <v>2.118619796106243</v>
      </c>
      <c r="E25" s="1">
        <v>1.3779999999999999</v>
      </c>
      <c r="F25">
        <f>C25/E25/1000</f>
        <v>0.45092162554426712</v>
      </c>
      <c r="G25">
        <f>D25/$F$27</f>
        <v>0.12509489536686025</v>
      </c>
      <c r="H25">
        <f>G25*1000</f>
        <v>125.09489536686024</v>
      </c>
    </row>
    <row r="26" spans="1:8" x14ac:dyDescent="0.3">
      <c r="A26" t="s">
        <v>11</v>
      </c>
      <c r="B26">
        <v>154.21</v>
      </c>
      <c r="C26" s="3">
        <v>25.34</v>
      </c>
      <c r="D26">
        <f>C26/B26</f>
        <v>0.1643213799364503</v>
      </c>
      <c r="E26" s="1">
        <v>1.04</v>
      </c>
      <c r="F26">
        <f>C26/E26/1000</f>
        <v>2.4365384615384612E-2</v>
      </c>
      <c r="G26">
        <f>D26/$F$27</f>
        <v>9.7024326249888024E-3</v>
      </c>
      <c r="H26">
        <f>G26*1000</f>
        <v>9.702432624988802</v>
      </c>
    </row>
    <row r="27" spans="1:8" x14ac:dyDescent="0.3">
      <c r="A27" t="s">
        <v>12</v>
      </c>
      <c r="F27">
        <f>SUM(F23:F26)</f>
        <v>16.936101108626861</v>
      </c>
    </row>
    <row r="30" spans="1:8" x14ac:dyDescent="0.3">
      <c r="A30" t="s">
        <v>37</v>
      </c>
      <c r="B30" t="s">
        <v>16</v>
      </c>
      <c r="C30" t="s">
        <v>17</v>
      </c>
      <c r="D30" t="s">
        <v>18</v>
      </c>
    </row>
    <row r="31" spans="1:8" x14ac:dyDescent="0.3">
      <c r="A31">
        <v>1.397E-3</v>
      </c>
      <c r="B31">
        <v>25</v>
      </c>
      <c r="C31">
        <f>B31+273.15</f>
        <v>298.14999999999998</v>
      </c>
      <c r="D31">
        <v>0.78600000000000003</v>
      </c>
    </row>
    <row r="32" spans="1:8" x14ac:dyDescent="0.3">
      <c r="B32">
        <v>70</v>
      </c>
      <c r="C32">
        <f>B32+273.15</f>
        <v>343.15</v>
      </c>
      <c r="D32">
        <f>D31*(1-(B32-B31)*A31)</f>
        <v>0.73658811000000002</v>
      </c>
    </row>
    <row r="33" spans="2:4" x14ac:dyDescent="0.3">
      <c r="B33">
        <f>D31/D32</f>
        <v>1.0670821173043372</v>
      </c>
      <c r="D33">
        <f>D31/D32</f>
        <v>1.0670821173043372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27"/>
  <sheetViews>
    <sheetView workbookViewId="0">
      <selection activeCell="Q4" sqref="Q4:U1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23</v>
      </c>
      <c r="F2">
        <f>32*D27</f>
        <v>34.146627753738791</v>
      </c>
    </row>
    <row r="3" spans="1:21" x14ac:dyDescent="0.3">
      <c r="A3" t="s">
        <v>9</v>
      </c>
      <c r="B3" s="11">
        <v>99.17</v>
      </c>
      <c r="C3" s="3">
        <v>172.72</v>
      </c>
      <c r="D3">
        <f>C3/B3</f>
        <v>1.7416557426641122</v>
      </c>
      <c r="E3" s="12">
        <v>0.83799999999999997</v>
      </c>
      <c r="F3">
        <f>C3/E3/1000</f>
        <v>0.20610978520286397</v>
      </c>
      <c r="G3">
        <f>D3/$F$6</f>
        <v>5.0081807470660253E-2</v>
      </c>
      <c r="H3">
        <f>G3*1000</f>
        <v>50.081807470660252</v>
      </c>
    </row>
    <row r="4" spans="1:21" x14ac:dyDescent="0.3">
      <c r="A4" t="s">
        <v>10</v>
      </c>
      <c r="B4" s="4">
        <v>293.29000000000002</v>
      </c>
      <c r="C4" s="3">
        <v>522.02</v>
      </c>
      <c r="D4">
        <f>C4/B4</f>
        <v>1.7798765726755088</v>
      </c>
      <c r="E4" s="1">
        <v>1.3779999999999999</v>
      </c>
      <c r="F4">
        <f>C4/E4/1000</f>
        <v>0.37882438316400585</v>
      </c>
      <c r="G4">
        <f>D4/$F$6</f>
        <v>5.1180858335368805E-2</v>
      </c>
      <c r="H4">
        <f>G4*1000</f>
        <v>51.180858335368804</v>
      </c>
    </row>
    <row r="5" spans="1:21" x14ac:dyDescent="0.3">
      <c r="A5" t="s">
        <v>11</v>
      </c>
      <c r="B5">
        <v>154.21</v>
      </c>
      <c r="C5" s="3">
        <v>46.44</v>
      </c>
      <c r="D5">
        <f>C5/B5</f>
        <v>0.30114778548732246</v>
      </c>
      <c r="E5" s="1">
        <v>1.04</v>
      </c>
      <c r="F5">
        <f>C5/E5/1000</f>
        <v>4.4653846153846155E-2</v>
      </c>
      <c r="G5">
        <f>D5/$F$6</f>
        <v>8.6595904365817187E-3</v>
      </c>
      <c r="H5">
        <f>G5*1000</f>
        <v>8.659590436581718</v>
      </c>
    </row>
    <row r="6" spans="1:21" x14ac:dyDescent="0.3">
      <c r="A6" t="s">
        <v>12</v>
      </c>
      <c r="F6">
        <f>SUM(F2:F5)</f>
        <v>34.776215768259512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23</v>
      </c>
      <c r="F9">
        <f>$F$2</f>
        <v>34.146627753738791</v>
      </c>
      <c r="R9" s="15"/>
      <c r="S9" s="15"/>
      <c r="T9" s="15"/>
      <c r="U9" s="15"/>
    </row>
    <row r="10" spans="1:21" x14ac:dyDescent="0.3">
      <c r="A10" t="s">
        <v>9</v>
      </c>
      <c r="B10" s="11">
        <v>99.17</v>
      </c>
      <c r="C10" s="3">
        <f>C3</f>
        <v>172.72</v>
      </c>
      <c r="D10">
        <f>C10/B10</f>
        <v>1.7416557426641122</v>
      </c>
      <c r="E10" s="12">
        <v>0.83799999999999997</v>
      </c>
      <c r="F10">
        <f>C10/E10/1000</f>
        <v>0.20610978520286397</v>
      </c>
      <c r="G10">
        <f>D10/$F$14</f>
        <v>4.9924669852535845E-2</v>
      </c>
      <c r="H10">
        <f>G10*1000</f>
        <v>49.924669852535843</v>
      </c>
      <c r="R10" s="15"/>
      <c r="S10" s="15"/>
      <c r="T10" s="15"/>
      <c r="U10" s="15"/>
    </row>
    <row r="11" spans="1:21" x14ac:dyDescent="0.3">
      <c r="A11" t="s">
        <v>10</v>
      </c>
      <c r="B11" s="4">
        <v>293.29000000000002</v>
      </c>
      <c r="C11" s="3">
        <v>522.02</v>
      </c>
      <c r="D11">
        <f>C11/B11</f>
        <v>1.7798765726755088</v>
      </c>
      <c r="E11" s="1">
        <v>1.3779999999999999</v>
      </c>
      <c r="F11">
        <f>C11/E11/1000</f>
        <v>0.37882438316400585</v>
      </c>
      <c r="G11">
        <f>D11/$F$14</f>
        <v>5.1020272314644725E-2</v>
      </c>
      <c r="H11">
        <f>G11*1000</f>
        <v>51.020272314644728</v>
      </c>
    </row>
    <row r="12" spans="1:21" x14ac:dyDescent="0.3">
      <c r="A12" t="s">
        <v>11</v>
      </c>
      <c r="B12">
        <v>154.21</v>
      </c>
      <c r="C12" s="3">
        <v>46.44</v>
      </c>
      <c r="D12">
        <f>C12/B12</f>
        <v>0.30114778548732246</v>
      </c>
      <c r="E12" s="1">
        <v>1.04</v>
      </c>
      <c r="F12">
        <f>C12/E12/1000</f>
        <v>4.4653846153846155E-2</v>
      </c>
      <c r="G12">
        <f>D12/$F$14</f>
        <v>8.6324199432656675E-3</v>
      </c>
      <c r="H12">
        <f>G12*1000</f>
        <v>8.632419943265667</v>
      </c>
    </row>
    <row r="13" spans="1:21" x14ac:dyDescent="0.3">
      <c r="A13" t="s">
        <v>13</v>
      </c>
      <c r="B13">
        <v>94.11</v>
      </c>
      <c r="C13" s="3">
        <v>117.12</v>
      </c>
      <c r="D13">
        <f>C13/B13</f>
        <v>1.244501115715652</v>
      </c>
      <c r="E13">
        <v>1.07</v>
      </c>
      <c r="F13">
        <f>C13/E13/1000</f>
        <v>0.10945794392523364</v>
      </c>
      <c r="G13">
        <f>D13/$F$14</f>
        <v>3.5673701645640772E-2</v>
      </c>
      <c r="H13">
        <f>G13*1000</f>
        <v>35.673701645640769</v>
      </c>
    </row>
    <row r="14" spans="1:21" x14ac:dyDescent="0.3">
      <c r="A14" t="s">
        <v>12</v>
      </c>
      <c r="F14">
        <f>SUM(F9:F13)</f>
        <v>34.885673712184747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23</v>
      </c>
      <c r="F17">
        <f>$F$2</f>
        <v>34.146627753738791</v>
      </c>
    </row>
    <row r="18" spans="1:8" x14ac:dyDescent="0.3">
      <c r="A18" t="s">
        <v>9</v>
      </c>
      <c r="B18" s="11">
        <v>99.17</v>
      </c>
      <c r="C18" s="3">
        <f>C10+359.7</f>
        <v>532.41999999999996</v>
      </c>
      <c r="D18">
        <f>C18/B18</f>
        <v>5.3687607139255817</v>
      </c>
      <c r="E18" s="12">
        <v>0.83799999999999997</v>
      </c>
      <c r="F18">
        <f>C18/E18/1000</f>
        <v>0.63534606205250599</v>
      </c>
      <c r="G18">
        <f>D18/$F$22</f>
        <v>0.15202532628831936</v>
      </c>
      <c r="H18">
        <f>G18*1000</f>
        <v>152.02532628831935</v>
      </c>
    </row>
    <row r="19" spans="1:8" x14ac:dyDescent="0.3">
      <c r="A19" t="s">
        <v>10</v>
      </c>
      <c r="B19" s="4">
        <v>293.29000000000002</v>
      </c>
      <c r="C19" s="3">
        <v>522.02</v>
      </c>
      <c r="D19">
        <f>C19/B19</f>
        <v>1.7798765726755088</v>
      </c>
      <c r="E19" s="1">
        <v>1.3779999999999999</v>
      </c>
      <c r="F19">
        <f>C19/E19/1000</f>
        <v>0.37882438316400585</v>
      </c>
      <c r="G19">
        <f>D19/$F$22</f>
        <v>5.0400144676233841E-2</v>
      </c>
      <c r="H19">
        <f>G19*1000</f>
        <v>50.400144676233843</v>
      </c>
    </row>
    <row r="20" spans="1:8" x14ac:dyDescent="0.3">
      <c r="A20" t="s">
        <v>11</v>
      </c>
      <c r="B20">
        <v>154.21</v>
      </c>
      <c r="C20" s="3">
        <v>46.44</v>
      </c>
      <c r="D20">
        <f>C20/B20</f>
        <v>0.30114778548732246</v>
      </c>
      <c r="E20" s="1">
        <v>1.04</v>
      </c>
      <c r="F20">
        <f>C20/E20/1000</f>
        <v>4.4653846153846155E-2</v>
      </c>
      <c r="G20">
        <f>D20/$F$22</f>
        <v>8.5274969009076235E-3</v>
      </c>
      <c r="H20">
        <f>G20*1000</f>
        <v>8.5274969009076234</v>
      </c>
    </row>
    <row r="21" spans="1:8" x14ac:dyDescent="0.3">
      <c r="A21" t="s">
        <v>13</v>
      </c>
      <c r="B21">
        <v>94.11</v>
      </c>
      <c r="C21" s="3">
        <v>117.12</v>
      </c>
      <c r="D21">
        <f>C21/B21</f>
        <v>1.244501115715652</v>
      </c>
      <c r="E21">
        <v>1.07</v>
      </c>
      <c r="F21">
        <f>C21/E21/1000</f>
        <v>0.10945794392523364</v>
      </c>
      <c r="G21">
        <f>D21/$F$22</f>
        <v>3.5240104423374753E-2</v>
      </c>
      <c r="H21">
        <f>G21*1000</f>
        <v>35.240104423374753</v>
      </c>
    </row>
    <row r="22" spans="1:8" x14ac:dyDescent="0.3">
      <c r="A22" t="s">
        <v>12</v>
      </c>
      <c r="F22">
        <f>SUM(F17:F21)</f>
        <v>35.31490998903439</v>
      </c>
    </row>
    <row r="24" spans="1:8" x14ac:dyDescent="0.3">
      <c r="A24" t="s">
        <v>37</v>
      </c>
      <c r="B24" t="s">
        <v>16</v>
      </c>
      <c r="C24" t="s">
        <v>17</v>
      </c>
      <c r="D24" t="s">
        <v>18</v>
      </c>
    </row>
    <row r="25" spans="1:8" x14ac:dyDescent="0.3">
      <c r="A25">
        <v>1.397E-3</v>
      </c>
      <c r="B25">
        <v>25</v>
      </c>
      <c r="C25">
        <f>B25+273.15</f>
        <v>298.14999999999998</v>
      </c>
      <c r="D25">
        <v>0.78600000000000003</v>
      </c>
    </row>
    <row r="26" spans="1:8" x14ac:dyDescent="0.3">
      <c r="B26">
        <v>70</v>
      </c>
      <c r="C26">
        <f>B26+273.15</f>
        <v>343.15</v>
      </c>
      <c r="D26">
        <f>D25*(1-(B26-B25)*A25)</f>
        <v>0.73658811000000002</v>
      </c>
    </row>
    <row r="27" spans="1:8" x14ac:dyDescent="0.3">
      <c r="B27">
        <f>D25/D26</f>
        <v>1.0670821173043372</v>
      </c>
      <c r="D27">
        <f>D25/D26</f>
        <v>1.0670821173043372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25"/>
  <sheetViews>
    <sheetView workbookViewId="0">
      <selection activeCell="R2" sqref="R2:U17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20" x14ac:dyDescent="0.3">
      <c r="A2" t="s">
        <v>22</v>
      </c>
      <c r="F2">
        <f>30*D25</f>
        <v>31.384035987027932</v>
      </c>
      <c r="J2" t="str">
        <f>A2</f>
        <v>DMF</v>
      </c>
      <c r="O2">
        <f>F2</f>
        <v>31.384035987027932</v>
      </c>
    </row>
    <row r="3" spans="1:20" x14ac:dyDescent="0.3">
      <c r="A3" t="s">
        <v>9</v>
      </c>
      <c r="B3">
        <v>99.17</v>
      </c>
      <c r="C3" s="3">
        <v>116.49</v>
      </c>
      <c r="D3">
        <f>C3/B3</f>
        <v>1.1746495916103659</v>
      </c>
      <c r="E3">
        <v>0.83799999999999997</v>
      </c>
      <c r="F3">
        <f>C3/E3/1000</f>
        <v>0.13900954653937947</v>
      </c>
      <c r="G3">
        <f>D3/$F$6</f>
        <v>3.6554001202273367E-2</v>
      </c>
      <c r="H3">
        <f>G3*1000</f>
        <v>36.554001202273369</v>
      </c>
      <c r="J3" t="s">
        <v>9</v>
      </c>
      <c r="K3">
        <v>99.17</v>
      </c>
      <c r="L3">
        <f>C3</f>
        <v>116.49</v>
      </c>
      <c r="M3">
        <f>L3/K3</f>
        <v>1.1746495916103659</v>
      </c>
      <c r="N3">
        <v>0.83799999999999997</v>
      </c>
      <c r="O3">
        <f>L3/N3/1000</f>
        <v>0.13900954653937947</v>
      </c>
      <c r="P3">
        <f>M3/$O$7</f>
        <v>3.6551943559594319E-2</v>
      </c>
      <c r="Q3">
        <f>P3*1000</f>
        <v>36.551943559594321</v>
      </c>
    </row>
    <row r="4" spans="1:20" x14ac:dyDescent="0.3">
      <c r="A4" t="s">
        <v>10</v>
      </c>
      <c r="B4">
        <v>293.29000000000002</v>
      </c>
      <c r="C4" s="3">
        <v>795.22</v>
      </c>
      <c r="D4">
        <f>C4/B4</f>
        <v>2.7113778171775373</v>
      </c>
      <c r="E4">
        <v>1.3779999999999999</v>
      </c>
      <c r="F4">
        <f>C4/E4/1000</f>
        <v>0.5770827285921627</v>
      </c>
      <c r="G4">
        <f>D4/$F$6</f>
        <v>8.4375552247074409E-2</v>
      </c>
      <c r="H4">
        <f>G4*1000</f>
        <v>84.37555224707441</v>
      </c>
      <c r="J4" t="s">
        <v>10</v>
      </c>
      <c r="K4">
        <v>293.29000000000002</v>
      </c>
      <c r="L4">
        <f>C4*0.98911</f>
        <v>786.56005420000008</v>
      </c>
      <c r="M4">
        <f>L4/K4</f>
        <v>2.6818509127484744</v>
      </c>
      <c r="N4">
        <v>1.3779999999999999</v>
      </c>
      <c r="O4">
        <f>L4/N4/1000</f>
        <v>0.570798297677794</v>
      </c>
      <c r="P4">
        <f>M4/$O$7</f>
        <v>8.3452004664336096E-2</v>
      </c>
      <c r="Q4">
        <f>P4*1000</f>
        <v>83.452004664336101</v>
      </c>
    </row>
    <row r="5" spans="1:20" x14ac:dyDescent="0.3">
      <c r="A5" t="s">
        <v>11</v>
      </c>
      <c r="B5">
        <v>154.21</v>
      </c>
      <c r="C5" s="3">
        <v>35.89</v>
      </c>
      <c r="D5">
        <f>C5/B5</f>
        <v>0.23273458271188638</v>
      </c>
      <c r="E5">
        <v>1.04</v>
      </c>
      <c r="F5">
        <f>C5/E5/1000</f>
        <v>3.4509615384615389E-2</v>
      </c>
      <c r="G5">
        <f>D5/$F$6</f>
        <v>7.2424834410386484E-3</v>
      </c>
      <c r="H5">
        <f>G5*1000</f>
        <v>7.2424834410386483</v>
      </c>
      <c r="J5" t="s">
        <v>11</v>
      </c>
      <c r="K5">
        <v>154.21</v>
      </c>
      <c r="L5">
        <f>C5</f>
        <v>35.89</v>
      </c>
      <c r="M5">
        <f>L5/K5</f>
        <v>0.23273458271188638</v>
      </c>
      <c r="N5">
        <v>1.04</v>
      </c>
      <c r="O5">
        <f>L5/N5/1000</f>
        <v>3.4509615384615389E-2</v>
      </c>
      <c r="P5">
        <f>M5/$O$7</f>
        <v>7.242075758089027E-3</v>
      </c>
      <c r="Q5">
        <f>P5*1000</f>
        <v>7.2420757580890269</v>
      </c>
    </row>
    <row r="6" spans="1:20" x14ac:dyDescent="0.3">
      <c r="A6" t="s">
        <v>12</v>
      </c>
      <c r="F6">
        <f>SUM(F2:F5)</f>
        <v>32.134637877544087</v>
      </c>
      <c r="J6" t="s">
        <v>13</v>
      </c>
      <c r="K6">
        <v>94.11</v>
      </c>
      <c r="L6">
        <f>C4*(1-0.98911)</f>
        <v>8.6599457999999654</v>
      </c>
      <c r="M6">
        <f>L6/K6</f>
        <v>9.2019400701306611E-2</v>
      </c>
      <c r="N6">
        <v>1.07</v>
      </c>
      <c r="O6">
        <f>L6/N6/1000</f>
        <v>8.0934072897195924E-3</v>
      </c>
      <c r="P6">
        <f>M6/$O$7</f>
        <v>2.8633968502987657E-3</v>
      </c>
      <c r="Q6">
        <f>P6*1000</f>
        <v>2.8633968502987659</v>
      </c>
    </row>
    <row r="7" spans="1:20" x14ac:dyDescent="0.3">
      <c r="J7" t="s">
        <v>12</v>
      </c>
      <c r="O7">
        <f>SUM(O2:O6)</f>
        <v>32.136446853919445</v>
      </c>
      <c r="R7" s="15"/>
      <c r="S7" s="15"/>
      <c r="T7" s="15"/>
    </row>
    <row r="8" spans="1:20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J8" t="s">
        <v>0</v>
      </c>
      <c r="K8" t="s">
        <v>1</v>
      </c>
      <c r="L8" t="s">
        <v>2</v>
      </c>
      <c r="M8" t="s">
        <v>3</v>
      </c>
      <c r="N8" t="s">
        <v>4</v>
      </c>
      <c r="O8" t="s">
        <v>5</v>
      </c>
      <c r="P8" t="s">
        <v>6</v>
      </c>
      <c r="Q8" t="s">
        <v>7</v>
      </c>
      <c r="R8" s="15"/>
      <c r="S8" s="15"/>
      <c r="T8" s="15"/>
    </row>
    <row r="9" spans="1:20" x14ac:dyDescent="0.3">
      <c r="A9" t="s">
        <v>22</v>
      </c>
      <c r="F9">
        <f>$F$2</f>
        <v>31.384035987027932</v>
      </c>
      <c r="J9" t="str">
        <f>A9</f>
        <v>DMF</v>
      </c>
      <c r="O9">
        <f>F9</f>
        <v>31.384035987027932</v>
      </c>
      <c r="R9" s="15"/>
      <c r="S9" s="15"/>
      <c r="T9" s="15"/>
    </row>
    <row r="10" spans="1:20" x14ac:dyDescent="0.3">
      <c r="A10" t="s">
        <v>9</v>
      </c>
      <c r="B10">
        <v>99.17</v>
      </c>
      <c r="C10">
        <f>C3+53.38</f>
        <v>169.87</v>
      </c>
      <c r="D10">
        <f>C10/B10</f>
        <v>1.7129172128667944</v>
      </c>
      <c r="E10">
        <v>0.83799999999999997</v>
      </c>
      <c r="F10">
        <f>C10/E10/1000</f>
        <v>0.20270883054892602</v>
      </c>
      <c r="G10">
        <f>D10/$F$13</f>
        <v>5.3198933978245939E-2</v>
      </c>
      <c r="H10">
        <f>G10*1000</f>
        <v>53.19893397824594</v>
      </c>
      <c r="J10" t="s">
        <v>9</v>
      </c>
      <c r="K10">
        <v>99.17</v>
      </c>
      <c r="L10">
        <f>C10</f>
        <v>169.87</v>
      </c>
      <c r="M10">
        <f>L10/K10</f>
        <v>1.7129172128667944</v>
      </c>
      <c r="N10">
        <v>0.83799999999999997</v>
      </c>
      <c r="O10">
        <f>L10/N10/1000</f>
        <v>0.20270883054892602</v>
      </c>
      <c r="P10">
        <f>M10/$O$14</f>
        <v>5.3195945308121627E-2</v>
      </c>
      <c r="Q10">
        <f>P10*1000</f>
        <v>53.19594530812163</v>
      </c>
      <c r="R10" s="15"/>
      <c r="S10" s="15"/>
      <c r="T10" s="15"/>
    </row>
    <row r="11" spans="1:20" x14ac:dyDescent="0.3">
      <c r="A11" t="s">
        <v>10</v>
      </c>
      <c r="B11">
        <v>293.29000000000002</v>
      </c>
      <c r="C11" s="3">
        <v>795.22</v>
      </c>
      <c r="D11">
        <f>C11/B11</f>
        <v>2.7113778171775373</v>
      </c>
      <c r="E11">
        <v>1.3779999999999999</v>
      </c>
      <c r="F11">
        <f>C11/E11/1000</f>
        <v>0.5770827285921627</v>
      </c>
      <c r="G11">
        <f>D11/$F$13</f>
        <v>8.4208628649775533E-2</v>
      </c>
      <c r="H11">
        <f>G11*1000</f>
        <v>84.208628649775534</v>
      </c>
      <c r="J11" t="s">
        <v>10</v>
      </c>
      <c r="K11">
        <v>293.29000000000002</v>
      </c>
      <c r="L11">
        <f>C11*0.98911</f>
        <v>786.56005420000008</v>
      </c>
      <c r="M11">
        <f>L11/K11</f>
        <v>2.6818509127484744</v>
      </c>
      <c r="N11">
        <v>1.3779999999999999</v>
      </c>
      <c r="O11">
        <f>L11/N11/1000</f>
        <v>0.570798297677794</v>
      </c>
      <c r="P11">
        <f>M11/$O$14</f>
        <v>8.3286917433877283E-2</v>
      </c>
      <c r="Q11">
        <f>P11*1000</f>
        <v>83.286917433877278</v>
      </c>
    </row>
    <row r="12" spans="1:20" x14ac:dyDescent="0.3">
      <c r="A12" t="s">
        <v>11</v>
      </c>
      <c r="B12">
        <v>154.21</v>
      </c>
      <c r="C12" s="3">
        <v>35.89</v>
      </c>
      <c r="D12">
        <f>C12/B12</f>
        <v>0.23273458271188638</v>
      </c>
      <c r="E12">
        <v>1.04</v>
      </c>
      <c r="F12">
        <f>C12/E12/1000</f>
        <v>3.4509615384615389E-2</v>
      </c>
      <c r="G12">
        <f>D12/$F$13</f>
        <v>7.2281553405740065E-3</v>
      </c>
      <c r="H12">
        <f>G12*1000</f>
        <v>7.2281553405740064</v>
      </c>
      <c r="J12" t="s">
        <v>11</v>
      </c>
      <c r="K12">
        <v>154.21</v>
      </c>
      <c r="L12">
        <f>C12</f>
        <v>35.89</v>
      </c>
      <c r="M12">
        <f>L12/K12</f>
        <v>0.23273458271188638</v>
      </c>
      <c r="N12">
        <v>1.04</v>
      </c>
      <c r="O12">
        <f>L12/N12/1000</f>
        <v>3.4509615384615389E-2</v>
      </c>
      <c r="P12">
        <f>M12/$O$14</f>
        <v>7.2277492690551847E-3</v>
      </c>
      <c r="Q12">
        <f>P12*1000</f>
        <v>7.2277492690551846</v>
      </c>
    </row>
    <row r="13" spans="1:20" x14ac:dyDescent="0.3">
      <c r="A13" t="s">
        <v>12</v>
      </c>
      <c r="F13">
        <f>SUM(F9:F12)</f>
        <v>32.198337161553631</v>
      </c>
      <c r="J13" t="s">
        <v>13</v>
      </c>
      <c r="K13">
        <v>94.11</v>
      </c>
      <c r="L13">
        <f>C11*(1-0.98911)</f>
        <v>8.6599457999999654</v>
      </c>
      <c r="M13">
        <f>L13/K13</f>
        <v>9.2019400701306611E-2</v>
      </c>
      <c r="N13">
        <v>1.07</v>
      </c>
      <c r="O13">
        <f>L13/N13/1000</f>
        <v>8.0934072897195924E-3</v>
      </c>
      <c r="P13">
        <f>M13/$O$14</f>
        <v>2.8577323937333224E-3</v>
      </c>
      <c r="Q13">
        <f>P13*1000</f>
        <v>2.8577323937333223</v>
      </c>
    </row>
    <row r="14" spans="1:20" x14ac:dyDescent="0.3">
      <c r="J14" t="s">
        <v>12</v>
      </c>
      <c r="O14">
        <f>SUM(O9:O13)</f>
        <v>32.200146137928989</v>
      </c>
    </row>
    <row r="15" spans="1:20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J15" t="s">
        <v>0</v>
      </c>
      <c r="K15" t="s">
        <v>1</v>
      </c>
      <c r="L15" t="s">
        <v>2</v>
      </c>
      <c r="M15" t="s">
        <v>3</v>
      </c>
      <c r="N15" t="s">
        <v>4</v>
      </c>
      <c r="O15" t="s">
        <v>5</v>
      </c>
      <c r="P15" t="s">
        <v>6</v>
      </c>
      <c r="Q15" t="s">
        <v>7</v>
      </c>
    </row>
    <row r="16" spans="1:20" x14ac:dyDescent="0.3">
      <c r="A16" t="s">
        <v>22</v>
      </c>
      <c r="F16">
        <f>$F$2</f>
        <v>31.384035987027932</v>
      </c>
      <c r="J16" t="str">
        <f>A16</f>
        <v>DMF</v>
      </c>
      <c r="O16">
        <f>F16</f>
        <v>31.384035987027932</v>
      </c>
    </row>
    <row r="17" spans="1:17" x14ac:dyDescent="0.3">
      <c r="A17" t="s">
        <v>9</v>
      </c>
      <c r="B17">
        <v>99.17</v>
      </c>
      <c r="C17">
        <f>C10+203.69</f>
        <v>373.56</v>
      </c>
      <c r="D17">
        <f>C17/B17</f>
        <v>3.7668649793284259</v>
      </c>
      <c r="E17">
        <v>0.83799999999999997</v>
      </c>
      <c r="F17">
        <f>C17/E17/1000</f>
        <v>0.44577565632458238</v>
      </c>
      <c r="G17">
        <f>D17/$F$20</f>
        <v>0.1161128840416296</v>
      </c>
      <c r="H17">
        <f>G17*1000</f>
        <v>116.1128840416296</v>
      </c>
      <c r="J17" t="s">
        <v>9</v>
      </c>
      <c r="K17">
        <v>99.17</v>
      </c>
      <c r="L17">
        <f>C17</f>
        <v>373.56</v>
      </c>
      <c r="M17">
        <f>L17/K17</f>
        <v>3.7668649793284259</v>
      </c>
      <c r="N17">
        <v>0.83799999999999997</v>
      </c>
      <c r="O17">
        <f>L17/N17/1000</f>
        <v>0.44577565632458238</v>
      </c>
      <c r="P17">
        <f>M17/$F$20</f>
        <v>0.1161128840416296</v>
      </c>
      <c r="Q17">
        <f>P17*1000</f>
        <v>116.1128840416296</v>
      </c>
    </row>
    <row r="18" spans="1:17" x14ac:dyDescent="0.3">
      <c r="A18" t="s">
        <v>10</v>
      </c>
      <c r="B18">
        <v>293.29000000000002</v>
      </c>
      <c r="C18" s="3">
        <v>795.22</v>
      </c>
      <c r="D18">
        <f>C18/B18</f>
        <v>2.7113778171775373</v>
      </c>
      <c r="E18">
        <v>1.3779999999999999</v>
      </c>
      <c r="F18">
        <f>C18/E18/1000</f>
        <v>0.5770827285921627</v>
      </c>
      <c r="G18">
        <f>D18/$F$20</f>
        <v>8.3577696521288852E-2</v>
      </c>
      <c r="H18">
        <f>G18*1000</f>
        <v>83.577696521288857</v>
      </c>
      <c r="J18" t="s">
        <v>10</v>
      </c>
      <c r="K18">
        <v>293.29000000000002</v>
      </c>
      <c r="L18">
        <f>C18*0.98911</f>
        <v>786.56005420000008</v>
      </c>
      <c r="M18">
        <f>L18/K18</f>
        <v>2.6818509127484744</v>
      </c>
      <c r="N18">
        <v>1.3779999999999999</v>
      </c>
      <c r="O18">
        <f>L18/N18/1000</f>
        <v>0.570798297677794</v>
      </c>
      <c r="P18">
        <f>M18/$O$21</f>
        <v>8.2662926010095075E-2</v>
      </c>
      <c r="Q18">
        <f>P18*1000</f>
        <v>82.662926010095077</v>
      </c>
    </row>
    <row r="19" spans="1:17" x14ac:dyDescent="0.3">
      <c r="A19" t="s">
        <v>11</v>
      </c>
      <c r="B19">
        <v>154.21</v>
      </c>
      <c r="C19" s="3">
        <v>35.89</v>
      </c>
      <c r="D19">
        <f>C19/B19</f>
        <v>0.23273458271188638</v>
      </c>
      <c r="E19">
        <v>1.04</v>
      </c>
      <c r="F19">
        <f>C19/E19/1000</f>
        <v>3.4509615384615389E-2</v>
      </c>
      <c r="G19">
        <f>D19/$F$20</f>
        <v>7.1739984743812582E-3</v>
      </c>
      <c r="H19">
        <f>G19*1000</f>
        <v>7.1739984743812579</v>
      </c>
      <c r="J19" t="s">
        <v>11</v>
      </c>
      <c r="K19">
        <v>154.21</v>
      </c>
      <c r="L19">
        <f>C19</f>
        <v>35.89</v>
      </c>
      <c r="M19">
        <f>L19/K19</f>
        <v>0.23273458271188638</v>
      </c>
      <c r="N19">
        <v>1.04</v>
      </c>
      <c r="O19">
        <f>L19/N19/1000</f>
        <v>3.4509615384615389E-2</v>
      </c>
      <c r="P19">
        <f>M19/$O$21</f>
        <v>7.1735984648701309E-3</v>
      </c>
      <c r="Q19">
        <f>P19*1000</f>
        <v>7.173598464870131</v>
      </c>
    </row>
    <row r="20" spans="1:17" x14ac:dyDescent="0.3">
      <c r="A20" t="s">
        <v>12</v>
      </c>
      <c r="F20">
        <f>SUM(F16:F19)</f>
        <v>32.441403987329288</v>
      </c>
      <c r="J20" t="s">
        <v>13</v>
      </c>
      <c r="K20">
        <v>94.11</v>
      </c>
      <c r="L20">
        <f>C18*(1-0.98911)</f>
        <v>8.6599457999999654</v>
      </c>
      <c r="M20">
        <f>L20/K20</f>
        <v>9.2019400701306611E-2</v>
      </c>
      <c r="N20">
        <v>1.07</v>
      </c>
      <c r="O20">
        <f>L20/N20/1000</f>
        <v>8.0934072897195924E-3</v>
      </c>
      <c r="P20">
        <f>M20/$O$21</f>
        <v>2.8363220623139861E-3</v>
      </c>
      <c r="Q20">
        <f>P20*1000</f>
        <v>2.836322062313986</v>
      </c>
    </row>
    <row r="21" spans="1:17" x14ac:dyDescent="0.3">
      <c r="J21" t="s">
        <v>12</v>
      </c>
      <c r="O21">
        <f>SUM(O16:O20)</f>
        <v>32.443212963704646</v>
      </c>
    </row>
    <row r="22" spans="1:17" x14ac:dyDescent="0.3">
      <c r="A22" t="s">
        <v>37</v>
      </c>
      <c r="B22" t="s">
        <v>16</v>
      </c>
      <c r="C22" t="s">
        <v>17</v>
      </c>
      <c r="D22" t="s">
        <v>18</v>
      </c>
    </row>
    <row r="23" spans="1:17" x14ac:dyDescent="0.3">
      <c r="A23">
        <v>9.7999999999999997E-4</v>
      </c>
      <c r="B23">
        <v>25</v>
      </c>
      <c r="C23">
        <f>B23+273.15</f>
        <v>298.14999999999998</v>
      </c>
      <c r="D23">
        <v>0.94399999999999995</v>
      </c>
    </row>
    <row r="24" spans="1:17" x14ac:dyDescent="0.3">
      <c r="B24">
        <v>70</v>
      </c>
      <c r="C24">
        <f>B24+273.15</f>
        <v>343.15</v>
      </c>
      <c r="D24">
        <f>D23*(1-(B24-B23)*A23)</f>
        <v>0.90236959999999988</v>
      </c>
    </row>
    <row r="25" spans="1:17" x14ac:dyDescent="0.3">
      <c r="B25">
        <f>D23/D24</f>
        <v>1.0461345329009311</v>
      </c>
      <c r="D25">
        <f>D23/D24</f>
        <v>1.0461345329009311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0"/>
  <dimension ref="A1:U35"/>
  <sheetViews>
    <sheetView zoomScale="83" workbookViewId="0">
      <selection activeCell="P6" sqref="P6:W17"/>
    </sheetView>
  </sheetViews>
  <sheetFormatPr defaultRowHeight="14.4" x14ac:dyDescent="0.3"/>
  <cols>
    <col min="1" max="1" width="21.5546875" bestFit="1" customWidth="1"/>
    <col min="2" max="2" width="6.6640625" bestFit="1" customWidth="1"/>
    <col min="3" max="3" width="5.6640625" bestFit="1" customWidth="1"/>
    <col min="4" max="4" width="11.6640625" bestFit="1" customWidth="1"/>
    <col min="5" max="5" width="6.5546875" bestFit="1" customWidth="1"/>
    <col min="6" max="8" width="11.6640625" bestFit="1" customWidth="1"/>
    <col min="10" max="11" width="1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15*D35</f>
        <v>15.606661903725863</v>
      </c>
    </row>
    <row r="3" spans="1:21" x14ac:dyDescent="0.3">
      <c r="A3" t="s">
        <v>9</v>
      </c>
      <c r="B3">
        <v>99.17</v>
      </c>
      <c r="C3" s="3">
        <v>61.63</v>
      </c>
      <c r="D3">
        <f>C3/B3</f>
        <v>0.62145810224866394</v>
      </c>
      <c r="E3">
        <v>0.83799999999999997</v>
      </c>
      <c r="F3">
        <f>C3/E3/1000</f>
        <v>7.3544152744630081E-2</v>
      </c>
      <c r="G3">
        <f>D3/$F$6</f>
        <v>3.8423382202104193E-2</v>
      </c>
      <c r="H3">
        <f>G3*1000</f>
        <v>38.423382202104193</v>
      </c>
      <c r="J3">
        <f>H3</f>
        <v>38.423382202104193</v>
      </c>
      <c r="K3">
        <f>H6</f>
        <v>0</v>
      </c>
    </row>
    <row r="4" spans="1:21" x14ac:dyDescent="0.3">
      <c r="A4" t="s">
        <v>10</v>
      </c>
      <c r="B4" s="4">
        <v>293.29000000000002</v>
      </c>
      <c r="C4" s="3">
        <v>635.51</v>
      </c>
      <c r="D4">
        <f>C4/B4</f>
        <v>2.1668314637389612</v>
      </c>
      <c r="E4" s="1">
        <v>1.3779999999999999</v>
      </c>
      <c r="F4">
        <f>C4/E4/1000</f>
        <v>0.46118287373004357</v>
      </c>
      <c r="G4">
        <f>D4/$F$6</f>
        <v>0.13397040475863548</v>
      </c>
      <c r="H4">
        <f>G4*1000</f>
        <v>133.97040475863548</v>
      </c>
      <c r="J4">
        <f>H10</f>
        <v>120.13909454555231</v>
      </c>
      <c r="K4">
        <f>H13</f>
        <v>0</v>
      </c>
    </row>
    <row r="5" spans="1:21" x14ac:dyDescent="0.3">
      <c r="A5" t="s">
        <v>11</v>
      </c>
      <c r="B5">
        <v>154.21</v>
      </c>
      <c r="C5" s="3">
        <v>33.869999999999997</v>
      </c>
      <c r="D5">
        <f>C5/B5</f>
        <v>0.21963556189611566</v>
      </c>
      <c r="E5" s="1">
        <v>1.04</v>
      </c>
      <c r="F5">
        <f>C5/E5/1000</f>
        <v>3.2567307692307687E-2</v>
      </c>
      <c r="G5">
        <f>D5/$F$6</f>
        <v>1.3579581808286752E-2</v>
      </c>
      <c r="H5">
        <f>G5*1000</f>
        <v>13.579581808286752</v>
      </c>
      <c r="J5">
        <f>H18</f>
        <v>118.63067904138636</v>
      </c>
      <c r="K5">
        <f>H21</f>
        <v>142.75280066807696</v>
      </c>
    </row>
    <row r="6" spans="1:21" x14ac:dyDescent="0.3">
      <c r="A6" t="s">
        <v>12</v>
      </c>
      <c r="F6">
        <f>SUM(F2:F5)</f>
        <v>16.173956237892842</v>
      </c>
      <c r="H6">
        <v>0</v>
      </c>
      <c r="J6">
        <f>H26</f>
        <v>260.4881134425612</v>
      </c>
      <c r="K6">
        <f>H29</f>
        <v>140.32220199946278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8</v>
      </c>
      <c r="F9">
        <f>$F$2</f>
        <v>15.606661903725863</v>
      </c>
      <c r="R9" s="15"/>
      <c r="S9" s="15"/>
      <c r="T9" s="15"/>
      <c r="U9" s="15"/>
    </row>
    <row r="10" spans="1:21" x14ac:dyDescent="0.3">
      <c r="A10" t="s">
        <v>9</v>
      </c>
      <c r="B10">
        <f>$B$3</f>
        <v>99.17</v>
      </c>
      <c r="C10" s="3">
        <f>C3+132.96</f>
        <v>194.59</v>
      </c>
      <c r="D10">
        <f>C10/B10</f>
        <v>1.9621861450035294</v>
      </c>
      <c r="E10">
        <v>0.83799999999999997</v>
      </c>
      <c r="F10">
        <f>C10/E10/1000</f>
        <v>0.23220763723150359</v>
      </c>
      <c r="G10">
        <f>D10/$F$14</f>
        <v>0.12013909454555231</v>
      </c>
      <c r="H10">
        <f>G10*1000</f>
        <v>120.13909454555231</v>
      </c>
      <c r="R10" s="15"/>
      <c r="S10" s="15"/>
      <c r="T10" s="15"/>
      <c r="U10" s="15"/>
    </row>
    <row r="11" spans="1:21" x14ac:dyDescent="0.3">
      <c r="A11" t="s">
        <v>10</v>
      </c>
      <c r="B11" s="4">
        <f>$B$4</f>
        <v>293.29000000000002</v>
      </c>
      <c r="C11" s="3">
        <f>$C$4</f>
        <v>635.51</v>
      </c>
      <c r="D11">
        <f>C11/B11</f>
        <v>2.1668314637389612</v>
      </c>
      <c r="E11" s="1">
        <v>1.3779999999999999</v>
      </c>
      <c r="F11">
        <f>C11/E11/1000</f>
        <v>0.46118287373004357</v>
      </c>
      <c r="G11">
        <f>D11/$F$14</f>
        <v>0.13266894720936087</v>
      </c>
      <c r="H11">
        <f>G11*1000</f>
        <v>132.66894720936088</v>
      </c>
    </row>
    <row r="12" spans="1:21" x14ac:dyDescent="0.3">
      <c r="A12" t="s">
        <v>11</v>
      </c>
      <c r="B12">
        <f>$B$5</f>
        <v>154.21</v>
      </c>
      <c r="C12" s="3">
        <f>$C$5</f>
        <v>33.869999999999997</v>
      </c>
      <c r="D12">
        <f>C12/B12</f>
        <v>0.21963556189611566</v>
      </c>
      <c r="E12" s="1">
        <v>1.04</v>
      </c>
      <c r="F12">
        <f>C12/E12/1000</f>
        <v>3.2567307692307687E-2</v>
      </c>
      <c r="G12">
        <f>D12/$F$14</f>
        <v>1.3447662752789177E-2</v>
      </c>
      <c r="H12">
        <f>G12*1000</f>
        <v>13.447662752789178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16.332619722379718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15.606661903725863</v>
      </c>
    </row>
    <row r="18" spans="1:8" x14ac:dyDescent="0.3">
      <c r="A18" t="s">
        <v>9</v>
      </c>
      <c r="B18">
        <v>99.17</v>
      </c>
      <c r="C18" s="3">
        <f>C10</f>
        <v>194.59</v>
      </c>
      <c r="D18">
        <f>C18/B18</f>
        <v>1.9621861450035294</v>
      </c>
      <c r="E18">
        <v>0.83799999999999997</v>
      </c>
      <c r="F18">
        <f>C18/E18/1000</f>
        <v>0.23220763723150359</v>
      </c>
      <c r="G18">
        <f>D18/$F$22</f>
        <v>0.11863067904138636</v>
      </c>
      <c r="H18">
        <f>G18*1000</f>
        <v>118.63067904138636</v>
      </c>
    </row>
    <row r="19" spans="1:8" x14ac:dyDescent="0.3">
      <c r="A19" t="s">
        <v>10</v>
      </c>
      <c r="B19" s="4">
        <f>$B$4</f>
        <v>293.29000000000002</v>
      </c>
      <c r="C19" s="3">
        <f>$C$4</f>
        <v>635.51</v>
      </c>
      <c r="D19">
        <f>C19/B19</f>
        <v>2.1668314637389612</v>
      </c>
      <c r="E19" s="1">
        <v>1.3779999999999999</v>
      </c>
      <c r="F19">
        <f>C19/E19/1000</f>
        <v>0.46118287373004357</v>
      </c>
      <c r="G19">
        <f>D19/$F$22</f>
        <v>0.13100321219072297</v>
      </c>
      <c r="H19">
        <f>G19*1000</f>
        <v>131.00321219072296</v>
      </c>
    </row>
    <row r="20" spans="1:8" x14ac:dyDescent="0.3">
      <c r="A20" t="s">
        <v>11</v>
      </c>
      <c r="B20">
        <f>$B$5</f>
        <v>154.21</v>
      </c>
      <c r="C20" s="3">
        <f>$C$5</f>
        <v>33.869999999999997</v>
      </c>
      <c r="D20">
        <f>C20/B20</f>
        <v>0.21963556189611566</v>
      </c>
      <c r="E20" s="1">
        <v>1.04</v>
      </c>
      <c r="F20">
        <f>C20/E20/1000</f>
        <v>3.2567307692307687E-2</v>
      </c>
      <c r="G20">
        <f>D20/$F$22</f>
        <v>1.3278819604205174E-2</v>
      </c>
      <c r="H20">
        <f>G20*1000</f>
        <v>13.278819604205175</v>
      </c>
    </row>
    <row r="21" spans="1:8" x14ac:dyDescent="0.3">
      <c r="A21" t="s">
        <v>13</v>
      </c>
      <c r="B21">
        <f>$B$13</f>
        <v>94.11</v>
      </c>
      <c r="C21" s="3">
        <v>222.21</v>
      </c>
      <c r="D21">
        <f>C21/B21</f>
        <v>2.3611730953139944</v>
      </c>
      <c r="E21">
        <v>1.07</v>
      </c>
      <c r="F21">
        <f>C21/E21/1000</f>
        <v>0.2076728971962617</v>
      </c>
      <c r="G21">
        <f>D21/$F$22</f>
        <v>0.14275280066807697</v>
      </c>
      <c r="H21">
        <f>G21*1000</f>
        <v>142.75280066807696</v>
      </c>
    </row>
    <row r="22" spans="1:8" x14ac:dyDescent="0.3">
      <c r="A22" t="s">
        <v>12</v>
      </c>
      <c r="F22">
        <f>SUM(F17:F21)</f>
        <v>16.540292619575979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15.606661903725863</v>
      </c>
    </row>
    <row r="26" spans="1:8" x14ac:dyDescent="0.3">
      <c r="A26" t="s">
        <v>9</v>
      </c>
      <c r="B26">
        <v>99.17</v>
      </c>
      <c r="C26" s="3">
        <f>C18+240.09</f>
        <v>434.68</v>
      </c>
      <c r="D26">
        <f>C26/B26</f>
        <v>4.3831803972975703</v>
      </c>
      <c r="E26">
        <v>0.83799999999999997</v>
      </c>
      <c r="F26">
        <f>C26/E26/1000</f>
        <v>0.51871121718377089</v>
      </c>
      <c r="G26">
        <f>D26/$F$30</f>
        <v>0.26048811344256118</v>
      </c>
      <c r="H26">
        <f>G26*1000</f>
        <v>260.4881134425612</v>
      </c>
    </row>
    <row r="27" spans="1:8" x14ac:dyDescent="0.3">
      <c r="A27" t="s">
        <v>10</v>
      </c>
      <c r="B27" s="4">
        <f>$B$4</f>
        <v>293.29000000000002</v>
      </c>
      <c r="C27" s="3">
        <f>$C$4</f>
        <v>635.51</v>
      </c>
      <c r="D27">
        <f>C27/B27</f>
        <v>2.1668314637389612</v>
      </c>
      <c r="E27" s="1">
        <v>1.3779999999999999</v>
      </c>
      <c r="F27">
        <f>C27/E27/1000</f>
        <v>0.46118287373004357</v>
      </c>
      <c r="G27">
        <f>D27/$F$30</f>
        <v>0.12877266938074108</v>
      </c>
      <c r="H27">
        <f>G27*1000</f>
        <v>128.77266938074109</v>
      </c>
    </row>
    <row r="28" spans="1:8" x14ac:dyDescent="0.3">
      <c r="A28" t="s">
        <v>11</v>
      </c>
      <c r="B28">
        <f>$B$5</f>
        <v>154.21</v>
      </c>
      <c r="C28" s="3">
        <f>$C$5</f>
        <v>33.869999999999997</v>
      </c>
      <c r="D28">
        <f>C28/B28</f>
        <v>0.21963556189611566</v>
      </c>
      <c r="E28" s="1">
        <v>1.04</v>
      </c>
      <c r="F28">
        <f>C28/E28/1000</f>
        <v>3.2567307692307687E-2</v>
      </c>
      <c r="G28">
        <f>D28/$F$30</f>
        <v>1.3052726097810193E-2</v>
      </c>
      <c r="H28">
        <f>G28*1000</f>
        <v>13.052726097810194</v>
      </c>
    </row>
    <row r="29" spans="1:8" x14ac:dyDescent="0.3">
      <c r="A29" t="s">
        <v>13</v>
      </c>
      <c r="B29">
        <v>94.11</v>
      </c>
      <c r="C29" s="3">
        <f>C21</f>
        <v>222.21</v>
      </c>
      <c r="D29">
        <f>C29/B29</f>
        <v>2.3611730953139944</v>
      </c>
      <c r="E29">
        <v>1.07</v>
      </c>
      <c r="F29">
        <f>C29/E29/1000</f>
        <v>0.2076728971962617</v>
      </c>
      <c r="G29">
        <f>D29/$F$30</f>
        <v>0.14032220199946277</v>
      </c>
      <c r="H29">
        <f>G29*1000</f>
        <v>140.32220199946278</v>
      </c>
    </row>
    <row r="30" spans="1:8" x14ac:dyDescent="0.3">
      <c r="A30" t="s">
        <v>12</v>
      </c>
      <c r="F30">
        <f>SUM(F25:F29)</f>
        <v>16.826796199528243</v>
      </c>
    </row>
    <row r="32" spans="1:8" x14ac:dyDescent="0.3">
      <c r="A32" t="s">
        <v>37</v>
      </c>
      <c r="B32" t="s">
        <v>16</v>
      </c>
      <c r="C32" t="s">
        <v>17</v>
      </c>
      <c r="D32" t="s">
        <v>18</v>
      </c>
    </row>
    <row r="33" spans="1:4" ht="15.6" customHeight="1" x14ac:dyDescent="0.3">
      <c r="A33" s="9" t="s">
        <v>38</v>
      </c>
      <c r="B33">
        <v>25</v>
      </c>
      <c r="C33">
        <f>B33+273.15</f>
        <v>298.14999999999998</v>
      </c>
      <c r="D33">
        <v>1.0278</v>
      </c>
    </row>
    <row r="34" spans="1:4" x14ac:dyDescent="0.3">
      <c r="B34">
        <v>70</v>
      </c>
      <c r="C34">
        <f>B34+273.15</f>
        <v>343.15</v>
      </c>
      <c r="D34">
        <f>1.26202-0.00070026*C34-0.00000028771*C34^2</f>
        <v>0.98784737537752498</v>
      </c>
    </row>
    <row r="35" spans="1:4" x14ac:dyDescent="0.3">
      <c r="D35">
        <f>D33/D34</f>
        <v>1.0404441269150575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35"/>
  <sheetViews>
    <sheetView topLeftCell="D1" workbookViewId="0">
      <selection activeCell="J26" sqref="J26"/>
    </sheetView>
  </sheetViews>
  <sheetFormatPr defaultColWidth="16.109375" defaultRowHeight="14.4" x14ac:dyDescent="0.3"/>
  <cols>
    <col min="1" max="1" width="14.33203125" bestFit="1" customWidth="1"/>
    <col min="2" max="2" width="7" bestFit="1" customWidth="1"/>
    <col min="3" max="3" width="5.44140625" bestFit="1" customWidth="1"/>
    <col min="4" max="4" width="12" bestFit="1" customWidth="1"/>
    <col min="5" max="5" width="6.6640625" bestFit="1" customWidth="1"/>
    <col min="6" max="8" width="12" bestFit="1" customWidth="1"/>
    <col min="10" max="11" width="12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39</v>
      </c>
      <c r="F2">
        <f>14*$D$35</f>
        <v>14.645883460613035</v>
      </c>
    </row>
    <row r="3" spans="1:21" x14ac:dyDescent="0.3">
      <c r="A3" t="s">
        <v>9</v>
      </c>
      <c r="B3">
        <v>99.17</v>
      </c>
      <c r="C3" s="8">
        <v>44.96</v>
      </c>
      <c r="D3">
        <f>C3/B3</f>
        <v>0.45336291217101948</v>
      </c>
      <c r="E3">
        <v>0.83799999999999997</v>
      </c>
      <c r="F3">
        <f>C3/E3/1000</f>
        <v>5.3651551312649169E-2</v>
      </c>
      <c r="G3">
        <f>D3/$F$6</f>
        <v>3.0081118555882067E-2</v>
      </c>
      <c r="H3">
        <f>G3*1000</f>
        <v>30.081118555882068</v>
      </c>
      <c r="J3">
        <f>H3</f>
        <v>30.081118555882068</v>
      </c>
      <c r="K3">
        <f>H6</f>
        <v>0</v>
      </c>
    </row>
    <row r="4" spans="1:21" x14ac:dyDescent="0.3">
      <c r="A4" t="s">
        <v>10</v>
      </c>
      <c r="B4" s="4">
        <v>293.29000000000002</v>
      </c>
      <c r="C4" s="8">
        <v>475.89</v>
      </c>
      <c r="D4">
        <f>C4/B4</f>
        <v>1.6225919738143133</v>
      </c>
      <c r="E4" s="1">
        <v>1.3779999999999999</v>
      </c>
      <c r="F4">
        <f>C4/E4/1000</f>
        <v>0.34534833091436867</v>
      </c>
      <c r="G4">
        <f>D4/$F$6</f>
        <v>0.10766072879318139</v>
      </c>
      <c r="H4">
        <f>G4*1000</f>
        <v>107.66072879318139</v>
      </c>
      <c r="J4">
        <f>H10</f>
        <v>103.13676933958769</v>
      </c>
      <c r="K4">
        <f>H13</f>
        <v>0</v>
      </c>
    </row>
    <row r="5" spans="1:21" x14ac:dyDescent="0.3">
      <c r="A5" t="s">
        <v>11</v>
      </c>
      <c r="B5">
        <v>154.21</v>
      </c>
      <c r="C5" s="8">
        <v>27.52</v>
      </c>
      <c r="D5">
        <f>C5/B5</f>
        <v>0.17845794695545034</v>
      </c>
      <c r="E5" s="1">
        <v>1.04</v>
      </c>
      <c r="F5">
        <f>C5/E5/1000</f>
        <v>2.646153846153846E-2</v>
      </c>
      <c r="G5">
        <f>D5/$F$6</f>
        <v>1.1840877397534436E-2</v>
      </c>
      <c r="H5">
        <f>G5*1000</f>
        <v>11.840877397534436</v>
      </c>
      <c r="J5">
        <f>H18</f>
        <v>101.7414387645848</v>
      </c>
      <c r="K5">
        <f>H21</f>
        <v>153.81956951911528</v>
      </c>
    </row>
    <row r="6" spans="1:21" x14ac:dyDescent="0.3">
      <c r="A6" t="s">
        <v>12</v>
      </c>
      <c r="F6">
        <f>SUM(F2:F5)</f>
        <v>15.071344881301592</v>
      </c>
      <c r="H6">
        <v>0</v>
      </c>
      <c r="J6">
        <f>H26</f>
        <v>251.16336382510283</v>
      </c>
      <c r="K6">
        <f>H29</f>
        <v>151.06646343825494</v>
      </c>
    </row>
    <row r="7" spans="1:21" x14ac:dyDescent="0.3">
      <c r="R7" s="15"/>
      <c r="S7" s="15">
        <f>H10</f>
        <v>103.13676933958769</v>
      </c>
      <c r="T7" s="15">
        <f>H18</f>
        <v>101.7414387645848</v>
      </c>
      <c r="U7" s="15">
        <f>H26</f>
        <v>251.16336382510283</v>
      </c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>
        <f>H11</f>
        <v>106.72662271011448</v>
      </c>
      <c r="T8" s="15">
        <f>H19</f>
        <v>105.28272524476061</v>
      </c>
      <c r="U8" s="15">
        <f>H27</f>
        <v>103.39834530541305</v>
      </c>
    </row>
    <row r="9" spans="1:21" x14ac:dyDescent="0.3">
      <c r="A9" t="s">
        <v>8</v>
      </c>
      <c r="F9">
        <f>$F$2</f>
        <v>14.645883460613035</v>
      </c>
      <c r="R9" s="15"/>
      <c r="S9" s="15">
        <f>H13</f>
        <v>0</v>
      </c>
      <c r="T9" s="15">
        <f>H21</f>
        <v>153.81956951911528</v>
      </c>
      <c r="U9" s="15">
        <f>H29</f>
        <v>151.06646343825494</v>
      </c>
    </row>
    <row r="10" spans="1:21" x14ac:dyDescent="0.3">
      <c r="A10" t="s">
        <v>9</v>
      </c>
      <c r="B10">
        <v>99.17</v>
      </c>
      <c r="C10" s="3">
        <f>C3+110.54</f>
        <v>155.5</v>
      </c>
      <c r="D10">
        <f>C10/B10</f>
        <v>1.5680145205203186</v>
      </c>
      <c r="E10">
        <v>0.83799999999999997</v>
      </c>
      <c r="F10">
        <f>C10/E10/1000</f>
        <v>0.18556085918854415</v>
      </c>
      <c r="G10">
        <f>D10/$F$14</f>
        <v>0.10313676933958768</v>
      </c>
      <c r="H10">
        <f>G10*1000</f>
        <v>103.13676933958769</v>
      </c>
      <c r="R10" s="15"/>
      <c r="S10" s="15">
        <f>H12</f>
        <v>11.738141369923717</v>
      </c>
      <c r="T10" s="15">
        <f>H20</f>
        <v>11.57933682667462</v>
      </c>
      <c r="U10" s="15">
        <f>H28</f>
        <v>11.372086587127654</v>
      </c>
    </row>
    <row r="11" spans="1:21" x14ac:dyDescent="0.3">
      <c r="A11" t="s">
        <v>10</v>
      </c>
      <c r="B11" s="4">
        <v>293.29000000000002</v>
      </c>
      <c r="C11" s="3">
        <f>C4</f>
        <v>475.89</v>
      </c>
      <c r="D11">
        <f>C11/B11</f>
        <v>1.6225919738143133</v>
      </c>
      <c r="E11" s="1">
        <v>1.3779999999999999</v>
      </c>
      <c r="F11">
        <f>C11/E11/1000</f>
        <v>0.34534833091436867</v>
      </c>
      <c r="G11">
        <f>D11/$F$14</f>
        <v>0.10672662271011449</v>
      </c>
      <c r="H11">
        <f>G11*1000</f>
        <v>106.72662271011448</v>
      </c>
    </row>
    <row r="12" spans="1:21" x14ac:dyDescent="0.3">
      <c r="A12" t="s">
        <v>11</v>
      </c>
      <c r="B12">
        <v>154.21</v>
      </c>
      <c r="C12" s="3">
        <f>$C$5</f>
        <v>27.52</v>
      </c>
      <c r="D12">
        <f>C12/B12</f>
        <v>0.17845794695545034</v>
      </c>
      <c r="E12" s="1">
        <v>1.04</v>
      </c>
      <c r="F12">
        <f>C12/E12/1000</f>
        <v>2.646153846153846E-2</v>
      </c>
      <c r="G12">
        <f>D12/$F$14</f>
        <v>1.1738141369923717E-2</v>
      </c>
      <c r="H12">
        <f>G12*1000</f>
        <v>11.738141369923717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15.203254189177487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14.645883460613035</v>
      </c>
    </row>
    <row r="18" spans="1:8" x14ac:dyDescent="0.3">
      <c r="A18" t="s">
        <v>9</v>
      </c>
      <c r="B18">
        <v>99.17</v>
      </c>
      <c r="C18" s="3">
        <f>C10</f>
        <v>155.5</v>
      </c>
      <c r="D18">
        <f>C18/B18</f>
        <v>1.5680145205203186</v>
      </c>
      <c r="E18">
        <v>0.83799999999999997</v>
      </c>
      <c r="F18">
        <f>C18/E18/1000</f>
        <v>0.18556085918854415</v>
      </c>
      <c r="G18">
        <f>D18/$F$22</f>
        <v>0.1017414387645848</v>
      </c>
      <c r="H18">
        <f>G18*1000</f>
        <v>101.7414387645848</v>
      </c>
    </row>
    <row r="19" spans="1:8" x14ac:dyDescent="0.3">
      <c r="A19" t="s">
        <v>10</v>
      </c>
      <c r="B19" s="4">
        <v>293.29000000000002</v>
      </c>
      <c r="C19" s="3">
        <f>C4</f>
        <v>475.89</v>
      </c>
      <c r="D19">
        <f>C19/B19</f>
        <v>1.6225919738143133</v>
      </c>
      <c r="E19" s="1">
        <v>1.3779999999999999</v>
      </c>
      <c r="F19">
        <f>C19/E19/1000</f>
        <v>0.34534833091436867</v>
      </c>
      <c r="G19">
        <f>D19/$F$22</f>
        <v>0.10528272524476061</v>
      </c>
      <c r="H19">
        <f>G19*1000</f>
        <v>105.28272524476061</v>
      </c>
    </row>
    <row r="20" spans="1:8" x14ac:dyDescent="0.3">
      <c r="A20" t="s">
        <v>11</v>
      </c>
      <c r="B20">
        <v>154.21</v>
      </c>
      <c r="C20" s="3">
        <f>$C$5</f>
        <v>27.52</v>
      </c>
      <c r="D20">
        <f>C20/B20</f>
        <v>0.17845794695545034</v>
      </c>
      <c r="E20" s="1">
        <v>1.04</v>
      </c>
      <c r="F20">
        <f>C20/E20/1000</f>
        <v>2.646153846153846E-2</v>
      </c>
      <c r="G20">
        <f>D20/$F$22</f>
        <v>1.157933682667462E-2</v>
      </c>
      <c r="H20">
        <f>G20*1000</f>
        <v>11.57933682667462</v>
      </c>
    </row>
    <row r="21" spans="1:8" x14ac:dyDescent="0.3">
      <c r="A21" t="s">
        <v>13</v>
      </c>
      <c r="B21">
        <v>94.11</v>
      </c>
      <c r="C21" s="8">
        <v>223.1</v>
      </c>
      <c r="D21">
        <f>C21/B21</f>
        <v>2.3706301136967376</v>
      </c>
      <c r="E21">
        <v>1.07</v>
      </c>
      <c r="F21">
        <f>C21/E21/1000</f>
        <v>0.20850467289719626</v>
      </c>
      <c r="G21">
        <f>D21/$F$22</f>
        <v>0.15381956951911527</v>
      </c>
      <c r="H21">
        <f>G21*1000</f>
        <v>153.81956951911528</v>
      </c>
    </row>
    <row r="22" spans="1:8" x14ac:dyDescent="0.3">
      <c r="A22" t="s">
        <v>12</v>
      </c>
      <c r="F22">
        <f>SUM(F17:F21)</f>
        <v>15.411758862074684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14.645883460613035</v>
      </c>
    </row>
    <row r="26" spans="1:8" x14ac:dyDescent="0.3">
      <c r="A26" t="s">
        <v>9</v>
      </c>
      <c r="B26">
        <v>99.17</v>
      </c>
      <c r="C26" s="3">
        <f>C18+235.37</f>
        <v>390.87</v>
      </c>
      <c r="D26">
        <f>C26/B26</f>
        <v>3.9414137339921349</v>
      </c>
      <c r="E26">
        <v>0.83799999999999997</v>
      </c>
      <c r="F26">
        <f>C26/E26/1000</f>
        <v>0.46643198090692123</v>
      </c>
      <c r="G26">
        <f>D26/$F$30</f>
        <v>0.25116336382510285</v>
      </c>
      <c r="H26">
        <f>G26*1000</f>
        <v>251.16336382510283</v>
      </c>
    </row>
    <row r="27" spans="1:8" x14ac:dyDescent="0.3">
      <c r="A27" t="s">
        <v>10</v>
      </c>
      <c r="B27" s="4">
        <v>293.29000000000002</v>
      </c>
      <c r="C27" s="3">
        <f>C4</f>
        <v>475.89</v>
      </c>
      <c r="D27">
        <f>C27/B27</f>
        <v>1.6225919738143133</v>
      </c>
      <c r="E27" s="1">
        <v>1.3779999999999999</v>
      </c>
      <c r="F27">
        <f>C27/E27/1000</f>
        <v>0.34534833091436867</v>
      </c>
      <c r="G27">
        <f>D27/$F$30</f>
        <v>0.10339834530541304</v>
      </c>
      <c r="H27">
        <f>G27*1000</f>
        <v>103.39834530541305</v>
      </c>
    </row>
    <row r="28" spans="1:8" x14ac:dyDescent="0.3">
      <c r="A28" t="s">
        <v>11</v>
      </c>
      <c r="B28">
        <v>154.21</v>
      </c>
      <c r="C28" s="3">
        <f>$C$5</f>
        <v>27.52</v>
      </c>
      <c r="D28">
        <f>C28/B28</f>
        <v>0.17845794695545034</v>
      </c>
      <c r="E28" s="1">
        <v>1.04</v>
      </c>
      <c r="F28">
        <f>C28/E28/1000</f>
        <v>2.646153846153846E-2</v>
      </c>
      <c r="G28">
        <f>D28/$F$30</f>
        <v>1.1372086587127654E-2</v>
      </c>
      <c r="H28">
        <f>G28*1000</f>
        <v>11.372086587127654</v>
      </c>
    </row>
    <row r="29" spans="1:8" x14ac:dyDescent="0.3">
      <c r="A29" t="s">
        <v>13</v>
      </c>
      <c r="B29">
        <v>94.11</v>
      </c>
      <c r="C29" s="3">
        <f>C21</f>
        <v>223.1</v>
      </c>
      <c r="D29">
        <f>C29/B29</f>
        <v>2.3706301136967376</v>
      </c>
      <c r="E29">
        <v>1.07</v>
      </c>
      <c r="F29">
        <f>C29/E29/1000</f>
        <v>0.20850467289719626</v>
      </c>
      <c r="G29">
        <f>D29/$F$30</f>
        <v>0.15106646343825494</v>
      </c>
      <c r="H29">
        <f>G29*1000</f>
        <v>151.06646343825494</v>
      </c>
    </row>
    <row r="30" spans="1:8" x14ac:dyDescent="0.3">
      <c r="A30" t="s">
        <v>12</v>
      </c>
      <c r="F30">
        <f>SUM(F25:F29)</f>
        <v>15.692629983793061</v>
      </c>
    </row>
    <row r="32" spans="1:8" x14ac:dyDescent="0.3">
      <c r="A32" t="s">
        <v>37</v>
      </c>
      <c r="B32" t="s">
        <v>16</v>
      </c>
      <c r="C32" t="s">
        <v>17</v>
      </c>
      <c r="D32" t="s">
        <v>18</v>
      </c>
    </row>
    <row r="33" spans="1:4" ht="15" customHeight="1" thickBot="1" x14ac:dyDescent="0.35">
      <c r="A33" s="13">
        <v>9.7999999999999997E-4</v>
      </c>
      <c r="B33">
        <v>25</v>
      </c>
      <c r="C33">
        <f>B33+273.15</f>
        <v>298.14999999999998</v>
      </c>
      <c r="D33">
        <v>0.93700000000000006</v>
      </c>
    </row>
    <row r="34" spans="1:4" x14ac:dyDescent="0.3">
      <c r="B34">
        <v>70</v>
      </c>
      <c r="C34">
        <f>B34+273.15</f>
        <v>343.15</v>
      </c>
      <c r="D34">
        <f>D33*(1-(B34-B33)*A33)</f>
        <v>0.89567830000000004</v>
      </c>
    </row>
    <row r="35" spans="1:4" x14ac:dyDescent="0.3">
      <c r="B35">
        <f>D33/D34</f>
        <v>1.0461345329009311</v>
      </c>
      <c r="D35">
        <f>D33/D34</f>
        <v>1.0461345329009311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25"/>
  <sheetViews>
    <sheetView workbookViewId="0">
      <selection activeCell="R7" sqref="R7:T10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20" x14ac:dyDescent="0.3">
      <c r="A2" t="s">
        <v>40</v>
      </c>
      <c r="F2">
        <f>15*F25</f>
        <v>15.993176244802219</v>
      </c>
      <c r="J2" t="s">
        <v>40</v>
      </c>
      <c r="O2">
        <f>$F$2</f>
        <v>15.993176244802219</v>
      </c>
    </row>
    <row r="3" spans="1:20" x14ac:dyDescent="0.3">
      <c r="A3" t="s">
        <v>9</v>
      </c>
      <c r="B3">
        <v>99.17</v>
      </c>
      <c r="C3">
        <v>77.88</v>
      </c>
      <c r="D3">
        <f>C3/B3</f>
        <v>0.78531814056670357</v>
      </c>
      <c r="E3">
        <v>0.83799999999999997</v>
      </c>
      <c r="F3">
        <f>C3/E3/1000</f>
        <v>9.293556085918854E-2</v>
      </c>
      <c r="G3">
        <f>D3/$F$6</f>
        <v>4.7491819115831502E-2</v>
      </c>
      <c r="H3">
        <f>G3*1000</f>
        <v>47.491819115831504</v>
      </c>
      <c r="J3" t="s">
        <v>9</v>
      </c>
      <c r="K3">
        <v>99.17</v>
      </c>
      <c r="L3">
        <v>77.88</v>
      </c>
      <c r="M3">
        <f>L3/K3</f>
        <v>0.78531814056670357</v>
      </c>
      <c r="N3">
        <v>0.83799999999999997</v>
      </c>
      <c r="O3">
        <f>L3/N3/1000</f>
        <v>9.293556085918854E-2</v>
      </c>
      <c r="P3">
        <f>M3/$O$7</f>
        <v>4.7487990213507608E-2</v>
      </c>
      <c r="Q3">
        <f>P3*1000</f>
        <v>47.487990213507608</v>
      </c>
    </row>
    <row r="4" spans="1:20" x14ac:dyDescent="0.3">
      <c r="A4" t="s">
        <v>10</v>
      </c>
      <c r="B4">
        <v>293.29000000000002</v>
      </c>
      <c r="C4">
        <v>586.1</v>
      </c>
      <c r="D4">
        <f>C4/B4</f>
        <v>1.9983633945923829</v>
      </c>
      <c r="E4">
        <v>1.3779999999999999</v>
      </c>
      <c r="F4">
        <f>C4/E4/1000</f>
        <v>0.42532656023222071</v>
      </c>
      <c r="G4">
        <f>D4/$F$6</f>
        <v>0.12085027450810468</v>
      </c>
      <c r="H4">
        <f>G4*1000</f>
        <v>120.85027450810468</v>
      </c>
      <c r="J4" t="s">
        <v>10</v>
      </c>
      <c r="K4">
        <v>293.29000000000002</v>
      </c>
      <c r="L4">
        <f>C4*0.98911</f>
        <v>579.71737100000007</v>
      </c>
      <c r="M4">
        <f>L4/K4</f>
        <v>1.976601217225272</v>
      </c>
      <c r="N4">
        <v>1.3779999999999999</v>
      </c>
      <c r="O4">
        <f>L4/N4/1000</f>
        <v>0.4206947539912918</v>
      </c>
      <c r="P4">
        <f>M4/$O$7</f>
        <v>0.11952457788873429</v>
      </c>
      <c r="Q4">
        <f>P4*1000</f>
        <v>119.52457788873429</v>
      </c>
    </row>
    <row r="5" spans="1:20" x14ac:dyDescent="0.3">
      <c r="A5" t="s">
        <v>11</v>
      </c>
      <c r="B5">
        <v>154.21</v>
      </c>
      <c r="C5">
        <v>25.4</v>
      </c>
      <c r="D5">
        <f>C5/B5</f>
        <v>0.1647104597626613</v>
      </c>
      <c r="E5">
        <v>1.04</v>
      </c>
      <c r="F5">
        <f>C5/E5/1000</f>
        <v>2.4423076923076919E-2</v>
      </c>
      <c r="G5">
        <f>D5/$F$6</f>
        <v>9.9608030904378836E-3</v>
      </c>
      <c r="H5">
        <f>G5*1000</f>
        <v>9.9608030904378833</v>
      </c>
      <c r="J5" t="s">
        <v>11</v>
      </c>
      <c r="K5">
        <v>154.21</v>
      </c>
      <c r="L5">
        <f>C5</f>
        <v>25.4</v>
      </c>
      <c r="M5">
        <f>L5/K5</f>
        <v>0.1647104597626613</v>
      </c>
      <c r="N5">
        <v>1.04</v>
      </c>
      <c r="O5">
        <f>L5/N5/1000</f>
        <v>2.4423076923076919E-2</v>
      </c>
      <c r="P5">
        <f>M5/$O$7</f>
        <v>9.960000027030104E-3</v>
      </c>
      <c r="Q5">
        <f>P5*1000</f>
        <v>9.9600000270301035</v>
      </c>
    </row>
    <row r="6" spans="1:20" x14ac:dyDescent="0.3">
      <c r="A6" t="s">
        <v>12</v>
      </c>
      <c r="F6">
        <f>SUM(F2:F5)</f>
        <v>16.535861442816707</v>
      </c>
      <c r="J6" t="s">
        <v>13</v>
      </c>
      <c r="K6">
        <v>94.11</v>
      </c>
      <c r="L6">
        <f>C4*(1-0.98911)</f>
        <v>6.3826289999999739</v>
      </c>
      <c r="M6">
        <f>L6/K6</f>
        <v>6.7820943576665321E-2</v>
      </c>
      <c r="N6">
        <v>1.07</v>
      </c>
      <c r="O6">
        <f>L6/N6/1000</f>
        <v>5.9650738317756765E-3</v>
      </c>
      <c r="P6">
        <f>M6/$O$7</f>
        <v>4.1011153804691404E-3</v>
      </c>
      <c r="Q6">
        <f>P6*1000</f>
        <v>4.1011153804691407</v>
      </c>
    </row>
    <row r="7" spans="1:20" x14ac:dyDescent="0.3">
      <c r="J7" t="s">
        <v>12</v>
      </c>
      <c r="O7">
        <f>SUM(O2:O6)</f>
        <v>16.537194710407551</v>
      </c>
      <c r="R7" s="15"/>
      <c r="S7" s="15"/>
      <c r="T7" s="15"/>
    </row>
    <row r="8" spans="1:20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J8" t="s">
        <v>0</v>
      </c>
      <c r="K8" t="s">
        <v>1</v>
      </c>
      <c r="L8" t="s">
        <v>2</v>
      </c>
      <c r="M8" t="s">
        <v>3</v>
      </c>
      <c r="N8" t="s">
        <v>4</v>
      </c>
      <c r="O8" t="s">
        <v>5</v>
      </c>
      <c r="P8" t="s">
        <v>6</v>
      </c>
      <c r="Q8" t="s">
        <v>7</v>
      </c>
      <c r="R8" s="15"/>
      <c r="S8" s="15"/>
      <c r="T8" s="15"/>
    </row>
    <row r="9" spans="1:20" x14ac:dyDescent="0.3">
      <c r="A9" t="s">
        <v>40</v>
      </c>
      <c r="F9">
        <f>$F$2</f>
        <v>15.993176244802219</v>
      </c>
      <c r="J9" t="s">
        <v>40</v>
      </c>
      <c r="O9">
        <f>$F$2</f>
        <v>15.993176244802219</v>
      </c>
      <c r="R9" s="15"/>
      <c r="S9" s="15"/>
      <c r="T9" s="15"/>
    </row>
    <row r="10" spans="1:20" x14ac:dyDescent="0.3">
      <c r="A10" t="s">
        <v>9</v>
      </c>
      <c r="B10">
        <v>99.17</v>
      </c>
      <c r="C10">
        <f>C3+151.45</f>
        <v>229.32999999999998</v>
      </c>
      <c r="D10">
        <f>C10/B10</f>
        <v>2.3124936976908339</v>
      </c>
      <c r="E10">
        <v>0.83799999999999997</v>
      </c>
      <c r="F10">
        <f>C10/E10/1000</f>
        <v>0.2736634844868735</v>
      </c>
      <c r="G10">
        <f>D10/$F$13</f>
        <v>0.13833525768915264</v>
      </c>
      <c r="H10">
        <f>G10*1000</f>
        <v>138.33525768915263</v>
      </c>
      <c r="J10" t="s">
        <v>9</v>
      </c>
      <c r="K10">
        <v>99.17</v>
      </c>
      <c r="L10">
        <f>L3+151.45</f>
        <v>229.32999999999998</v>
      </c>
      <c r="M10">
        <f>L10/K10</f>
        <v>2.3124936976908339</v>
      </c>
      <c r="N10">
        <v>0.83799999999999997</v>
      </c>
      <c r="O10">
        <f>L10/N10/1000</f>
        <v>0.2736634844868735</v>
      </c>
      <c r="P10">
        <f>M10/$O$14</f>
        <v>0.13832422534262337</v>
      </c>
      <c r="Q10">
        <f>P10*1000</f>
        <v>138.32422534262338</v>
      </c>
      <c r="R10" s="15"/>
      <c r="S10" s="15"/>
      <c r="T10" s="15"/>
    </row>
    <row r="11" spans="1:20" x14ac:dyDescent="0.3">
      <c r="A11" t="s">
        <v>10</v>
      </c>
      <c r="B11">
        <v>293.29000000000002</v>
      </c>
      <c r="C11">
        <v>586.1</v>
      </c>
      <c r="D11">
        <f>C11/B11</f>
        <v>1.9983633945923829</v>
      </c>
      <c r="E11">
        <v>1.3779999999999999</v>
      </c>
      <c r="F11">
        <f>C11/E11/1000</f>
        <v>0.42532656023222071</v>
      </c>
      <c r="G11">
        <f>D11/$F$13</f>
        <v>0.11954372694012244</v>
      </c>
      <c r="H11">
        <f>G11*1000</f>
        <v>119.54372694012244</v>
      </c>
      <c r="J11" t="s">
        <v>10</v>
      </c>
      <c r="K11">
        <v>293.29000000000002</v>
      </c>
      <c r="L11">
        <f>C11*0.98911</f>
        <v>579.71737100000007</v>
      </c>
      <c r="M11">
        <f>L11/K11</f>
        <v>1.976601217225272</v>
      </c>
      <c r="N11">
        <v>1.3779999999999999</v>
      </c>
      <c r="O11">
        <f>L11/N11/1000</f>
        <v>0.4206947539912918</v>
      </c>
      <c r="P11">
        <f>M11/$O$14</f>
        <v>0.11823246586876782</v>
      </c>
      <c r="Q11">
        <f>P11*1000</f>
        <v>118.23246586876782</v>
      </c>
    </row>
    <row r="12" spans="1:20" x14ac:dyDescent="0.3">
      <c r="A12" t="s">
        <v>11</v>
      </c>
      <c r="B12">
        <v>154.21</v>
      </c>
      <c r="C12">
        <v>25.4</v>
      </c>
      <c r="D12">
        <f>C12/B12</f>
        <v>0.1647104597626613</v>
      </c>
      <c r="E12">
        <v>1.04</v>
      </c>
      <c r="F12">
        <f>C12/E12/1000</f>
        <v>2.4423076923076919E-2</v>
      </c>
      <c r="G12">
        <f>D12/$F$13</f>
        <v>9.8531139428051345E-3</v>
      </c>
      <c r="H12">
        <f>G12*1000</f>
        <v>9.853113942805134</v>
      </c>
      <c r="J12" t="s">
        <v>11</v>
      </c>
      <c r="K12">
        <v>154.21</v>
      </c>
      <c r="L12">
        <f>C12</f>
        <v>25.4</v>
      </c>
      <c r="M12">
        <f>L12/K12</f>
        <v>0.1647104597626613</v>
      </c>
      <c r="N12">
        <v>1.04</v>
      </c>
      <c r="O12">
        <f>L12/N12/1000</f>
        <v>2.4423076923076919E-2</v>
      </c>
      <c r="P12">
        <f>M12/$O$14</f>
        <v>9.8523281491526334E-3</v>
      </c>
      <c r="Q12">
        <f>P12*1000</f>
        <v>9.8523281491526333</v>
      </c>
    </row>
    <row r="13" spans="1:20" x14ac:dyDescent="0.3">
      <c r="A13" t="s">
        <v>12</v>
      </c>
      <c r="F13">
        <f>SUM(F9:F12)</f>
        <v>16.716589366444392</v>
      </c>
      <c r="J13" t="s">
        <v>13</v>
      </c>
      <c r="K13">
        <v>94.11</v>
      </c>
      <c r="L13">
        <f>C11*(1-0.98911)</f>
        <v>6.3826289999999739</v>
      </c>
      <c r="M13">
        <f>L13/K13</f>
        <v>6.7820943576665321E-2</v>
      </c>
      <c r="N13">
        <v>1.07</v>
      </c>
      <c r="O13">
        <f>L13/N13/1000</f>
        <v>5.9650738317756765E-3</v>
      </c>
      <c r="P13">
        <f>M13/$O$14</f>
        <v>4.056780561873868E-3</v>
      </c>
      <c r="Q13">
        <f>P13*1000</f>
        <v>4.0567805618738682</v>
      </c>
    </row>
    <row r="14" spans="1:20" x14ac:dyDescent="0.3">
      <c r="J14" t="s">
        <v>12</v>
      </c>
      <c r="O14">
        <f>SUM(O9:O13)</f>
        <v>16.717922634035236</v>
      </c>
    </row>
    <row r="15" spans="1:20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J15" t="s">
        <v>0</v>
      </c>
      <c r="K15" t="s">
        <v>1</v>
      </c>
      <c r="L15" t="s">
        <v>2</v>
      </c>
      <c r="M15" t="s">
        <v>3</v>
      </c>
      <c r="N15" t="s">
        <v>4</v>
      </c>
      <c r="O15" t="s">
        <v>5</v>
      </c>
      <c r="P15" t="s">
        <v>6</v>
      </c>
      <c r="Q15" t="s">
        <v>7</v>
      </c>
    </row>
    <row r="16" spans="1:20" x14ac:dyDescent="0.3">
      <c r="A16" t="s">
        <v>40</v>
      </c>
      <c r="F16">
        <f>$F$2</f>
        <v>15.993176244802219</v>
      </c>
      <c r="J16" t="s">
        <v>40</v>
      </c>
      <c r="O16">
        <f>$F$2</f>
        <v>15.993176244802219</v>
      </c>
    </row>
    <row r="17" spans="1:17" x14ac:dyDescent="0.3">
      <c r="A17" t="s">
        <v>9</v>
      </c>
      <c r="B17">
        <v>99.17</v>
      </c>
      <c r="C17">
        <f>C10+241.6</f>
        <v>470.92999999999995</v>
      </c>
      <c r="D17">
        <f>C17/B17</f>
        <v>4.7487143289301192</v>
      </c>
      <c r="E17">
        <v>0.83799999999999997</v>
      </c>
      <c r="F17">
        <f>C17/E17/1000</f>
        <v>0.56196897374701671</v>
      </c>
      <c r="G17">
        <f>D17/$F$20</f>
        <v>0.27925573014272975</v>
      </c>
      <c r="H17">
        <f>G17*1000</f>
        <v>279.25573014272976</v>
      </c>
      <c r="J17" t="s">
        <v>9</v>
      </c>
      <c r="K17">
        <v>99.17</v>
      </c>
      <c r="L17">
        <f>L10+241.6</f>
        <v>470.92999999999995</v>
      </c>
      <c r="M17">
        <f>L17/K17</f>
        <v>4.7487143289301192</v>
      </c>
      <c r="N17">
        <v>0.83799999999999997</v>
      </c>
      <c r="O17">
        <f>L17/N17/1000</f>
        <v>0.56196897374701671</v>
      </c>
      <c r="P17">
        <f>M17/$O$21</f>
        <v>0.27923383683329878</v>
      </c>
      <c r="Q17">
        <f>P17*1000</f>
        <v>279.23383683329877</v>
      </c>
    </row>
    <row r="18" spans="1:17" x14ac:dyDescent="0.3">
      <c r="A18" t="s">
        <v>10</v>
      </c>
      <c r="B18">
        <v>293.29000000000002</v>
      </c>
      <c r="C18">
        <v>586.1</v>
      </c>
      <c r="D18">
        <f>C18/B18</f>
        <v>1.9983633945923829</v>
      </c>
      <c r="E18">
        <v>1.3779999999999999</v>
      </c>
      <c r="F18">
        <f>C18/E18/1000</f>
        <v>0.42532656023222071</v>
      </c>
      <c r="G18">
        <f>D18/$F$20</f>
        <v>0.11751695094556867</v>
      </c>
      <c r="H18">
        <f>G18*1000</f>
        <v>117.51695094556868</v>
      </c>
      <c r="J18" t="s">
        <v>10</v>
      </c>
      <c r="K18">
        <v>293.29000000000002</v>
      </c>
      <c r="L18">
        <f>C18*0.98911</f>
        <v>579.71737100000007</v>
      </c>
      <c r="M18">
        <f>L18/K18</f>
        <v>1.976601217225272</v>
      </c>
      <c r="N18">
        <v>1.3779999999999999</v>
      </c>
      <c r="O18">
        <f>L18/N18/1000</f>
        <v>0.4206947539912918</v>
      </c>
      <c r="P18">
        <f>M18/$O$21</f>
        <v>0.11622807849541279</v>
      </c>
      <c r="Q18">
        <f>P18*1000</f>
        <v>116.22807849541279</v>
      </c>
    </row>
    <row r="19" spans="1:17" x14ac:dyDescent="0.3">
      <c r="A19" t="s">
        <v>11</v>
      </c>
      <c r="B19">
        <v>154.21</v>
      </c>
      <c r="C19">
        <v>25.4</v>
      </c>
      <c r="D19">
        <f>C19/B19</f>
        <v>0.1647104597626613</v>
      </c>
      <c r="E19">
        <v>1.04</v>
      </c>
      <c r="F19">
        <f>C19/E19/1000</f>
        <v>2.4423076923076919E-2</v>
      </c>
      <c r="G19">
        <f>D19/$F$20</f>
        <v>9.6860616405050476E-3</v>
      </c>
      <c r="H19">
        <f>G19*1000</f>
        <v>9.6860616405050468</v>
      </c>
      <c r="J19" t="s">
        <v>11</v>
      </c>
      <c r="K19">
        <v>154.21</v>
      </c>
      <c r="L19">
        <f>C19</f>
        <v>25.4</v>
      </c>
      <c r="M19">
        <f>L19/K19</f>
        <v>0.1647104597626613</v>
      </c>
      <c r="N19">
        <v>1.04</v>
      </c>
      <c r="O19">
        <f>L19/N19/1000</f>
        <v>2.4423076923076919E-2</v>
      </c>
      <c r="P19">
        <f>M19/$O$21</f>
        <v>9.6853022650589121E-3</v>
      </c>
      <c r="Q19">
        <f>P19*1000</f>
        <v>9.6853022650589118</v>
      </c>
    </row>
    <row r="20" spans="1:17" x14ac:dyDescent="0.3">
      <c r="A20" t="s">
        <v>12</v>
      </c>
      <c r="F20">
        <f>SUM(F16:F19)</f>
        <v>17.004894855704535</v>
      </c>
      <c r="J20" t="s">
        <v>13</v>
      </c>
      <c r="K20">
        <v>94.11</v>
      </c>
      <c r="L20">
        <f>C18*(1-0.98911)</f>
        <v>6.3826289999999739</v>
      </c>
      <c r="M20">
        <f>L20/K20</f>
        <v>6.7820943576665321E-2</v>
      </c>
      <c r="N20">
        <v>1.07</v>
      </c>
      <c r="O20">
        <f>L20/N20/1000</f>
        <v>5.9650738317756765E-3</v>
      </c>
      <c r="P20">
        <f>M20/$O$21</f>
        <v>3.9880062224828799E-3</v>
      </c>
      <c r="Q20">
        <f>P20*1000</f>
        <v>3.9880062224828801</v>
      </c>
    </row>
    <row r="21" spans="1:17" x14ac:dyDescent="0.3">
      <c r="J21" t="s">
        <v>12</v>
      </c>
      <c r="O21">
        <f>SUM(O16:O20)</f>
        <v>17.006228123295379</v>
      </c>
    </row>
    <row r="22" spans="1:17" x14ac:dyDescent="0.3">
      <c r="C22" t="s">
        <v>37</v>
      </c>
      <c r="D22" t="s">
        <v>16</v>
      </c>
      <c r="E22" t="s">
        <v>17</v>
      </c>
      <c r="F22" t="s">
        <v>18</v>
      </c>
    </row>
    <row r="23" spans="1:17" ht="15" customHeight="1" thickBot="1" x14ac:dyDescent="0.35">
      <c r="C23" s="13">
        <v>1.3799999999999999E-3</v>
      </c>
      <c r="D23">
        <v>25</v>
      </c>
      <c r="E23">
        <f>D23+273.15</f>
        <v>298.14999999999998</v>
      </c>
      <c r="F23">
        <v>0.78600000000000003</v>
      </c>
    </row>
    <row r="24" spans="1:17" x14ac:dyDescent="0.3">
      <c r="D24">
        <v>70</v>
      </c>
      <c r="E24">
        <f>D24+273.15</f>
        <v>343.15</v>
      </c>
      <c r="F24">
        <f>F23*(1-(D24-D23)*C23)</f>
        <v>0.73718939999999999</v>
      </c>
    </row>
    <row r="25" spans="1:17" x14ac:dyDescent="0.3">
      <c r="D25">
        <f>F23/F24</f>
        <v>1.0662117496534813</v>
      </c>
      <c r="F25">
        <f>F23/F24</f>
        <v>1.0662117496534813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35"/>
  <sheetViews>
    <sheetView topLeftCell="G1" zoomScale="83" workbookViewId="0">
      <selection activeCell="N2" sqref="N2:U36"/>
    </sheetView>
  </sheetViews>
  <sheetFormatPr defaultColWidth="16.109375" defaultRowHeight="14.4" x14ac:dyDescent="0.3"/>
  <cols>
    <col min="1" max="1" width="14.33203125" bestFit="1" customWidth="1"/>
    <col min="2" max="2" width="7" bestFit="1" customWidth="1"/>
    <col min="3" max="3" width="5.44140625" bestFit="1" customWidth="1"/>
    <col min="4" max="4" width="12" bestFit="1" customWidth="1"/>
    <col min="5" max="5" width="6.6640625" bestFit="1" customWidth="1"/>
    <col min="6" max="8" width="12" bestFit="1" customWidth="1"/>
    <col min="10" max="11" width="12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41</v>
      </c>
      <c r="F2">
        <f>13*$D$35</f>
        <v>13.807753584705257</v>
      </c>
    </row>
    <row r="3" spans="1:21" x14ac:dyDescent="0.3">
      <c r="A3" t="s">
        <v>9</v>
      </c>
      <c r="B3">
        <v>99.17</v>
      </c>
      <c r="C3" s="8">
        <v>41.2</v>
      </c>
      <c r="D3">
        <f>C3/B3</f>
        <v>0.41544822022789152</v>
      </c>
      <c r="E3">
        <v>0.83799999999999997</v>
      </c>
      <c r="F3">
        <f>C3/E3/1000</f>
        <v>4.9164677804295946E-2</v>
      </c>
      <c r="G3">
        <f>D3/$F$6</f>
        <v>2.9218819361828432E-2</v>
      </c>
      <c r="H3">
        <f>G3*1000</f>
        <v>29.21881936182843</v>
      </c>
      <c r="J3">
        <f>H3</f>
        <v>29.21881936182843</v>
      </c>
      <c r="K3">
        <f>H6</f>
        <v>0</v>
      </c>
    </row>
    <row r="4" spans="1:21" x14ac:dyDescent="0.3">
      <c r="A4" t="s">
        <v>10</v>
      </c>
      <c r="B4" s="4">
        <v>293.29000000000002</v>
      </c>
      <c r="C4" s="8">
        <v>454.33</v>
      </c>
      <c r="D4">
        <f>C4/B4</f>
        <v>1.5490811142555148</v>
      </c>
      <c r="E4" s="1">
        <v>1.3779999999999999</v>
      </c>
      <c r="F4">
        <f>C4/E4/1000</f>
        <v>0.32970246734397679</v>
      </c>
      <c r="G4">
        <f>D4/$F$6</f>
        <v>0.10894816501903279</v>
      </c>
      <c r="H4">
        <f>G4*1000</f>
        <v>108.94816501903279</v>
      </c>
      <c r="J4">
        <f>H10</f>
        <v>99.728792979487196</v>
      </c>
      <c r="K4">
        <f>H13</f>
        <v>0</v>
      </c>
    </row>
    <row r="5" spans="1:21" x14ac:dyDescent="0.3">
      <c r="A5" t="s">
        <v>11</v>
      </c>
      <c r="B5">
        <v>154.21</v>
      </c>
      <c r="C5" s="8">
        <v>33.17</v>
      </c>
      <c r="D5">
        <f>C5/B5</f>
        <v>0.21509629725698723</v>
      </c>
      <c r="E5" s="1">
        <v>1.04</v>
      </c>
      <c r="F5">
        <f>C5/E5/1000</f>
        <v>3.1894230769230772E-2</v>
      </c>
      <c r="G5">
        <f>D5/$F$6</f>
        <v>1.5127901743092177E-2</v>
      </c>
      <c r="H5">
        <f>G5*1000</f>
        <v>15.127901743092178</v>
      </c>
      <c r="J5">
        <f>H18</f>
        <v>98.745793703342116</v>
      </c>
      <c r="K5">
        <f>H21</f>
        <v>112.06774661293397</v>
      </c>
    </row>
    <row r="6" spans="1:21" x14ac:dyDescent="0.3">
      <c r="A6" t="s">
        <v>12</v>
      </c>
      <c r="F6">
        <f>SUM(F2:F5)</f>
        <v>14.218514960622759</v>
      </c>
      <c r="H6">
        <v>0</v>
      </c>
      <c r="J6">
        <f>H26</f>
        <v>236.20929832924867</v>
      </c>
      <c r="K6">
        <f>H29</f>
        <v>110.22311660705181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tr">
        <f>$A$2</f>
        <v>3-pentanone</v>
      </c>
      <c r="F9">
        <f>$F$2</f>
        <v>13.807753584705257</v>
      </c>
      <c r="R9" s="15"/>
      <c r="S9" s="15"/>
      <c r="T9" s="15"/>
      <c r="U9" s="15"/>
    </row>
    <row r="10" spans="1:21" x14ac:dyDescent="0.3">
      <c r="A10" t="s">
        <v>9</v>
      </c>
      <c r="B10">
        <v>99.17</v>
      </c>
      <c r="C10" s="3">
        <f>C3+100.61</f>
        <v>141.81</v>
      </c>
      <c r="D10">
        <f>C10/B10</f>
        <v>1.4299687405465362</v>
      </c>
      <c r="E10">
        <v>0.83799999999999997</v>
      </c>
      <c r="F10">
        <f>C10/E10/1000</f>
        <v>0.16922434367541767</v>
      </c>
      <c r="G10">
        <f>D10/$F$14</f>
        <v>9.9728792979487196E-2</v>
      </c>
      <c r="H10">
        <f>G10*1000</f>
        <v>99.728792979487196</v>
      </c>
      <c r="R10" s="15"/>
      <c r="S10" s="15"/>
      <c r="T10" s="15"/>
      <c r="U10" s="15"/>
    </row>
    <row r="11" spans="1:21" x14ac:dyDescent="0.3">
      <c r="A11" t="s">
        <v>10</v>
      </c>
      <c r="B11" s="4">
        <v>293.29000000000002</v>
      </c>
      <c r="C11" s="3">
        <f>C4</f>
        <v>454.33</v>
      </c>
      <c r="D11">
        <f>C11/B11</f>
        <v>1.5490811142555148</v>
      </c>
      <c r="E11" s="1">
        <v>1.3779999999999999</v>
      </c>
      <c r="F11">
        <f>C11/E11/1000</f>
        <v>0.32970246734397679</v>
      </c>
      <c r="G11">
        <f>D11/$F$14</f>
        <v>0.1080359209061983</v>
      </c>
      <c r="H11">
        <f>G11*1000</f>
        <v>108.0359209061983</v>
      </c>
    </row>
    <row r="12" spans="1:21" x14ac:dyDescent="0.3">
      <c r="A12" t="s">
        <v>11</v>
      </c>
      <c r="B12">
        <v>154.21</v>
      </c>
      <c r="C12" s="3">
        <f>$C$5</f>
        <v>33.17</v>
      </c>
      <c r="D12">
        <f>C12/B12</f>
        <v>0.21509629725698723</v>
      </c>
      <c r="E12" s="1">
        <v>1.04</v>
      </c>
      <c r="F12">
        <f>C12/E12/1000</f>
        <v>3.1894230769230772E-2</v>
      </c>
      <c r="G12">
        <f>D12/$F$14</f>
        <v>1.5001232888208173E-2</v>
      </c>
      <c r="H12">
        <f>G12*1000</f>
        <v>15.001232888208174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14.33857462649388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tr">
        <f>$A$2</f>
        <v>3-pentanone</v>
      </c>
      <c r="F17">
        <f>$F$2</f>
        <v>13.807753584705257</v>
      </c>
    </row>
    <row r="18" spans="1:8" x14ac:dyDescent="0.3">
      <c r="A18" t="s">
        <v>9</v>
      </c>
      <c r="B18">
        <v>99.17</v>
      </c>
      <c r="C18" s="3">
        <f>C10</f>
        <v>141.81</v>
      </c>
      <c r="D18">
        <f>C18/B18</f>
        <v>1.4299687405465362</v>
      </c>
      <c r="E18">
        <v>0.83799999999999997</v>
      </c>
      <c r="F18">
        <f>C18/E18/1000</f>
        <v>0.16922434367541767</v>
      </c>
      <c r="G18">
        <f>D18/$F$22</f>
        <v>9.8745793703342119E-2</v>
      </c>
      <c r="H18">
        <f>G18*1000</f>
        <v>98.745793703342116</v>
      </c>
    </row>
    <row r="19" spans="1:8" x14ac:dyDescent="0.3">
      <c r="A19" t="s">
        <v>10</v>
      </c>
      <c r="B19" s="4">
        <v>293.29000000000002</v>
      </c>
      <c r="C19" s="3">
        <f>C4</f>
        <v>454.33</v>
      </c>
      <c r="D19">
        <f>C19/B19</f>
        <v>1.5490811142555148</v>
      </c>
      <c r="E19" s="1">
        <v>1.3779999999999999</v>
      </c>
      <c r="F19">
        <f>C19/E19/1000</f>
        <v>0.32970246734397679</v>
      </c>
      <c r="G19">
        <f>D19/$F$22</f>
        <v>0.10697104055544239</v>
      </c>
      <c r="H19">
        <f>G19*1000</f>
        <v>106.97104055544239</v>
      </c>
    </row>
    <row r="20" spans="1:8" x14ac:dyDescent="0.3">
      <c r="A20" t="s">
        <v>11</v>
      </c>
      <c r="B20">
        <v>154.21</v>
      </c>
      <c r="C20" s="3">
        <f>$C$5</f>
        <v>33.17</v>
      </c>
      <c r="D20">
        <f>C20/B20</f>
        <v>0.21509629725698723</v>
      </c>
      <c r="E20" s="1">
        <v>1.04</v>
      </c>
      <c r="F20">
        <f>C20/E20/1000</f>
        <v>3.1894230769230772E-2</v>
      </c>
      <c r="G20">
        <f>D20/$F$22</f>
        <v>1.4853369862598052E-2</v>
      </c>
      <c r="H20">
        <f>G20*1000</f>
        <v>14.853369862598052</v>
      </c>
    </row>
    <row r="21" spans="1:8" x14ac:dyDescent="0.3">
      <c r="A21" t="s">
        <v>13</v>
      </c>
      <c r="B21">
        <v>94.11</v>
      </c>
      <c r="C21" s="8">
        <v>152.72999999999999</v>
      </c>
      <c r="D21">
        <f>C21/B21</f>
        <v>1.6228881096589096</v>
      </c>
      <c r="E21">
        <v>1.07</v>
      </c>
      <c r="F21">
        <f>C21/E21/1000</f>
        <v>0.14273831775700932</v>
      </c>
      <c r="G21">
        <f>D21/$F$22</f>
        <v>0.11206774661293398</v>
      </c>
      <c r="H21">
        <f>G21*1000</f>
        <v>112.06774661293397</v>
      </c>
    </row>
    <row r="22" spans="1:8" x14ac:dyDescent="0.3">
      <c r="A22" t="s">
        <v>12</v>
      </c>
      <c r="F22">
        <f>SUM(F17:F21)</f>
        <v>14.48131294425089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tr">
        <f>$A$2</f>
        <v>3-pentanone</v>
      </c>
      <c r="F25">
        <f>$F$2</f>
        <v>13.807753584705257</v>
      </c>
    </row>
    <row r="26" spans="1:8" x14ac:dyDescent="0.3">
      <c r="A26" t="s">
        <v>9</v>
      </c>
      <c r="B26">
        <v>99.17</v>
      </c>
      <c r="C26" s="3">
        <f>C18+203.09</f>
        <v>344.9</v>
      </c>
      <c r="D26">
        <f>C26/B26</f>
        <v>3.4778662902087323</v>
      </c>
      <c r="E26">
        <v>0.83799999999999997</v>
      </c>
      <c r="F26">
        <f>C26/E26/1000</f>
        <v>0.41157517899761337</v>
      </c>
      <c r="G26">
        <f>D26/$F$30</f>
        <v>0.23620929832924867</v>
      </c>
      <c r="H26">
        <f>G26*1000</f>
        <v>236.20929832924867</v>
      </c>
    </row>
    <row r="27" spans="1:8" x14ac:dyDescent="0.3">
      <c r="A27" t="s">
        <v>10</v>
      </c>
      <c r="B27" s="4">
        <v>293.29000000000002</v>
      </c>
      <c r="C27" s="3">
        <f>C4</f>
        <v>454.33</v>
      </c>
      <c r="D27">
        <f>C27/B27</f>
        <v>1.5490811142555148</v>
      </c>
      <c r="E27" s="1">
        <v>1.3779999999999999</v>
      </c>
      <c r="F27">
        <f>C27/E27/1000</f>
        <v>0.32970246734397679</v>
      </c>
      <c r="G27">
        <f>D27/$F$30</f>
        <v>0.10521030209917157</v>
      </c>
      <c r="H27">
        <f>G27*1000</f>
        <v>105.21030209917157</v>
      </c>
    </row>
    <row r="28" spans="1:8" x14ac:dyDescent="0.3">
      <c r="A28" t="s">
        <v>11</v>
      </c>
      <c r="B28">
        <v>154.21</v>
      </c>
      <c r="C28" s="3">
        <f>$C$5</f>
        <v>33.17</v>
      </c>
      <c r="D28">
        <f>C28/B28</f>
        <v>0.21509629725698723</v>
      </c>
      <c r="E28" s="1">
        <v>1.04</v>
      </c>
      <c r="F28">
        <f>C28/E28/1000</f>
        <v>3.1894230769230772E-2</v>
      </c>
      <c r="G28">
        <f>D28/$F$30</f>
        <v>1.460888407105585E-2</v>
      </c>
      <c r="H28">
        <f>G28*1000</f>
        <v>14.608884071055849</v>
      </c>
    </row>
    <row r="29" spans="1:8" x14ac:dyDescent="0.3">
      <c r="A29" t="s">
        <v>13</v>
      </c>
      <c r="B29">
        <v>94.11</v>
      </c>
      <c r="C29" s="3">
        <f>C21</f>
        <v>152.72999999999999</v>
      </c>
      <c r="D29">
        <f>C29/B29</f>
        <v>1.6228881096589096</v>
      </c>
      <c r="E29">
        <v>1.07</v>
      </c>
      <c r="F29">
        <f>C29/E29/1000</f>
        <v>0.14273831775700932</v>
      </c>
      <c r="G29">
        <f>D29/$F$30</f>
        <v>0.11022311660705181</v>
      </c>
      <c r="H29">
        <f>G29*1000</f>
        <v>110.22311660705181</v>
      </c>
    </row>
    <row r="30" spans="1:8" x14ac:dyDescent="0.3">
      <c r="A30" t="s">
        <v>12</v>
      </c>
      <c r="F30">
        <f>SUM(F25:F29)</f>
        <v>14.723663779573087</v>
      </c>
    </row>
    <row r="32" spans="1:8" x14ac:dyDescent="0.3">
      <c r="A32" t="s">
        <v>37</v>
      </c>
      <c r="B32" t="s">
        <v>16</v>
      </c>
      <c r="C32" t="s">
        <v>17</v>
      </c>
      <c r="D32" t="s">
        <v>18</v>
      </c>
    </row>
    <row r="33" spans="1:4" ht="15" customHeight="1" thickBot="1" x14ac:dyDescent="0.35">
      <c r="A33" s="13">
        <v>1.2999999999999999E-3</v>
      </c>
      <c r="B33">
        <v>25</v>
      </c>
      <c r="C33">
        <f>B33+273.15</f>
        <v>298.14999999999998</v>
      </c>
      <c r="D33">
        <v>0.80900000000000005</v>
      </c>
    </row>
    <row r="34" spans="1:4" x14ac:dyDescent="0.3">
      <c r="B34">
        <v>70</v>
      </c>
      <c r="C34">
        <f>B34+273.15</f>
        <v>343.15</v>
      </c>
      <c r="D34">
        <f>D33*(1-(B34-B33)*A33)</f>
        <v>0.7616735</v>
      </c>
    </row>
    <row r="35" spans="1:4" x14ac:dyDescent="0.3">
      <c r="B35">
        <f>D33/D34</f>
        <v>1.0621348911311737</v>
      </c>
      <c r="D35">
        <f>D33/D34</f>
        <v>1.0621348911311737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4"/>
  <dimension ref="A1:U35"/>
  <sheetViews>
    <sheetView topLeftCell="B1" workbookViewId="0">
      <selection activeCell="O3" sqref="O3:U16"/>
    </sheetView>
  </sheetViews>
  <sheetFormatPr defaultRowHeight="14.4" x14ac:dyDescent="0.3"/>
  <cols>
    <col min="1" max="1" width="14.33203125" bestFit="1" customWidth="1"/>
    <col min="2" max="2" width="6.6640625" bestFit="1" customWidth="1"/>
    <col min="3" max="3" width="5.6640625" bestFit="1" customWidth="1"/>
    <col min="4" max="4" width="11.6640625" bestFit="1" customWidth="1"/>
    <col min="5" max="5" width="6.5546875" bestFit="1" customWidth="1"/>
    <col min="6" max="8" width="11.6640625" bestFit="1" customWidth="1"/>
    <col min="10" max="11" width="1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8</v>
      </c>
      <c r="F2">
        <f>15*$D$35</f>
        <v>15.647819737116627</v>
      </c>
    </row>
    <row r="3" spans="1:21" x14ac:dyDescent="0.3">
      <c r="A3" t="s">
        <v>9</v>
      </c>
      <c r="B3">
        <v>99.17</v>
      </c>
      <c r="C3" s="8">
        <v>57.53</v>
      </c>
      <c r="D3">
        <f>C3/B3</f>
        <v>0.58011495411918923</v>
      </c>
      <c r="E3">
        <v>0.83799999999999997</v>
      </c>
      <c r="F3">
        <f>C3/E3/1000</f>
        <v>6.8651551312649176E-2</v>
      </c>
      <c r="G3">
        <f>D3/$F$6</f>
        <v>3.5893110118495948E-2</v>
      </c>
      <c r="H3">
        <f>G3*1000</f>
        <v>35.893110118495947</v>
      </c>
      <c r="J3">
        <f>H3</f>
        <v>35.893110118495947</v>
      </c>
      <c r="K3">
        <f>H6</f>
        <v>0</v>
      </c>
    </row>
    <row r="4" spans="1:21" x14ac:dyDescent="0.3">
      <c r="A4" t="s">
        <v>10</v>
      </c>
      <c r="B4" s="4">
        <v>293.29000000000002</v>
      </c>
      <c r="C4" s="8">
        <v>580.74</v>
      </c>
      <c r="D4">
        <f>C4/B4</f>
        <v>1.9800879675406593</v>
      </c>
      <c r="E4" s="1">
        <v>1.3779999999999999</v>
      </c>
      <c r="F4">
        <f>C4/E4/1000</f>
        <v>0.42143686502177069</v>
      </c>
      <c r="G4">
        <f>D4/$F$6</f>
        <v>0.12251281398383589</v>
      </c>
      <c r="H4">
        <f>G4*1000</f>
        <v>122.51281398383588</v>
      </c>
      <c r="J4">
        <f>H10</f>
        <v>109.20266573836709</v>
      </c>
      <c r="K4">
        <f>H13</f>
        <v>0</v>
      </c>
    </row>
    <row r="5" spans="1:21" x14ac:dyDescent="0.3">
      <c r="A5" t="s">
        <v>11</v>
      </c>
      <c r="B5">
        <v>154.21</v>
      </c>
      <c r="C5" s="8">
        <v>25.36</v>
      </c>
      <c r="D5">
        <f>C5/B5</f>
        <v>0.16445107321185395</v>
      </c>
      <c r="E5" s="1">
        <v>1.04</v>
      </c>
      <c r="F5">
        <f>C5/E5/1000</f>
        <v>2.4384615384615383E-2</v>
      </c>
      <c r="G5">
        <f>D5/$F$6</f>
        <v>1.0174984178541215E-2</v>
      </c>
      <c r="H5">
        <f>G5*1000</f>
        <v>10.174984178541214</v>
      </c>
      <c r="J5">
        <f>H18</f>
        <v>107.77285215016165</v>
      </c>
      <c r="K5">
        <f>H21</f>
        <v>148.86554245504593</v>
      </c>
    </row>
    <row r="6" spans="1:21" x14ac:dyDescent="0.3">
      <c r="A6" t="s">
        <v>12</v>
      </c>
      <c r="F6">
        <f>SUM(F2:F5)</f>
        <v>16.162292768835663</v>
      </c>
      <c r="H6">
        <v>0</v>
      </c>
      <c r="J6">
        <f>H26</f>
        <v>250.23147824304809</v>
      </c>
      <c r="K6">
        <f>H29</f>
        <v>146.32343538721585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">
        <v>8</v>
      </c>
      <c r="F9">
        <f>F2</f>
        <v>15.647819737116627</v>
      </c>
      <c r="R9" s="15"/>
      <c r="S9" s="15"/>
      <c r="T9" s="15"/>
      <c r="U9" s="15"/>
    </row>
    <row r="10" spans="1:21" x14ac:dyDescent="0.3">
      <c r="A10" t="s">
        <v>9</v>
      </c>
      <c r="B10">
        <f>$B$3</f>
        <v>99.17</v>
      </c>
      <c r="C10" s="3">
        <f>C3+119.04</f>
        <v>176.57</v>
      </c>
      <c r="D10">
        <f>C10/B10</f>
        <v>1.7804779671271553</v>
      </c>
      <c r="E10">
        <v>0.83799999999999997</v>
      </c>
      <c r="F10">
        <f>C10/E10/1000</f>
        <v>0.21070405727923627</v>
      </c>
      <c r="G10">
        <f>D10/$F$14</f>
        <v>0.10920266573836709</v>
      </c>
      <c r="H10">
        <f>G10*1000</f>
        <v>109.20266573836709</v>
      </c>
      <c r="R10" s="15"/>
      <c r="S10" s="15"/>
      <c r="T10" s="15"/>
      <c r="U10" s="15"/>
    </row>
    <row r="11" spans="1:21" x14ac:dyDescent="0.3">
      <c r="A11" t="s">
        <v>10</v>
      </c>
      <c r="B11" s="4">
        <f>$B$4</f>
        <v>293.29000000000002</v>
      </c>
      <c r="C11" s="3">
        <f>$C$4</f>
        <v>580.74</v>
      </c>
      <c r="D11">
        <f>C11/B11</f>
        <v>1.9800879675406593</v>
      </c>
      <c r="E11" s="1">
        <v>1.3779999999999999</v>
      </c>
      <c r="F11">
        <f>C11/E11/1000</f>
        <v>0.42143686502177069</v>
      </c>
      <c r="G11">
        <f>D11/$F$14</f>
        <v>0.12144541434612589</v>
      </c>
      <c r="H11">
        <f>G11*1000</f>
        <v>121.44541434612589</v>
      </c>
    </row>
    <row r="12" spans="1:21" x14ac:dyDescent="0.3">
      <c r="A12" t="s">
        <v>11</v>
      </c>
      <c r="B12">
        <f>$B$5</f>
        <v>154.21</v>
      </c>
      <c r="C12" s="3">
        <f>$C$5</f>
        <v>25.36</v>
      </c>
      <c r="D12">
        <f>C12/B12</f>
        <v>0.16445107321185395</v>
      </c>
      <c r="E12" s="1">
        <v>1.04</v>
      </c>
      <c r="F12">
        <f>C12/E12/1000</f>
        <v>2.4384615384615383E-2</v>
      </c>
      <c r="G12">
        <f>D12/$F$14</f>
        <v>1.0086334068624445E-2</v>
      </c>
      <c r="H12">
        <f>G12*1000</f>
        <v>10.086334068624446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16.304345274802252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F2</f>
        <v>15.647819737116627</v>
      </c>
    </row>
    <row r="18" spans="1:8" x14ac:dyDescent="0.3">
      <c r="A18" t="s">
        <v>9</v>
      </c>
      <c r="B18">
        <v>99.17</v>
      </c>
      <c r="C18" s="3">
        <f>C10</f>
        <v>176.57</v>
      </c>
      <c r="D18">
        <f>C18/B18</f>
        <v>1.7804779671271553</v>
      </c>
      <c r="E18">
        <v>0.83799999999999997</v>
      </c>
      <c r="F18">
        <f>C18/E18/1000</f>
        <v>0.21070405727923627</v>
      </c>
      <c r="G18">
        <f>D18/$F$22</f>
        <v>0.10777285215016165</v>
      </c>
      <c r="H18">
        <f>G18*1000</f>
        <v>107.77285215016165</v>
      </c>
    </row>
    <row r="19" spans="1:8" x14ac:dyDescent="0.3">
      <c r="A19" t="s">
        <v>10</v>
      </c>
      <c r="B19" s="4">
        <f>$B$4</f>
        <v>293.29000000000002</v>
      </c>
      <c r="C19" s="3">
        <f>$C$4</f>
        <v>580.74</v>
      </c>
      <c r="D19">
        <f>C19/B19</f>
        <v>1.9800879675406593</v>
      </c>
      <c r="E19" s="1">
        <v>1.3779999999999999</v>
      </c>
      <c r="F19">
        <f>C19/E19/1000</f>
        <v>0.42143686502177069</v>
      </c>
      <c r="G19">
        <f>D19/$F$22</f>
        <v>0.11985530386225404</v>
      </c>
      <c r="H19">
        <f>G19*1000</f>
        <v>119.85530386225405</v>
      </c>
    </row>
    <row r="20" spans="1:8" x14ac:dyDescent="0.3">
      <c r="A20" t="s">
        <v>11</v>
      </c>
      <c r="B20">
        <f>$B$5</f>
        <v>154.21</v>
      </c>
      <c r="C20" s="3">
        <f>$C$5</f>
        <v>25.36</v>
      </c>
      <c r="D20">
        <f>C20/B20</f>
        <v>0.16445107321185395</v>
      </c>
      <c r="E20" s="1">
        <v>1.04</v>
      </c>
      <c r="F20">
        <f>C20/E20/1000</f>
        <v>2.4384615384615383E-2</v>
      </c>
      <c r="G20">
        <f>D20/$F$22</f>
        <v>9.9542715643898827E-3</v>
      </c>
      <c r="H20">
        <f>G20*1000</f>
        <v>9.9542715643898827</v>
      </c>
    </row>
    <row r="21" spans="1:8" x14ac:dyDescent="0.3">
      <c r="A21" t="s">
        <v>13</v>
      </c>
      <c r="B21">
        <f>$B$13</f>
        <v>94.11</v>
      </c>
      <c r="C21" s="8">
        <v>231.45</v>
      </c>
      <c r="D21">
        <f>C21/B21</f>
        <v>2.4593560726809054</v>
      </c>
      <c r="E21">
        <v>1.07</v>
      </c>
      <c r="F21">
        <f>C21/E21/1000</f>
        <v>0.21630841121495326</v>
      </c>
      <c r="G21">
        <f>D21/$F$22</f>
        <v>0.14886554245504593</v>
      </c>
      <c r="H21">
        <f>G21*1000</f>
        <v>148.86554245504593</v>
      </c>
    </row>
    <row r="22" spans="1:8" x14ac:dyDescent="0.3">
      <c r="A22" t="s">
        <v>12</v>
      </c>
      <c r="F22">
        <f>SUM(F17:F21)</f>
        <v>16.520653686017205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F2</f>
        <v>15.647819737116627</v>
      </c>
    </row>
    <row r="26" spans="1:8" x14ac:dyDescent="0.3">
      <c r="A26" t="s">
        <v>9</v>
      </c>
      <c r="B26">
        <v>99.17</v>
      </c>
      <c r="C26" s="3">
        <f>C18+240.52</f>
        <v>417.09000000000003</v>
      </c>
      <c r="D26">
        <f>C26/B26</f>
        <v>4.2058082081274586</v>
      </c>
      <c r="E26">
        <v>0.83799999999999997</v>
      </c>
      <c r="F26">
        <f>C26/E26/1000</f>
        <v>0.49772076372315044</v>
      </c>
      <c r="G26">
        <f>D26/$F$30</f>
        <v>0.25023147824304809</v>
      </c>
      <c r="H26">
        <f>G26*1000</f>
        <v>250.23147824304809</v>
      </c>
    </row>
    <row r="27" spans="1:8" x14ac:dyDescent="0.3">
      <c r="A27" t="s">
        <v>10</v>
      </c>
      <c r="B27" s="4">
        <f>$B$4</f>
        <v>293.29000000000002</v>
      </c>
      <c r="C27" s="3">
        <f>$C$4</f>
        <v>580.74</v>
      </c>
      <c r="D27">
        <f>C27/B27</f>
        <v>1.9800879675406593</v>
      </c>
      <c r="E27" s="1">
        <v>1.3779999999999999</v>
      </c>
      <c r="F27">
        <f>C27/E27/1000</f>
        <v>0.42143686502177069</v>
      </c>
      <c r="G27">
        <f>D27/$F$30</f>
        <v>0.11780859103643561</v>
      </c>
      <c r="H27">
        <f>G27*1000</f>
        <v>117.80859103643562</v>
      </c>
    </row>
    <row r="28" spans="1:8" x14ac:dyDescent="0.3">
      <c r="A28" t="s">
        <v>11</v>
      </c>
      <c r="B28">
        <f>$B$5</f>
        <v>154.21</v>
      </c>
      <c r="C28" s="3">
        <f>$C$5</f>
        <v>25.36</v>
      </c>
      <c r="D28">
        <f>C28/B28</f>
        <v>0.16445107321185395</v>
      </c>
      <c r="E28" s="1">
        <v>1.04</v>
      </c>
      <c r="F28">
        <f>C28/E28/1000</f>
        <v>2.4384615384615383E-2</v>
      </c>
      <c r="G28">
        <f>D28/$F$30</f>
        <v>9.7842871362837126E-3</v>
      </c>
      <c r="H28">
        <f>G28*1000</f>
        <v>9.7842871362837123</v>
      </c>
    </row>
    <row r="29" spans="1:8" x14ac:dyDescent="0.3">
      <c r="A29" t="s">
        <v>13</v>
      </c>
      <c r="B29">
        <v>94.11</v>
      </c>
      <c r="C29" s="3">
        <f>C21</f>
        <v>231.45</v>
      </c>
      <c r="D29">
        <f>C29/B29</f>
        <v>2.4593560726809054</v>
      </c>
      <c r="E29">
        <v>1.07</v>
      </c>
      <c r="F29">
        <f>C29/E29/1000</f>
        <v>0.21630841121495326</v>
      </c>
      <c r="G29">
        <f>D29/$F$30</f>
        <v>0.14632343538721584</v>
      </c>
      <c r="H29">
        <f>G29*1000</f>
        <v>146.32343538721585</v>
      </c>
    </row>
    <row r="30" spans="1:8" x14ac:dyDescent="0.3">
      <c r="A30" t="s">
        <v>12</v>
      </c>
      <c r="F30">
        <f>SUM(F25:F29)</f>
        <v>16.807670392461119</v>
      </c>
    </row>
    <row r="32" spans="1:8" x14ac:dyDescent="0.3">
      <c r="A32" t="s">
        <v>37</v>
      </c>
      <c r="B32" t="s">
        <v>16</v>
      </c>
      <c r="C32" t="s">
        <v>17</v>
      </c>
      <c r="D32" t="s">
        <v>18</v>
      </c>
    </row>
    <row r="33" spans="1:4" x14ac:dyDescent="0.3">
      <c r="A33">
        <v>9.2000000000000003E-4</v>
      </c>
      <c r="B33">
        <v>25</v>
      </c>
      <c r="C33">
        <f>B33+273.15</f>
        <v>298.14999999999998</v>
      </c>
      <c r="D33">
        <v>0.78600000000000003</v>
      </c>
    </row>
    <row r="34" spans="1:4" x14ac:dyDescent="0.3">
      <c r="B34">
        <v>70</v>
      </c>
      <c r="C34">
        <f>B34+273.15</f>
        <v>343.15</v>
      </c>
      <c r="D34">
        <f>D33*(1-(B34-B33)*A33)</f>
        <v>0.75345960000000001</v>
      </c>
    </row>
    <row r="35" spans="1:4" x14ac:dyDescent="0.3">
      <c r="B35">
        <f>D33/D34</f>
        <v>1.0431879824744419</v>
      </c>
      <c r="D35">
        <f>D33/D34</f>
        <v>1.0431879824744419</v>
      </c>
    </row>
  </sheetData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35"/>
  <sheetViews>
    <sheetView workbookViewId="0">
      <selection activeCell="O5" sqref="O5:V18"/>
    </sheetView>
  </sheetViews>
  <sheetFormatPr defaultRowHeight="14.4" x14ac:dyDescent="0.3"/>
  <cols>
    <col min="1" max="1" width="14.33203125" bestFit="1" customWidth="1"/>
    <col min="2" max="2" width="6.6640625" bestFit="1" customWidth="1"/>
    <col min="3" max="3" width="5.6640625" bestFit="1" customWidth="1"/>
    <col min="4" max="4" width="11.6640625" bestFit="1" customWidth="1"/>
    <col min="5" max="5" width="6.5546875" bestFit="1" customWidth="1"/>
    <col min="6" max="8" width="11.6640625" bestFit="1" customWidth="1"/>
    <col min="10" max="11" width="1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42</v>
      </c>
      <c r="F2">
        <f>15*D35</f>
        <v>15.662524798997598</v>
      </c>
    </row>
    <row r="3" spans="1:21" x14ac:dyDescent="0.3">
      <c r="A3" t="s">
        <v>9</v>
      </c>
      <c r="B3">
        <v>99.17</v>
      </c>
      <c r="C3" s="3">
        <v>55.67</v>
      </c>
      <c r="D3">
        <f>C3/B3</f>
        <v>0.56135928204093977</v>
      </c>
      <c r="E3">
        <v>0.83799999999999997</v>
      </c>
      <c r="F3">
        <f>C3/E3/1000</f>
        <v>6.6431980906921234E-2</v>
      </c>
      <c r="G3">
        <f>D3/$F$6</f>
        <v>3.4756411130088552E-2</v>
      </c>
      <c r="H3">
        <f>G3*1000</f>
        <v>34.756411130088551</v>
      </c>
      <c r="J3">
        <f>H3</f>
        <v>34.756411130088551</v>
      </c>
      <c r="K3">
        <f>H6</f>
        <v>0</v>
      </c>
    </row>
    <row r="4" spans="1:21" x14ac:dyDescent="0.3">
      <c r="A4" t="s">
        <v>10</v>
      </c>
      <c r="B4" s="4">
        <v>293.29000000000002</v>
      </c>
      <c r="C4" s="3">
        <v>534</v>
      </c>
      <c r="D4">
        <f>C4/B4</f>
        <v>1.8207235159739505</v>
      </c>
      <c r="E4" s="1">
        <v>1.3779999999999999</v>
      </c>
      <c r="F4">
        <f>C4/E4/1000</f>
        <v>0.38751814223512338</v>
      </c>
      <c r="G4">
        <f>D4/$F$6</f>
        <v>0.11272961381405618</v>
      </c>
      <c r="H4">
        <f>G4*1000</f>
        <v>112.72961381405618</v>
      </c>
      <c r="J4">
        <f>H10</f>
        <v>105.66266487738625</v>
      </c>
      <c r="K4">
        <f>H13</f>
        <v>0</v>
      </c>
    </row>
    <row r="5" spans="1:21" x14ac:dyDescent="0.3">
      <c r="A5" t="s">
        <v>11</v>
      </c>
      <c r="B5">
        <v>154.21</v>
      </c>
      <c r="C5" s="3">
        <v>36.159999999999997</v>
      </c>
      <c r="D5">
        <f>C5/B5</f>
        <v>0.23448544192983589</v>
      </c>
      <c r="E5" s="1">
        <v>1.04</v>
      </c>
      <c r="F5">
        <f>C5/E5/1000</f>
        <v>3.4769230769230768E-2</v>
      </c>
      <c r="G5">
        <f>D5/$F$6</f>
        <v>1.4518103974522887E-2</v>
      </c>
      <c r="H5">
        <f>G5*1000</f>
        <v>14.518103974522887</v>
      </c>
      <c r="J5">
        <f>H18</f>
        <v>104.46829159565148</v>
      </c>
      <c r="K5">
        <f>H21</f>
        <v>128.51875927784985</v>
      </c>
    </row>
    <row r="6" spans="1:21" x14ac:dyDescent="0.3">
      <c r="A6" t="s">
        <v>12</v>
      </c>
      <c r="F6">
        <f>SUM(F2:F5)</f>
        <v>16.151244152908877</v>
      </c>
      <c r="H6">
        <v>0</v>
      </c>
      <c r="J6">
        <f>H26</f>
        <v>244.82118120165654</v>
      </c>
      <c r="K6">
        <f>H29</f>
        <v>126.35740088415933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tr">
        <f>$A$2</f>
        <v>IPA</v>
      </c>
      <c r="F9">
        <f>$F$2</f>
        <v>15.662524798997598</v>
      </c>
      <c r="R9" s="15"/>
      <c r="S9" s="15"/>
      <c r="T9" s="15"/>
      <c r="U9" s="15"/>
    </row>
    <row r="10" spans="1:21" x14ac:dyDescent="0.3">
      <c r="A10" t="s">
        <v>9</v>
      </c>
      <c r="B10">
        <f>$B$3</f>
        <v>99.17</v>
      </c>
      <c r="C10" s="3">
        <f>C3+115.01</f>
        <v>170.68</v>
      </c>
      <c r="D10">
        <f>C10/B10</f>
        <v>1.7210850055460321</v>
      </c>
      <c r="E10">
        <v>0.83799999999999997</v>
      </c>
      <c r="F10">
        <f>C10/E10/1000</f>
        <v>0.20367541766109787</v>
      </c>
      <c r="G10">
        <f>D10/$F$14</f>
        <v>0.10566266487738625</v>
      </c>
      <c r="H10">
        <f>G10*1000</f>
        <v>105.66266487738625</v>
      </c>
      <c r="R10" s="15"/>
      <c r="S10" s="15"/>
      <c r="T10" s="15"/>
      <c r="U10" s="15"/>
    </row>
    <row r="11" spans="1:21" x14ac:dyDescent="0.3">
      <c r="A11" t="s">
        <v>10</v>
      </c>
      <c r="B11" s="4">
        <f>$B$4</f>
        <v>293.29000000000002</v>
      </c>
      <c r="C11" s="3">
        <f>$C$4</f>
        <v>534</v>
      </c>
      <c r="D11">
        <f>C11/B11</f>
        <v>1.8207235159739505</v>
      </c>
      <c r="E11" s="1">
        <v>1.3779999999999999</v>
      </c>
      <c r="F11">
        <f>C11/E11/1000</f>
        <v>0.38751814223512338</v>
      </c>
      <c r="G11">
        <f>D11/$F$14</f>
        <v>0.11177977733975819</v>
      </c>
      <c r="H11">
        <f>G11*1000</f>
        <v>111.7797773397582</v>
      </c>
    </row>
    <row r="12" spans="1:21" x14ac:dyDescent="0.3">
      <c r="A12" t="s">
        <v>11</v>
      </c>
      <c r="B12">
        <f>$B$5</f>
        <v>154.21</v>
      </c>
      <c r="C12" s="3">
        <f>$C$5</f>
        <v>36.159999999999997</v>
      </c>
      <c r="D12">
        <f>C12/B12</f>
        <v>0.23448544192983589</v>
      </c>
      <c r="E12" s="1">
        <v>1.04</v>
      </c>
      <c r="F12">
        <f>C12/E12/1000</f>
        <v>3.4769230769230768E-2</v>
      </c>
      <c r="G12">
        <f>D12/$F$14</f>
        <v>1.4395777424949158E-2</v>
      </c>
      <c r="H12">
        <f>G12*1000</f>
        <v>14.395777424949157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16.288487589663053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tr">
        <f>$A$2</f>
        <v>IPA</v>
      </c>
      <c r="F17">
        <f>$F$2</f>
        <v>15.662524798997598</v>
      </c>
    </row>
    <row r="18" spans="1:8" x14ac:dyDescent="0.3">
      <c r="A18" t="s">
        <v>9</v>
      </c>
      <c r="B18">
        <v>99.17</v>
      </c>
      <c r="C18" s="3">
        <f>C10</f>
        <v>170.68</v>
      </c>
      <c r="D18">
        <f>C18/B18</f>
        <v>1.7210850055460321</v>
      </c>
      <c r="E18">
        <v>0.83799999999999997</v>
      </c>
      <c r="F18">
        <f>C18/E18/1000</f>
        <v>0.20367541766109787</v>
      </c>
      <c r="G18">
        <f>D18/$F$22</f>
        <v>0.10446829159565148</v>
      </c>
      <c r="H18">
        <f>G18*1000</f>
        <v>104.46829159565148</v>
      </c>
    </row>
    <row r="19" spans="1:8" x14ac:dyDescent="0.3">
      <c r="A19" t="s">
        <v>10</v>
      </c>
      <c r="B19" s="4">
        <f>$B$4</f>
        <v>293.29000000000002</v>
      </c>
      <c r="C19" s="3">
        <f>$C$4</f>
        <v>534</v>
      </c>
      <c r="D19">
        <f>C19/B19</f>
        <v>1.8207235159739505</v>
      </c>
      <c r="E19" s="1">
        <v>1.3779999999999999</v>
      </c>
      <c r="F19">
        <f>C19/E19/1000</f>
        <v>0.38751814223512338</v>
      </c>
      <c r="G19">
        <f>D19/$F$22</f>
        <v>0.11051625838869071</v>
      </c>
      <c r="H19">
        <f>G19*1000</f>
        <v>110.51625838869072</v>
      </c>
    </row>
    <row r="20" spans="1:8" x14ac:dyDescent="0.3">
      <c r="A20" t="s">
        <v>11</v>
      </c>
      <c r="B20">
        <f>$B$5</f>
        <v>154.21</v>
      </c>
      <c r="C20" s="3">
        <f>$C$5</f>
        <v>36.159999999999997</v>
      </c>
      <c r="D20">
        <f>C20/B20</f>
        <v>0.23448544192983589</v>
      </c>
      <c r="E20" s="1">
        <v>1.04</v>
      </c>
      <c r="F20">
        <f>C20/E20/1000</f>
        <v>3.4769230769230768E-2</v>
      </c>
      <c r="G20">
        <f>D20/$F$22</f>
        <v>1.4233052663595541E-2</v>
      </c>
      <c r="H20">
        <f>G20*1000</f>
        <v>14.23305266359554</v>
      </c>
    </row>
    <row r="21" spans="1:8" x14ac:dyDescent="0.3">
      <c r="A21" t="s">
        <v>13</v>
      </c>
      <c r="B21">
        <f>$B$13</f>
        <v>94.11</v>
      </c>
      <c r="C21" s="3">
        <v>199.26</v>
      </c>
      <c r="D21">
        <f>C21/B21</f>
        <v>2.1173095313994259</v>
      </c>
      <c r="E21">
        <v>1.07</v>
      </c>
      <c r="F21">
        <f>C21/E21/1000</f>
        <v>0.18622429906542054</v>
      </c>
      <c r="G21">
        <f>D21/$F$22</f>
        <v>0.12851875927784986</v>
      </c>
      <c r="H21">
        <f>G21*1000</f>
        <v>128.51875927784985</v>
      </c>
    </row>
    <row r="22" spans="1:8" x14ac:dyDescent="0.3">
      <c r="A22" t="s">
        <v>12</v>
      </c>
      <c r="F22">
        <f>SUM(F17:F21)</f>
        <v>16.474711888728471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tr">
        <f>$A$2</f>
        <v>IPA</v>
      </c>
      <c r="F25">
        <f>$F$2</f>
        <v>15.662524798997598</v>
      </c>
    </row>
    <row r="26" spans="1:8" x14ac:dyDescent="0.3">
      <c r="A26" t="s">
        <v>9</v>
      </c>
      <c r="B26">
        <v>99.17</v>
      </c>
      <c r="C26" s="3">
        <f>C18+236.15</f>
        <v>406.83000000000004</v>
      </c>
      <c r="D26">
        <f>C26/B26</f>
        <v>4.1023495008571143</v>
      </c>
      <c r="E26">
        <v>0.83799999999999997</v>
      </c>
      <c r="F26">
        <f>C26/E26/1000</f>
        <v>0.48547732696897383</v>
      </c>
      <c r="G26">
        <f>D26/$F$30</f>
        <v>0.24482118120165655</v>
      </c>
      <c r="H26">
        <f>G26*1000</f>
        <v>244.82118120165654</v>
      </c>
    </row>
    <row r="27" spans="1:8" x14ac:dyDescent="0.3">
      <c r="A27" t="s">
        <v>10</v>
      </c>
      <c r="B27" s="4">
        <f>$B$4</f>
        <v>293.29000000000002</v>
      </c>
      <c r="C27" s="3">
        <f>$C$4</f>
        <v>534</v>
      </c>
      <c r="D27">
        <f>C27/B27</f>
        <v>1.8207235159739505</v>
      </c>
      <c r="E27" s="1">
        <v>1.3779999999999999</v>
      </c>
      <c r="F27">
        <f>C27/E27/1000</f>
        <v>0.38751814223512338</v>
      </c>
      <c r="G27">
        <f>D27/$F$30</f>
        <v>0.10865765623558982</v>
      </c>
      <c r="H27">
        <f>G27*1000</f>
        <v>108.65765623558981</v>
      </c>
    </row>
    <row r="28" spans="1:8" x14ac:dyDescent="0.3">
      <c r="A28" t="s">
        <v>11</v>
      </c>
      <c r="B28">
        <f>$B$5</f>
        <v>154.21</v>
      </c>
      <c r="C28" s="3">
        <f>$C$5</f>
        <v>36.159999999999997</v>
      </c>
      <c r="D28">
        <f>C28/B28</f>
        <v>0.23448544192983589</v>
      </c>
      <c r="E28" s="1">
        <v>1.04</v>
      </c>
      <c r="F28">
        <f>C28/E28/1000</f>
        <v>3.4769230769230768E-2</v>
      </c>
      <c r="G28">
        <f>D28/$F$30</f>
        <v>1.3993688947238816E-2</v>
      </c>
      <c r="H28">
        <f>G28*1000</f>
        <v>13.993688947238816</v>
      </c>
    </row>
    <row r="29" spans="1:8" x14ac:dyDescent="0.3">
      <c r="A29" t="s">
        <v>13</v>
      </c>
      <c r="B29">
        <v>94.11</v>
      </c>
      <c r="C29" s="3">
        <f>C21</f>
        <v>199.26</v>
      </c>
      <c r="D29">
        <f>C29/B29</f>
        <v>2.1173095313994259</v>
      </c>
      <c r="E29">
        <v>1.07</v>
      </c>
      <c r="F29">
        <f>C29/E29/1000</f>
        <v>0.18622429906542054</v>
      </c>
      <c r="G29">
        <f>D29/$F$30</f>
        <v>0.12635740088415934</v>
      </c>
      <c r="H29">
        <f>G29*1000</f>
        <v>126.35740088415933</v>
      </c>
    </row>
    <row r="30" spans="1:8" x14ac:dyDescent="0.3">
      <c r="A30" t="s">
        <v>12</v>
      </c>
      <c r="F30">
        <f>SUM(F25:F29)</f>
        <v>16.756513798036345</v>
      </c>
    </row>
    <row r="32" spans="1:8" x14ac:dyDescent="0.3">
      <c r="A32" t="s">
        <v>37</v>
      </c>
      <c r="B32" t="s">
        <v>16</v>
      </c>
      <c r="C32" t="s">
        <v>17</v>
      </c>
      <c r="D32" t="s">
        <v>18</v>
      </c>
    </row>
    <row r="33" spans="1:4" x14ac:dyDescent="0.3">
      <c r="A33">
        <v>9.3999999999999997E-4</v>
      </c>
      <c r="B33">
        <v>25</v>
      </c>
      <c r="C33">
        <f>B33+273.15</f>
        <v>298.14999999999998</v>
      </c>
      <c r="D33">
        <v>0.78600000000000003</v>
      </c>
    </row>
    <row r="34" spans="1:4" x14ac:dyDescent="0.3">
      <c r="B34">
        <v>70</v>
      </c>
      <c r="C34">
        <f>B34+273.15</f>
        <v>343.15</v>
      </c>
      <c r="D34">
        <f>D33*(1-(B34-B33)*A33)</f>
        <v>0.75275219999999998</v>
      </c>
    </row>
    <row r="35" spans="1:4" x14ac:dyDescent="0.3">
      <c r="B35">
        <f>D33/D34</f>
        <v>1.0441683199331733</v>
      </c>
      <c r="D35">
        <f>D33/D34</f>
        <v>1.0441683199331733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33"/>
  <sheetViews>
    <sheetView topLeftCell="D1" workbookViewId="0">
      <selection activeCell="V13" sqref="R2:V13"/>
    </sheetView>
  </sheetViews>
  <sheetFormatPr defaultRowHeight="14.4" x14ac:dyDescent="0.3"/>
  <cols>
    <col min="1" max="1" width="14.6640625" bestFit="1" customWidth="1"/>
    <col min="10" max="10" width="14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21" x14ac:dyDescent="0.3">
      <c r="A2" t="s">
        <v>22</v>
      </c>
      <c r="F2">
        <f>12*D33</f>
        <v>12.72129757235238</v>
      </c>
      <c r="J2" t="str">
        <f>A2</f>
        <v>DMF</v>
      </c>
      <c r="O2">
        <f>F2</f>
        <v>12.72129757235238</v>
      </c>
    </row>
    <row r="3" spans="1:21" x14ac:dyDescent="0.3">
      <c r="A3" t="s">
        <v>9</v>
      </c>
      <c r="B3">
        <v>99.17</v>
      </c>
      <c r="C3" s="3">
        <v>62.1</v>
      </c>
      <c r="D3">
        <f>C3/B3</f>
        <v>0.62619743874155487</v>
      </c>
      <c r="E3">
        <v>0.83799999999999997</v>
      </c>
      <c r="F3">
        <f>C3/E3/1000</f>
        <v>7.4105011933174231E-2</v>
      </c>
      <c r="G3">
        <f>D3/$F$6</f>
        <v>4.7657563563992124E-2</v>
      </c>
      <c r="H3">
        <f>G3*1000</f>
        <v>47.657563563992127</v>
      </c>
      <c r="J3" t="s">
        <v>9</v>
      </c>
      <c r="K3">
        <v>99.17</v>
      </c>
      <c r="L3">
        <f>C3</f>
        <v>62.1</v>
      </c>
      <c r="M3">
        <f>L3/K3</f>
        <v>0.62619743874155487</v>
      </c>
      <c r="N3">
        <v>0.83799999999999997</v>
      </c>
      <c r="O3">
        <f>L3/N3/1000</f>
        <v>7.4105011933174231E-2</v>
      </c>
      <c r="P3">
        <f>M3/$O$7</f>
        <v>4.7653907073780442E-2</v>
      </c>
      <c r="Q3">
        <f>P3*1000</f>
        <v>47.653907073780445</v>
      </c>
    </row>
    <row r="4" spans="1:21" x14ac:dyDescent="0.3">
      <c r="A4" t="s">
        <v>10</v>
      </c>
      <c r="B4">
        <v>293.29000000000002</v>
      </c>
      <c r="C4" s="3">
        <v>443.2</v>
      </c>
      <c r="D4">
        <f>C4/B4</f>
        <v>1.5111323263663949</v>
      </c>
      <c r="E4">
        <v>1.3779999999999999</v>
      </c>
      <c r="F4">
        <f>C4/E4/1000</f>
        <v>0.32162554426705375</v>
      </c>
      <c r="G4">
        <f>D4/$F$6</f>
        <v>0.11500667432006643</v>
      </c>
      <c r="H4">
        <f>G4*1000</f>
        <v>115.00667432006644</v>
      </c>
      <c r="J4" t="s">
        <v>10</v>
      </c>
      <c r="K4">
        <v>293.29000000000002</v>
      </c>
      <c r="L4">
        <f>C4*0.98911</f>
        <v>438.37355200000002</v>
      </c>
      <c r="M4">
        <f>L4/K4</f>
        <v>1.4946760953322649</v>
      </c>
      <c r="N4">
        <v>1.3779999999999999</v>
      </c>
      <c r="O4">
        <f>L4/N4/1000</f>
        <v>0.31812304208998554</v>
      </c>
      <c r="P4">
        <f>M4/$O$7</f>
        <v>0.11374552392853482</v>
      </c>
      <c r="Q4">
        <f>P4*1000</f>
        <v>113.74552392853482</v>
      </c>
    </row>
    <row r="5" spans="1:21" x14ac:dyDescent="0.3">
      <c r="A5" t="s">
        <v>11</v>
      </c>
      <c r="B5">
        <v>154.21</v>
      </c>
      <c r="C5" s="3">
        <v>23.39</v>
      </c>
      <c r="D5">
        <f>C5/B5</f>
        <v>0.15167628558459242</v>
      </c>
      <c r="E5">
        <v>1.04</v>
      </c>
      <c r="F5">
        <f>C5/E5/1000</f>
        <v>2.2490384615384617E-2</v>
      </c>
      <c r="G5">
        <f>D5/$F$6</f>
        <v>1.1543519302673645E-2</v>
      </c>
      <c r="H5">
        <f>G5*1000</f>
        <v>11.543519302673646</v>
      </c>
      <c r="J5" t="s">
        <v>11</v>
      </c>
      <c r="K5">
        <v>154.21</v>
      </c>
      <c r="L5">
        <f>C5</f>
        <v>23.39</v>
      </c>
      <c r="M5">
        <f>L5/K5</f>
        <v>0.15167628558459242</v>
      </c>
      <c r="N5">
        <v>1.04</v>
      </c>
      <c r="O5">
        <f>L5/N5/1000</f>
        <v>2.2490384615384617E-2</v>
      </c>
      <c r="P5">
        <f>M5/$O$7</f>
        <v>1.1542633634960442E-2</v>
      </c>
      <c r="Q5">
        <f>P5*1000</f>
        <v>11.542633634960442</v>
      </c>
    </row>
    <row r="6" spans="1:21" x14ac:dyDescent="0.3">
      <c r="A6" t="s">
        <v>12</v>
      </c>
      <c r="F6">
        <f>SUM(F2:F5)</f>
        <v>13.139518513167992</v>
      </c>
      <c r="J6" t="s">
        <v>13</v>
      </c>
      <c r="K6">
        <v>94.11</v>
      </c>
      <c r="L6">
        <f>C4*(1-0.98911)</f>
        <v>4.8264479999999796</v>
      </c>
      <c r="M6">
        <f>L6/K6</f>
        <v>5.1285176920624585E-2</v>
      </c>
      <c r="N6">
        <v>1.07</v>
      </c>
      <c r="O6">
        <f>L6/N6/1000</f>
        <v>4.5106990654205413E-3</v>
      </c>
      <c r="P6">
        <f>M6/$O$7</f>
        <v>3.9028250580988078E-3</v>
      </c>
      <c r="Q6">
        <f>P6*1000</f>
        <v>3.902825058098808</v>
      </c>
    </row>
    <row r="7" spans="1:21" x14ac:dyDescent="0.3">
      <c r="J7" t="s">
        <v>12</v>
      </c>
      <c r="O7">
        <f>SUM(O2:O6)</f>
        <v>13.140526710056344</v>
      </c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J8" t="s">
        <v>0</v>
      </c>
      <c r="K8" t="s">
        <v>1</v>
      </c>
      <c r="L8" t="s">
        <v>2</v>
      </c>
      <c r="M8" t="s">
        <v>3</v>
      </c>
      <c r="N8" t="s">
        <v>4</v>
      </c>
      <c r="O8" t="s">
        <v>5</v>
      </c>
      <c r="P8" t="s">
        <v>6</v>
      </c>
      <c r="Q8" t="s">
        <v>7</v>
      </c>
      <c r="R8" s="15"/>
      <c r="S8" s="15"/>
      <c r="T8" s="15"/>
      <c r="U8" s="15"/>
    </row>
    <row r="9" spans="1:21" x14ac:dyDescent="0.3">
      <c r="A9" t="s">
        <v>22</v>
      </c>
      <c r="F9">
        <f>$F$2</f>
        <v>12.72129757235238</v>
      </c>
      <c r="J9" t="str">
        <f>A9</f>
        <v>DMF</v>
      </c>
      <c r="O9">
        <f>F9</f>
        <v>12.72129757235238</v>
      </c>
      <c r="R9" s="15"/>
      <c r="S9" s="15"/>
      <c r="T9" s="15"/>
      <c r="U9" s="15"/>
    </row>
    <row r="10" spans="1:21" x14ac:dyDescent="0.3">
      <c r="A10" t="s">
        <v>9</v>
      </c>
      <c r="B10">
        <v>99.17</v>
      </c>
      <c r="C10">
        <f>C3+137.6</f>
        <v>199.7</v>
      </c>
      <c r="D10">
        <f>C10/B10</f>
        <v>2.0137138247453867</v>
      </c>
      <c r="E10">
        <v>0.83799999999999997</v>
      </c>
      <c r="F10">
        <f>C10/E10/1000</f>
        <v>0.23830548926014319</v>
      </c>
      <c r="G10">
        <f>D10/$F$13</f>
        <v>0.1513647293801165</v>
      </c>
      <c r="H10">
        <f>G10*1000</f>
        <v>151.3647293801165</v>
      </c>
      <c r="J10" t="s">
        <v>9</v>
      </c>
      <c r="K10">
        <v>99.17</v>
      </c>
      <c r="L10">
        <f>C10</f>
        <v>199.7</v>
      </c>
      <c r="M10">
        <f>L10/K10</f>
        <v>2.0137138247453867</v>
      </c>
      <c r="N10">
        <v>0.83799999999999997</v>
      </c>
      <c r="O10">
        <f>L10/N10/1000</f>
        <v>0.23830548926014319</v>
      </c>
      <c r="P10">
        <f>M10/$O$14</f>
        <v>0.1513532593629551</v>
      </c>
      <c r="Q10">
        <f>P10*1000</f>
        <v>151.3532593629551</v>
      </c>
      <c r="R10" s="15"/>
      <c r="S10" s="15"/>
      <c r="T10" s="15"/>
      <c r="U10" s="15"/>
    </row>
    <row r="11" spans="1:21" x14ac:dyDescent="0.3">
      <c r="A11" t="s">
        <v>10</v>
      </c>
      <c r="B11">
        <v>293.29000000000002</v>
      </c>
      <c r="C11" s="3">
        <v>443.2</v>
      </c>
      <c r="D11">
        <f>C11/B11</f>
        <v>1.5111323263663949</v>
      </c>
      <c r="E11">
        <v>1.3779999999999999</v>
      </c>
      <c r="F11">
        <f>C11/E11/1000</f>
        <v>0.32162554426705375</v>
      </c>
      <c r="G11">
        <f>D11/$F$13</f>
        <v>0.11358721027150721</v>
      </c>
      <c r="H11">
        <f>G11*1000</f>
        <v>113.58721027150722</v>
      </c>
      <c r="J11" t="s">
        <v>10</v>
      </c>
      <c r="K11">
        <v>293.29000000000002</v>
      </c>
      <c r="L11">
        <f>C11*0.98911</f>
        <v>438.37355200000002</v>
      </c>
      <c r="M11">
        <f>L11/K11</f>
        <v>1.4946760953322649</v>
      </c>
      <c r="N11">
        <v>1.3779999999999999</v>
      </c>
      <c r="O11">
        <f>L11/N11/1000</f>
        <v>0.31812304208998554</v>
      </c>
      <c r="P11">
        <f>M11/$O$14</f>
        <v>0.11234173194844951</v>
      </c>
      <c r="Q11">
        <f>P11*1000</f>
        <v>112.34173194844951</v>
      </c>
    </row>
    <row r="12" spans="1:21" x14ac:dyDescent="0.3">
      <c r="A12" t="s">
        <v>11</v>
      </c>
      <c r="B12">
        <v>154.21</v>
      </c>
      <c r="C12" s="3">
        <v>23.39</v>
      </c>
      <c r="D12">
        <f>C12/B12</f>
        <v>0.15167628558459242</v>
      </c>
      <c r="E12">
        <v>1.04</v>
      </c>
      <c r="F12">
        <f>C12/E12/1000</f>
        <v>2.2490384615384617E-2</v>
      </c>
      <c r="G12">
        <f>D12/$F$13</f>
        <v>1.1401044000776007E-2</v>
      </c>
      <c r="H12">
        <f>G12*1000</f>
        <v>11.401044000776007</v>
      </c>
      <c r="J12" t="s">
        <v>11</v>
      </c>
      <c r="K12">
        <v>154.21</v>
      </c>
      <c r="L12">
        <f>C12</f>
        <v>23.39</v>
      </c>
      <c r="M12">
        <f>L12/K12</f>
        <v>0.15167628558459242</v>
      </c>
      <c r="N12">
        <v>1.04</v>
      </c>
      <c r="O12">
        <f>L12/N12/1000</f>
        <v>2.2490384615384617E-2</v>
      </c>
      <c r="P12">
        <f>M12/$O$14</f>
        <v>1.1400180059943275E-2</v>
      </c>
      <c r="Q12">
        <f>P12*1000</f>
        <v>11.400180059943276</v>
      </c>
    </row>
    <row r="13" spans="1:21" x14ac:dyDescent="0.3">
      <c r="A13" t="s">
        <v>12</v>
      </c>
      <c r="F13">
        <f>SUM(F9:F12)</f>
        <v>13.303718990494962</v>
      </c>
      <c r="J13" t="s">
        <v>13</v>
      </c>
      <c r="K13">
        <v>94.11</v>
      </c>
      <c r="L13">
        <f>C11*(1-0.98911)</f>
        <v>4.8264479999999796</v>
      </c>
      <c r="M13">
        <f>L13/K13</f>
        <v>5.1285176920624585E-2</v>
      </c>
      <c r="N13">
        <v>1.07</v>
      </c>
      <c r="O13">
        <f>L13/N13/1000</f>
        <v>4.5106990654205413E-3</v>
      </c>
      <c r="P13">
        <f>M13/$O$14</f>
        <v>3.8546582878646019E-3</v>
      </c>
      <c r="Q13">
        <f>P13*1000</f>
        <v>3.8546582878646021</v>
      </c>
    </row>
    <row r="14" spans="1:21" x14ac:dyDescent="0.3">
      <c r="J14" t="s">
        <v>12</v>
      </c>
      <c r="O14">
        <f>SUM(O9:O13)</f>
        <v>13.304727187383314</v>
      </c>
    </row>
    <row r="15" spans="1:21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J15" t="s">
        <v>0</v>
      </c>
      <c r="K15" t="s">
        <v>1</v>
      </c>
      <c r="L15" t="s">
        <v>2</v>
      </c>
      <c r="M15" t="s">
        <v>3</v>
      </c>
      <c r="N15" t="s">
        <v>4</v>
      </c>
      <c r="O15" t="s">
        <v>5</v>
      </c>
      <c r="P15" t="s">
        <v>6</v>
      </c>
      <c r="Q15" t="s">
        <v>7</v>
      </c>
    </row>
    <row r="16" spans="1:21" x14ac:dyDescent="0.3">
      <c r="A16" t="s">
        <v>22</v>
      </c>
      <c r="F16">
        <f>$F$2</f>
        <v>12.72129757235238</v>
      </c>
      <c r="J16" t="str">
        <f>A16</f>
        <v>DMF</v>
      </c>
      <c r="O16">
        <f>F16</f>
        <v>12.72129757235238</v>
      </c>
    </row>
    <row r="17" spans="1:17" x14ac:dyDescent="0.3">
      <c r="A17" t="s">
        <v>9</v>
      </c>
      <c r="B17">
        <v>99.17</v>
      </c>
      <c r="C17">
        <f>C10</f>
        <v>199.7</v>
      </c>
      <c r="D17">
        <f>C17/B17</f>
        <v>2.0137138247453867</v>
      </c>
      <c r="E17">
        <v>0.83799999999999997</v>
      </c>
      <c r="F17">
        <f>C17/E17/1000</f>
        <v>0.23830548926014319</v>
      </c>
      <c r="G17">
        <f>D17/$F$20</f>
        <v>0.1513647293801165</v>
      </c>
      <c r="H17">
        <f>G17*1000</f>
        <v>151.3647293801165</v>
      </c>
      <c r="J17" t="s">
        <v>9</v>
      </c>
      <c r="K17">
        <v>99.17</v>
      </c>
      <c r="L17">
        <f>C17</f>
        <v>199.7</v>
      </c>
      <c r="M17">
        <f>L17/K17</f>
        <v>2.0137138247453867</v>
      </c>
      <c r="N17">
        <v>0.83799999999999997</v>
      </c>
      <c r="O17">
        <f>L17/N17/1000</f>
        <v>0.23830548926014319</v>
      </c>
      <c r="P17">
        <f>M17/$O$21</f>
        <v>0.14955671611619095</v>
      </c>
      <c r="Q17">
        <f>P17*1000</f>
        <v>149.55671611619096</v>
      </c>
    </row>
    <row r="18" spans="1:17" x14ac:dyDescent="0.3">
      <c r="A18" t="s">
        <v>10</v>
      </c>
      <c r="B18">
        <v>293.29000000000002</v>
      </c>
      <c r="C18" s="3">
        <v>443.2</v>
      </c>
      <c r="D18">
        <f>C18/B18</f>
        <v>1.5111323263663949</v>
      </c>
      <c r="E18">
        <v>1.3779999999999999</v>
      </c>
      <c r="F18">
        <f>C18/E18/1000</f>
        <v>0.32162554426705375</v>
      </c>
      <c r="G18">
        <f>D18/$F$20</f>
        <v>0.11358721027150721</v>
      </c>
      <c r="H18">
        <f>G18*1000</f>
        <v>113.58721027150722</v>
      </c>
      <c r="J18" t="s">
        <v>10</v>
      </c>
      <c r="K18">
        <v>293.29000000000002</v>
      </c>
      <c r="L18">
        <f>C18*0.98911</f>
        <v>438.37355200000002</v>
      </c>
      <c r="M18">
        <f>L18/K18</f>
        <v>1.4946760953322649</v>
      </c>
      <c r="N18">
        <v>1.3779999999999999</v>
      </c>
      <c r="O18">
        <f>L18/N18/1000</f>
        <v>0.31812304208998554</v>
      </c>
      <c r="P18">
        <f>M18/$O$21</f>
        <v>0.11100825039204788</v>
      </c>
      <c r="Q18">
        <f>P18*1000</f>
        <v>111.00825039204788</v>
      </c>
    </row>
    <row r="19" spans="1:17" x14ac:dyDescent="0.3">
      <c r="A19" t="s">
        <v>11</v>
      </c>
      <c r="B19">
        <v>154.21</v>
      </c>
      <c r="C19" s="3">
        <v>23.39</v>
      </c>
      <c r="D19">
        <f>C19/B19</f>
        <v>0.15167628558459242</v>
      </c>
      <c r="E19">
        <v>1.04</v>
      </c>
      <c r="F19">
        <f>C19/E19/1000</f>
        <v>2.2490384615384617E-2</v>
      </c>
      <c r="G19">
        <f>D19/$F$20</f>
        <v>1.1401044000776007E-2</v>
      </c>
      <c r="H19">
        <f>G19*1000</f>
        <v>11.401044000776007</v>
      </c>
      <c r="J19" t="s">
        <v>11</v>
      </c>
      <c r="K19">
        <v>154.21</v>
      </c>
      <c r="L19">
        <f>C19</f>
        <v>23.39</v>
      </c>
      <c r="M19">
        <f>L19/K19</f>
        <v>0.15167628558459242</v>
      </c>
      <c r="N19">
        <v>1.04</v>
      </c>
      <c r="O19">
        <f>L19/N19/1000</f>
        <v>2.2490384615384617E-2</v>
      </c>
      <c r="P19">
        <f>M19/$O$21</f>
        <v>1.1264861424686986E-2</v>
      </c>
      <c r="Q19">
        <f>P19*1000</f>
        <v>11.264861424686986</v>
      </c>
    </row>
    <row r="20" spans="1:17" x14ac:dyDescent="0.3">
      <c r="A20" t="s">
        <v>12</v>
      </c>
      <c r="F20">
        <f>SUM(F16:F19)</f>
        <v>13.303718990494962</v>
      </c>
      <c r="J20" t="s">
        <v>13</v>
      </c>
      <c r="K20">
        <v>94.11</v>
      </c>
      <c r="L20">
        <f>C18*(1-0.98911)+171.01</f>
        <v>175.83644799999996</v>
      </c>
      <c r="M20">
        <f>L20/K20</f>
        <v>1.8684140686430768</v>
      </c>
      <c r="N20">
        <v>1.07</v>
      </c>
      <c r="O20">
        <f>L20/N20/1000</f>
        <v>0.16433312897196256</v>
      </c>
      <c r="P20">
        <f>M20/$O$21</f>
        <v>0.13876543380580977</v>
      </c>
      <c r="Q20">
        <f>P20*1000</f>
        <v>138.76543380580978</v>
      </c>
    </row>
    <row r="21" spans="1:17" x14ac:dyDescent="0.3">
      <c r="J21" t="s">
        <v>12</v>
      </c>
      <c r="O21">
        <f>SUM(O16:O20)</f>
        <v>13.464549617289856</v>
      </c>
    </row>
    <row r="23" spans="1:17" x14ac:dyDescent="0.3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J23" t="s">
        <v>43</v>
      </c>
      <c r="K23" t="s">
        <v>44</v>
      </c>
      <c r="L23" t="s">
        <v>45</v>
      </c>
      <c r="M23" t="s">
        <v>46</v>
      </c>
      <c r="N23" t="s">
        <v>47</v>
      </c>
      <c r="O23" t="s">
        <v>48</v>
      </c>
      <c r="P23" t="s">
        <v>49</v>
      </c>
    </row>
    <row r="24" spans="1:17" x14ac:dyDescent="0.3">
      <c r="A24" t="s">
        <v>22</v>
      </c>
      <c r="F24">
        <f>$F$2</f>
        <v>12.72129757235238</v>
      </c>
      <c r="J24" t="str">
        <f>A24</f>
        <v>DMF</v>
      </c>
      <c r="O24">
        <f>F24</f>
        <v>12.72129757235238</v>
      </c>
    </row>
    <row r="25" spans="1:17" x14ac:dyDescent="0.3">
      <c r="A25" t="s">
        <v>9</v>
      </c>
      <c r="B25">
        <v>99.17</v>
      </c>
      <c r="C25">
        <f>C17+260.45</f>
        <v>460.15</v>
      </c>
      <c r="D25">
        <f>C25/B25</f>
        <v>4.6400121004335988</v>
      </c>
      <c r="E25">
        <v>0.83799999999999997</v>
      </c>
      <c r="F25">
        <f>C25/E25/1000</f>
        <v>0.54910501193317418</v>
      </c>
      <c r="G25">
        <f>D25/$F$20</f>
        <v>0.34877556446800506</v>
      </c>
      <c r="H25">
        <f>G25*1000</f>
        <v>348.77556446800509</v>
      </c>
      <c r="J25" t="s">
        <v>9</v>
      </c>
      <c r="K25">
        <v>99.17</v>
      </c>
      <c r="L25">
        <f>C25</f>
        <v>460.15</v>
      </c>
      <c r="M25">
        <f>L25/K25</f>
        <v>4.6400121004335988</v>
      </c>
      <c r="N25">
        <v>0.83799999999999997</v>
      </c>
      <c r="O25">
        <f>L25/N25/1000</f>
        <v>0.54910501193317418</v>
      </c>
      <c r="P25">
        <f>M25/$F$28</f>
        <v>0.3408135290238703</v>
      </c>
      <c r="Q25">
        <f>P25*1000</f>
        <v>340.81352902387027</v>
      </c>
    </row>
    <row r="26" spans="1:17" x14ac:dyDescent="0.3">
      <c r="A26" t="s">
        <v>10</v>
      </c>
      <c r="B26">
        <v>293.29000000000002</v>
      </c>
      <c r="C26" s="3">
        <v>443.2</v>
      </c>
      <c r="D26">
        <f>C26/B26</f>
        <v>1.5111323263663949</v>
      </c>
      <c r="E26">
        <v>1.3779999999999999</v>
      </c>
      <c r="F26">
        <f>C26/E26/1000</f>
        <v>0.32162554426705375</v>
      </c>
      <c r="G26">
        <f>D26/$F$20</f>
        <v>0.11358721027150721</v>
      </c>
      <c r="H26">
        <f>G26*1000</f>
        <v>113.58721027150722</v>
      </c>
      <c r="J26" t="s">
        <v>10</v>
      </c>
      <c r="K26">
        <v>293.29000000000002</v>
      </c>
      <c r="L26">
        <f>C26*0.98911</f>
        <v>438.37355200000002</v>
      </c>
      <c r="M26">
        <f>L26/K26</f>
        <v>1.4946760953322649</v>
      </c>
      <c r="N26">
        <v>1.3779999999999999</v>
      </c>
      <c r="O26">
        <f>L26/N26/1000</f>
        <v>0.31812304208998554</v>
      </c>
      <c r="P26">
        <f>M26/$F$28</f>
        <v>0.10978545395392506</v>
      </c>
      <c r="Q26">
        <f>P26*1000</f>
        <v>109.78545395392506</v>
      </c>
    </row>
    <row r="27" spans="1:17" x14ac:dyDescent="0.3">
      <c r="A27" t="s">
        <v>11</v>
      </c>
      <c r="B27">
        <v>154.21</v>
      </c>
      <c r="C27" s="3">
        <v>23.39</v>
      </c>
      <c r="D27">
        <f>C27/B27</f>
        <v>0.15167628558459242</v>
      </c>
      <c r="E27">
        <v>1.04</v>
      </c>
      <c r="F27">
        <f>C27/E27/1000</f>
        <v>2.2490384615384617E-2</v>
      </c>
      <c r="G27">
        <f>D27/$F$20</f>
        <v>1.1401044000776007E-2</v>
      </c>
      <c r="H27">
        <f>G27*1000</f>
        <v>11.401044000776007</v>
      </c>
      <c r="J27" t="s">
        <v>11</v>
      </c>
      <c r="K27">
        <v>154.21</v>
      </c>
      <c r="L27">
        <f>C27</f>
        <v>23.39</v>
      </c>
      <c r="M27">
        <f>L27/K27</f>
        <v>0.15167628558459242</v>
      </c>
      <c r="N27">
        <v>1.04</v>
      </c>
      <c r="O27">
        <f>L27/N27/1000</f>
        <v>2.2490384615384617E-2</v>
      </c>
      <c r="P27">
        <f>M27/$F$28</f>
        <v>1.114077486015321E-2</v>
      </c>
      <c r="Q27">
        <f>P27*1000</f>
        <v>11.14077486015321</v>
      </c>
    </row>
    <row r="28" spans="1:17" x14ac:dyDescent="0.3">
      <c r="A28" t="s">
        <v>12</v>
      </c>
      <c r="F28">
        <f>SUM(F24:F27)</f>
        <v>13.614518513167992</v>
      </c>
      <c r="J28" t="s">
        <v>13</v>
      </c>
      <c r="K28">
        <v>94.11</v>
      </c>
      <c r="L28">
        <f>L20</f>
        <v>175.83644799999996</v>
      </c>
      <c r="M28">
        <f>L28/K28</f>
        <v>1.8684140686430768</v>
      </c>
      <c r="N28">
        <v>1.07</v>
      </c>
      <c r="O28">
        <f>L28/N28/1000</f>
        <v>0.16433312897196256</v>
      </c>
      <c r="P28">
        <f>M28/$F$28</f>
        <v>0.1372368818504997</v>
      </c>
      <c r="Q28">
        <f>P28*1000</f>
        <v>137.23688185049971</v>
      </c>
    </row>
    <row r="29" spans="1:17" x14ac:dyDescent="0.3">
      <c r="J29" t="s">
        <v>12</v>
      </c>
      <c r="O29">
        <f>SUM(O24:O28)</f>
        <v>13.775349139962886</v>
      </c>
      <c r="P29">
        <f>M29/$F$28</f>
        <v>0</v>
      </c>
    </row>
    <row r="30" spans="1:17" x14ac:dyDescent="0.3">
      <c r="A30" t="s">
        <v>37</v>
      </c>
      <c r="B30" t="s">
        <v>16</v>
      </c>
      <c r="C30" t="s">
        <v>17</v>
      </c>
      <c r="D30" t="s">
        <v>18</v>
      </c>
    </row>
    <row r="31" spans="1:17" ht="15.6" customHeight="1" x14ac:dyDescent="0.3">
      <c r="A31" s="9">
        <v>1.2600000000000001E-3</v>
      </c>
      <c r="B31">
        <v>25</v>
      </c>
      <c r="C31">
        <f>B31+273.15</f>
        <v>298.14999999999998</v>
      </c>
      <c r="D31">
        <v>0.78600000000000003</v>
      </c>
    </row>
    <row r="32" spans="1:17" x14ac:dyDescent="0.3">
      <c r="B32">
        <v>70</v>
      </c>
      <c r="C32">
        <f>B32+273.15</f>
        <v>343.15</v>
      </c>
      <c r="D32">
        <f>D31*(1-(B32-B31)*A31)</f>
        <v>0.74143380000000003</v>
      </c>
    </row>
    <row r="33" spans="2:4" x14ac:dyDescent="0.3">
      <c r="B33">
        <f>D31/D32</f>
        <v>1.060108131029365</v>
      </c>
      <c r="D33">
        <f>D31/D32</f>
        <v>1.060108131029365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1"/>
  <dimension ref="A1:U35"/>
  <sheetViews>
    <sheetView workbookViewId="0">
      <selection activeCell="R7" sqref="R7:U10"/>
    </sheetView>
  </sheetViews>
  <sheetFormatPr defaultRowHeight="14.4" x14ac:dyDescent="0.3"/>
  <cols>
    <col min="1" max="1" width="20.6640625" bestFit="1" customWidth="1"/>
    <col min="2" max="2" width="6.6640625" bestFit="1" customWidth="1"/>
    <col min="3" max="3" width="5.6640625" bestFit="1" customWidth="1"/>
    <col min="4" max="4" width="11.6640625" bestFit="1" customWidth="1"/>
    <col min="5" max="5" width="6.5546875" bestFit="1" customWidth="1"/>
    <col min="6" max="8" width="11.6640625" bestFit="1" customWidth="1"/>
    <col min="10" max="11" width="1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1" x14ac:dyDescent="0.3">
      <c r="A2" t="s">
        <v>50</v>
      </c>
      <c r="F2">
        <f>D35*15</f>
        <v>15.92300098716683</v>
      </c>
    </row>
    <row r="3" spans="1:21" x14ac:dyDescent="0.3">
      <c r="A3" t="s">
        <v>9</v>
      </c>
      <c r="B3">
        <v>99.17</v>
      </c>
      <c r="C3" s="3">
        <v>57.95</v>
      </c>
      <c r="D3">
        <f>C3/B3</f>
        <v>0.58435010587879399</v>
      </c>
      <c r="E3">
        <v>0.83799999999999997</v>
      </c>
      <c r="F3">
        <f>C3/E3/1000</f>
        <v>6.9152744630071608E-2</v>
      </c>
      <c r="G3">
        <f>D3/$F$6</f>
        <v>3.5630005766096803E-2</v>
      </c>
      <c r="H3">
        <f>G3*1000</f>
        <v>35.630005766096801</v>
      </c>
      <c r="J3">
        <f>H3</f>
        <v>35.630005766096801</v>
      </c>
      <c r="K3">
        <f>H6</f>
        <v>0</v>
      </c>
    </row>
    <row r="4" spans="1:21" x14ac:dyDescent="0.3">
      <c r="A4" t="s">
        <v>10</v>
      </c>
      <c r="B4" s="4">
        <v>293.29000000000002</v>
      </c>
      <c r="C4" s="3">
        <v>530.17999999999995</v>
      </c>
      <c r="D4">
        <f>C4/B4</f>
        <v>1.8076988646049981</v>
      </c>
      <c r="E4" s="1">
        <v>1.3779999999999999</v>
      </c>
      <c r="F4">
        <f>C4/E4/1000</f>
        <v>0.3847460087082728</v>
      </c>
      <c r="G4">
        <f>D4/$F$6</f>
        <v>0.11022214306332702</v>
      </c>
      <c r="H4">
        <f>G4*1000</f>
        <v>110.22214306332702</v>
      </c>
      <c r="J4">
        <f>H10</f>
        <v>107.70562611271075</v>
      </c>
      <c r="K4">
        <f>H13</f>
        <v>0</v>
      </c>
    </row>
    <row r="5" spans="1:21" x14ac:dyDescent="0.3">
      <c r="A5" t="s">
        <v>11</v>
      </c>
      <c r="B5">
        <v>154.21</v>
      </c>
      <c r="C5" s="3">
        <v>24.55</v>
      </c>
      <c r="D5">
        <f>C5/B5</f>
        <v>0.1591984955580053</v>
      </c>
      <c r="E5" s="1">
        <v>1.04</v>
      </c>
      <c r="F5">
        <f>C5/E5/1000</f>
        <v>2.3605769230769229E-2</v>
      </c>
      <c r="G5">
        <f>D5/$F$6</f>
        <v>9.7069261348986611E-3</v>
      </c>
      <c r="H5">
        <f>G5*1000</f>
        <v>9.7069261348986604</v>
      </c>
      <c r="J5">
        <f>H18</f>
        <v>106.31531025253831</v>
      </c>
      <c r="K5">
        <f>H21</f>
        <v>146.76520029802066</v>
      </c>
    </row>
    <row r="6" spans="1:21" x14ac:dyDescent="0.3">
      <c r="A6" t="s">
        <v>12</v>
      </c>
      <c r="F6">
        <f>SUM(F2:F5)</f>
        <v>16.400505509735943</v>
      </c>
      <c r="H6">
        <v>0</v>
      </c>
      <c r="J6">
        <f>H26</f>
        <v>247.16074964633646</v>
      </c>
      <c r="K6">
        <f>H29</f>
        <v>144.28777304130475</v>
      </c>
    </row>
    <row r="7" spans="1:21" x14ac:dyDescent="0.3">
      <c r="R7" s="15"/>
      <c r="S7" s="15"/>
      <c r="T7" s="15"/>
      <c r="U7" s="15"/>
    </row>
    <row r="8" spans="1:2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R8" s="15"/>
      <c r="S8" s="15"/>
      <c r="T8" s="15"/>
      <c r="U8" s="15"/>
    </row>
    <row r="9" spans="1:21" x14ac:dyDescent="0.3">
      <c r="A9" t="str">
        <f>$A$2</f>
        <v>1,4-dioxane</v>
      </c>
      <c r="F9">
        <f>$F$2</f>
        <v>15.92300098716683</v>
      </c>
      <c r="R9" s="15"/>
      <c r="S9" s="15"/>
      <c r="T9" s="15"/>
      <c r="U9" s="15"/>
    </row>
    <row r="10" spans="1:21" x14ac:dyDescent="0.3">
      <c r="A10" t="s">
        <v>9</v>
      </c>
      <c r="B10">
        <f>$B$3</f>
        <v>99.17</v>
      </c>
      <c r="C10" s="3">
        <f>C3+118.74</f>
        <v>176.69</v>
      </c>
      <c r="D10">
        <f>C10/B10</f>
        <v>1.7816880104870425</v>
      </c>
      <c r="E10">
        <v>0.83799999999999997</v>
      </c>
      <c r="F10">
        <f>C10/E10/1000</f>
        <v>0.2108472553699284</v>
      </c>
      <c r="G10">
        <f>D10/$F$14</f>
        <v>0.10770562611271074</v>
      </c>
      <c r="H10">
        <f>G10*1000</f>
        <v>107.70562611271075</v>
      </c>
      <c r="R10" s="15"/>
      <c r="S10" s="15"/>
      <c r="T10" s="15"/>
      <c r="U10" s="15"/>
    </row>
    <row r="11" spans="1:21" x14ac:dyDescent="0.3">
      <c r="A11" t="s">
        <v>10</v>
      </c>
      <c r="B11" s="4">
        <f>$B$4</f>
        <v>293.29000000000002</v>
      </c>
      <c r="C11" s="3">
        <f>$C$4</f>
        <v>530.17999999999995</v>
      </c>
      <c r="D11">
        <f>C11/B11</f>
        <v>1.8076988646049981</v>
      </c>
      <c r="E11" s="1">
        <v>1.3779999999999999</v>
      </c>
      <c r="F11">
        <f>C11/E11/1000</f>
        <v>0.3847460087082728</v>
      </c>
      <c r="G11">
        <f>D11/$F$14</f>
        <v>0.10927801999537202</v>
      </c>
      <c r="H11">
        <f>G11*1000</f>
        <v>109.27801999537202</v>
      </c>
    </row>
    <row r="12" spans="1:21" x14ac:dyDescent="0.3">
      <c r="A12" t="s">
        <v>11</v>
      </c>
      <c r="B12">
        <f>$B$5</f>
        <v>154.21</v>
      </c>
      <c r="C12" s="3">
        <f>$C$5</f>
        <v>24.55</v>
      </c>
      <c r="D12">
        <f>C12/B12</f>
        <v>0.1591984955580053</v>
      </c>
      <c r="E12" s="1">
        <v>1.04</v>
      </c>
      <c r="F12">
        <f>C12/E12/1000</f>
        <v>2.3605769230769229E-2</v>
      </c>
      <c r="G12">
        <f>D12/$F$14</f>
        <v>9.6237801115299487E-3</v>
      </c>
      <c r="H12">
        <f>G12*1000</f>
        <v>9.6237801115299479</v>
      </c>
    </row>
    <row r="13" spans="1:21" x14ac:dyDescent="0.3">
      <c r="A13" t="s">
        <v>13</v>
      </c>
      <c r="B13">
        <v>94.11</v>
      </c>
      <c r="C13" s="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21" x14ac:dyDescent="0.3">
      <c r="A14" t="s">
        <v>12</v>
      </c>
      <c r="F14">
        <f>SUM(F9:F13)</f>
        <v>16.5422000204758</v>
      </c>
    </row>
    <row r="16" spans="1:2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tr">
        <f>$A$2</f>
        <v>1,4-dioxane</v>
      </c>
      <c r="F17">
        <f>$F$2</f>
        <v>15.92300098716683</v>
      </c>
    </row>
    <row r="18" spans="1:8" x14ac:dyDescent="0.3">
      <c r="A18" t="s">
        <v>9</v>
      </c>
      <c r="B18">
        <v>99.17</v>
      </c>
      <c r="C18" s="3">
        <f>C10</f>
        <v>176.69</v>
      </c>
      <c r="D18">
        <f>C18/B18</f>
        <v>1.7816880104870425</v>
      </c>
      <c r="E18">
        <v>0.83799999999999997</v>
      </c>
      <c r="F18">
        <f>C18/E18/1000</f>
        <v>0.2108472553699284</v>
      </c>
      <c r="G18">
        <f>D18/$F$22</f>
        <v>0.10631531025253831</v>
      </c>
      <c r="H18">
        <f>G18*1000</f>
        <v>106.31531025253831</v>
      </c>
    </row>
    <row r="19" spans="1:8" x14ac:dyDescent="0.3">
      <c r="A19" t="s">
        <v>10</v>
      </c>
      <c r="B19" s="4">
        <f>$B$4</f>
        <v>293.29000000000002</v>
      </c>
      <c r="C19" s="3">
        <f>$C$4</f>
        <v>530.17999999999995</v>
      </c>
      <c r="D19">
        <f>C19/B19</f>
        <v>1.8076988646049981</v>
      </c>
      <c r="E19" s="1">
        <v>1.3779999999999999</v>
      </c>
      <c r="F19">
        <f>C19/E19/1000</f>
        <v>0.3847460087082728</v>
      </c>
      <c r="G19">
        <f>D19/$F$22</f>
        <v>0.1078674069210948</v>
      </c>
      <c r="H19">
        <f>G19*1000</f>
        <v>107.8674069210948</v>
      </c>
    </row>
    <row r="20" spans="1:8" x14ac:dyDescent="0.3">
      <c r="A20" t="s">
        <v>11</v>
      </c>
      <c r="B20">
        <f>$B$5</f>
        <v>154.21</v>
      </c>
      <c r="C20" s="3">
        <f>$C$5</f>
        <v>24.55</v>
      </c>
      <c r="D20">
        <f>C20/B20</f>
        <v>0.1591984955580053</v>
      </c>
      <c r="E20" s="1">
        <v>1.04</v>
      </c>
      <c r="F20">
        <f>C20/E20/1000</f>
        <v>2.3605769230769229E-2</v>
      </c>
      <c r="G20">
        <f>D20/$F$22</f>
        <v>9.499551743831958E-3</v>
      </c>
      <c r="H20">
        <f>G20*1000</f>
        <v>9.4995517438319581</v>
      </c>
    </row>
    <row r="21" spans="1:8" x14ac:dyDescent="0.3">
      <c r="A21" t="s">
        <v>13</v>
      </c>
      <c r="B21">
        <f>$B$13</f>
        <v>94.11</v>
      </c>
      <c r="C21" s="3">
        <v>231.47</v>
      </c>
      <c r="D21">
        <f>C21/B21</f>
        <v>2.4595685899479331</v>
      </c>
      <c r="E21">
        <v>1.07</v>
      </c>
      <c r="F21">
        <f>C21/E21/1000</f>
        <v>0.21632710280373832</v>
      </c>
      <c r="G21">
        <f>D21/$F$22</f>
        <v>0.14676520029802065</v>
      </c>
      <c r="H21">
        <f>G21*1000</f>
        <v>146.76520029802066</v>
      </c>
    </row>
    <row r="22" spans="1:8" x14ac:dyDescent="0.3">
      <c r="A22" t="s">
        <v>12</v>
      </c>
      <c r="F22">
        <f>SUM(F17:F21)</f>
        <v>16.758527123279539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tr">
        <f>$A$2</f>
        <v>1,4-dioxane</v>
      </c>
      <c r="F25">
        <f>$F$2</f>
        <v>15.92300098716683</v>
      </c>
    </row>
    <row r="26" spans="1:8" x14ac:dyDescent="0.3">
      <c r="A26" t="s">
        <v>9</v>
      </c>
      <c r="B26">
        <v>99.17</v>
      </c>
      <c r="C26" s="3">
        <f>C18+241.13</f>
        <v>417.82</v>
      </c>
      <c r="D26">
        <f>C26/B26</f>
        <v>4.2131693052334374</v>
      </c>
      <c r="E26">
        <v>0.83799999999999997</v>
      </c>
      <c r="F26">
        <f>C26/E26/1000</f>
        <v>0.49859188544152744</v>
      </c>
      <c r="G26">
        <f>D26/$F$30</f>
        <v>0.24716074964633644</v>
      </c>
      <c r="H26">
        <f>G26*1000</f>
        <v>247.16074964633646</v>
      </c>
    </row>
    <row r="27" spans="1:8" x14ac:dyDescent="0.3">
      <c r="A27" t="s">
        <v>10</v>
      </c>
      <c r="B27" s="4">
        <f>$B$4</f>
        <v>293.29000000000002</v>
      </c>
      <c r="C27" s="3">
        <f>$C$4</f>
        <v>530.17999999999995</v>
      </c>
      <c r="D27">
        <f>C27/B27</f>
        <v>1.8076988646049981</v>
      </c>
      <c r="E27" s="1">
        <v>1.3779999999999999</v>
      </c>
      <c r="F27">
        <f>C27/E27/1000</f>
        <v>0.3847460087082728</v>
      </c>
      <c r="G27">
        <f>D27/$F$30</f>
        <v>0.10604658254668627</v>
      </c>
      <c r="H27">
        <f>G27*1000</f>
        <v>106.04658254668627</v>
      </c>
    </row>
    <row r="28" spans="1:8" x14ac:dyDescent="0.3">
      <c r="A28" t="s">
        <v>11</v>
      </c>
      <c r="B28">
        <f>$B$5</f>
        <v>154.21</v>
      </c>
      <c r="C28" s="3">
        <f>$C$5</f>
        <v>24.55</v>
      </c>
      <c r="D28">
        <f>C28/B28</f>
        <v>0.1591984955580053</v>
      </c>
      <c r="E28" s="1">
        <v>1.04</v>
      </c>
      <c r="F28">
        <f>C28/E28/1000</f>
        <v>2.3605769230769229E-2</v>
      </c>
      <c r="G28">
        <f>D28/$F$30</f>
        <v>9.3391973248759426E-3</v>
      </c>
      <c r="H28">
        <f>G28*1000</f>
        <v>9.3391973248759435</v>
      </c>
    </row>
    <row r="29" spans="1:8" x14ac:dyDescent="0.3">
      <c r="A29" t="s">
        <v>13</v>
      </c>
      <c r="B29">
        <v>94.11</v>
      </c>
      <c r="C29" s="3">
        <f>C21</f>
        <v>231.47</v>
      </c>
      <c r="D29">
        <f>C29/B29</f>
        <v>2.4595685899479331</v>
      </c>
      <c r="E29">
        <v>1.07</v>
      </c>
      <c r="F29">
        <f>C29/E29/1000</f>
        <v>0.21632710280373832</v>
      </c>
      <c r="G29">
        <f>D29/$F$30</f>
        <v>0.14428777304130475</v>
      </c>
      <c r="H29">
        <f>G29*1000</f>
        <v>144.28777304130475</v>
      </c>
    </row>
    <row r="30" spans="1:8" x14ac:dyDescent="0.3">
      <c r="A30" t="s">
        <v>12</v>
      </c>
      <c r="F30">
        <f>SUM(F25:F29)</f>
        <v>17.046271753351139</v>
      </c>
    </row>
    <row r="32" spans="1:8" x14ac:dyDescent="0.3">
      <c r="A32" t="s">
        <v>37</v>
      </c>
      <c r="B32" t="s">
        <v>16</v>
      </c>
      <c r="C32" t="s">
        <v>17</v>
      </c>
      <c r="D32" t="s">
        <v>18</v>
      </c>
    </row>
    <row r="33" spans="1:4" x14ac:dyDescent="0.3">
      <c r="A33">
        <v>64.52</v>
      </c>
      <c r="B33">
        <v>25</v>
      </c>
      <c r="C33">
        <f>B33+273.15</f>
        <v>298.14999999999998</v>
      </c>
      <c r="D33">
        <v>64.52</v>
      </c>
    </row>
    <row r="34" spans="1:4" x14ac:dyDescent="0.3">
      <c r="B34">
        <v>70</v>
      </c>
      <c r="C34">
        <f>B34+273.15</f>
        <v>343.15</v>
      </c>
      <c r="D34">
        <v>60.78</v>
      </c>
    </row>
    <row r="35" spans="1:4" x14ac:dyDescent="0.3">
      <c r="D35">
        <f>D33/D34</f>
        <v>1.0615333991444553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26"/>
  <sheetViews>
    <sheetView workbookViewId="0">
      <selection activeCell="R3" sqref="R3:U14"/>
    </sheetView>
  </sheetViews>
  <sheetFormatPr defaultRowHeight="14.4" x14ac:dyDescent="0.3"/>
  <cols>
    <col min="1" max="1" width="14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20" x14ac:dyDescent="0.3">
      <c r="A2" t="s">
        <v>51</v>
      </c>
      <c r="F2">
        <f>15*E26</f>
        <v>15.773699984226301</v>
      </c>
      <c r="J2" t="s">
        <v>51</v>
      </c>
      <c r="O2">
        <f>$F$2</f>
        <v>15.773699984226301</v>
      </c>
    </row>
    <row r="3" spans="1:20" x14ac:dyDescent="0.3">
      <c r="A3" t="s">
        <v>9</v>
      </c>
      <c r="B3">
        <v>99.17</v>
      </c>
      <c r="C3">
        <v>51.35</v>
      </c>
      <c r="D3">
        <f>C3/B3</f>
        <v>0.51779772108500555</v>
      </c>
      <c r="E3">
        <v>0.83799999999999997</v>
      </c>
      <c r="F3">
        <f>C3/E3/1000</f>
        <v>6.1276849642004777E-2</v>
      </c>
      <c r="G3">
        <f>D3/$F$6</f>
        <v>3.2013519285492467E-2</v>
      </c>
      <c r="H3">
        <f>G3*1000</f>
        <v>32.013519285492464</v>
      </c>
      <c r="J3" t="s">
        <v>9</v>
      </c>
      <c r="K3">
        <v>99.17</v>
      </c>
      <c r="L3">
        <v>51.35</v>
      </c>
      <c r="M3">
        <f>L3/K3</f>
        <v>0.51779772108500555</v>
      </c>
      <c r="N3">
        <v>0.83799999999999997</v>
      </c>
      <c r="O3">
        <f>L3/N3/1000</f>
        <v>6.1276849642004777E-2</v>
      </c>
      <c r="P3">
        <f>M3/$O$7</f>
        <v>3.2011602332088746E-2</v>
      </c>
      <c r="Q3">
        <f>P3*1000</f>
        <v>32.011602332088742</v>
      </c>
    </row>
    <row r="4" spans="1:20" x14ac:dyDescent="0.3">
      <c r="A4" t="s">
        <v>10</v>
      </c>
      <c r="B4">
        <v>293.29000000000002</v>
      </c>
      <c r="C4">
        <v>425.78</v>
      </c>
      <c r="D4">
        <f>C4/B4</f>
        <v>1.4517371884482932</v>
      </c>
      <c r="E4">
        <v>1.3779999999999999</v>
      </c>
      <c r="F4">
        <f>C4/E4/1000</f>
        <v>0.30898403483309139</v>
      </c>
      <c r="G4">
        <f>D4/$F$6</f>
        <v>8.9755544660317904E-2</v>
      </c>
      <c r="H4">
        <f>G4*1000</f>
        <v>89.755544660317909</v>
      </c>
      <c r="J4" t="s">
        <v>10</v>
      </c>
      <c r="K4">
        <v>293.29000000000002</v>
      </c>
      <c r="L4">
        <f>C4*0.98911</f>
        <v>421.14325580000002</v>
      </c>
      <c r="M4">
        <f>L4/K4</f>
        <v>1.4359277704660915</v>
      </c>
      <c r="N4">
        <v>1.3779999999999999</v>
      </c>
      <c r="O4">
        <f>L4/N4/1000</f>
        <v>0.30561919869375914</v>
      </c>
      <c r="P4">
        <f>M4/$O$7</f>
        <v>8.8772790790666981E-2</v>
      </c>
      <c r="Q4">
        <f>P4*1000</f>
        <v>88.772790790666974</v>
      </c>
    </row>
    <row r="5" spans="1:20" x14ac:dyDescent="0.3">
      <c r="A5" t="s">
        <v>11</v>
      </c>
      <c r="B5">
        <v>154.21</v>
      </c>
      <c r="C5">
        <v>31.6</v>
      </c>
      <c r="D5">
        <f>C5/B5</f>
        <v>0.20491537513779912</v>
      </c>
      <c r="E5">
        <v>1.04</v>
      </c>
      <c r="F5">
        <f>C5/E5/1000</f>
        <v>3.0384615384615385E-2</v>
      </c>
      <c r="G5">
        <f>D5/$F$6</f>
        <v>1.2669160266139732E-2</v>
      </c>
      <c r="H5">
        <f>G5*1000</f>
        <v>12.669160266139732</v>
      </c>
      <c r="J5" t="s">
        <v>11</v>
      </c>
      <c r="K5">
        <v>154.21</v>
      </c>
      <c r="L5">
        <f>C5</f>
        <v>31.6</v>
      </c>
      <c r="M5">
        <f>L5/K5</f>
        <v>0.20491537513779912</v>
      </c>
      <c r="N5">
        <v>1.04</v>
      </c>
      <c r="O5">
        <f>L5/N5/1000</f>
        <v>3.0384615384615385E-2</v>
      </c>
      <c r="P5">
        <f>M5/$O$7</f>
        <v>1.2668401643206781E-2</v>
      </c>
      <c r="Q5">
        <f>P5*1000</f>
        <v>12.66840164320678</v>
      </c>
    </row>
    <row r="6" spans="1:20" x14ac:dyDescent="0.3">
      <c r="A6" t="s">
        <v>12</v>
      </c>
      <c r="F6">
        <f>SUM(F2:F5)</f>
        <v>16.174345484086011</v>
      </c>
      <c r="J6" t="s">
        <v>13</v>
      </c>
      <c r="K6">
        <v>94.11</v>
      </c>
      <c r="L6">
        <f>C4*(1-0.98911)</f>
        <v>4.6367441999999803</v>
      </c>
      <c r="M6">
        <f>L6/K6</f>
        <v>4.9269410264583792E-2</v>
      </c>
      <c r="N6">
        <v>1.07</v>
      </c>
      <c r="O6">
        <f>L6/N6/1000</f>
        <v>4.3334057943925043E-3</v>
      </c>
      <c r="P6">
        <f>M6/$O$7</f>
        <v>3.0459631325172711E-3</v>
      </c>
      <c r="Q6">
        <f>P6*1000</f>
        <v>3.0459631325172709</v>
      </c>
    </row>
    <row r="7" spans="1:20" x14ac:dyDescent="0.3">
      <c r="J7" t="s">
        <v>12</v>
      </c>
      <c r="O7">
        <f>SUM(O2:O6)</f>
        <v>16.175314053741072</v>
      </c>
      <c r="R7" s="15"/>
      <c r="S7" s="15"/>
      <c r="T7" s="15"/>
    </row>
    <row r="8" spans="1:20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J8" t="s">
        <v>0</v>
      </c>
      <c r="K8" t="s">
        <v>1</v>
      </c>
      <c r="L8" t="s">
        <v>2</v>
      </c>
      <c r="M8" t="s">
        <v>3</v>
      </c>
      <c r="N8" t="s">
        <v>4</v>
      </c>
      <c r="O8" t="s">
        <v>5</v>
      </c>
      <c r="P8" t="s">
        <v>6</v>
      </c>
      <c r="Q8" t="s">
        <v>7</v>
      </c>
      <c r="R8" s="15"/>
      <c r="S8" s="15"/>
      <c r="T8" s="15"/>
    </row>
    <row r="9" spans="1:20" x14ac:dyDescent="0.3">
      <c r="A9" t="s">
        <v>51</v>
      </c>
      <c r="F9">
        <f>$F$2</f>
        <v>15.773699984226301</v>
      </c>
      <c r="J9" t="s">
        <v>51</v>
      </c>
      <c r="O9">
        <f>$F$2</f>
        <v>15.773699984226301</v>
      </c>
      <c r="R9" s="15"/>
      <c r="S9" s="15"/>
      <c r="T9" s="15"/>
    </row>
    <row r="10" spans="1:20" x14ac:dyDescent="0.3">
      <c r="A10" t="s">
        <v>9</v>
      </c>
      <c r="B10">
        <v>99.17</v>
      </c>
      <c r="C10">
        <f>C3+119.38</f>
        <v>170.73</v>
      </c>
      <c r="D10">
        <f>C10/B10</f>
        <v>1.7215891902793181</v>
      </c>
      <c r="E10">
        <v>0.83799999999999997</v>
      </c>
      <c r="F10">
        <f>C10/E10/1000</f>
        <v>0.20373508353221956</v>
      </c>
      <c r="G10">
        <f>D10/$F$13</f>
        <v>0.10551019795516954</v>
      </c>
      <c r="H10">
        <f>G10*1000</f>
        <v>105.51019795516955</v>
      </c>
      <c r="J10" t="s">
        <v>9</v>
      </c>
      <c r="K10">
        <v>99.17</v>
      </c>
      <c r="L10">
        <f>L3+119.38</f>
        <v>170.73</v>
      </c>
      <c r="M10">
        <f>L10/K10</f>
        <v>1.7215891902793181</v>
      </c>
      <c r="N10">
        <v>0.83799999999999997</v>
      </c>
      <c r="O10">
        <f>L10/N10/1000</f>
        <v>0.20373508353221956</v>
      </c>
      <c r="P10">
        <f>M10/$O$14</f>
        <v>0.10550393521450634</v>
      </c>
      <c r="Q10">
        <f>P10*1000</f>
        <v>105.50393521450634</v>
      </c>
      <c r="R10" s="15"/>
      <c r="S10" s="15"/>
      <c r="T10" s="15"/>
    </row>
    <row r="11" spans="1:20" x14ac:dyDescent="0.3">
      <c r="A11" t="s">
        <v>10</v>
      </c>
      <c r="B11">
        <v>293.29000000000002</v>
      </c>
      <c r="C11">
        <v>425.78</v>
      </c>
      <c r="D11">
        <f>C11/B11</f>
        <v>1.4517371884482932</v>
      </c>
      <c r="E11">
        <v>1.3779999999999999</v>
      </c>
      <c r="F11">
        <f>C11/E11/1000</f>
        <v>0.30898403483309139</v>
      </c>
      <c r="G11">
        <f>D11/$F$13</f>
        <v>8.8971909789471448E-2</v>
      </c>
      <c r="H11">
        <f>G11*1000</f>
        <v>88.971909789471454</v>
      </c>
      <c r="J11" t="s">
        <v>10</v>
      </c>
      <c r="K11">
        <v>293.29000000000002</v>
      </c>
      <c r="L11">
        <f>C11*0.98911</f>
        <v>421.14325580000002</v>
      </c>
      <c r="M11">
        <f>L11/K11</f>
        <v>1.4359277704660915</v>
      </c>
      <c r="N11">
        <v>1.3779999999999999</v>
      </c>
      <c r="O11">
        <f>L11/N11/1000</f>
        <v>0.30561919869375914</v>
      </c>
      <c r="P11">
        <f>M11/$O$14</f>
        <v>8.799778212094006E-2</v>
      </c>
      <c r="Q11">
        <f>P11*1000</f>
        <v>87.997782120940059</v>
      </c>
    </row>
    <row r="12" spans="1:20" x14ac:dyDescent="0.3">
      <c r="A12" t="s">
        <v>11</v>
      </c>
      <c r="B12">
        <v>154.21</v>
      </c>
      <c r="C12">
        <v>31.6</v>
      </c>
      <c r="D12">
        <f>C12/B12</f>
        <v>0.20491537513779912</v>
      </c>
      <c r="E12">
        <v>1.04</v>
      </c>
      <c r="F12">
        <f>C12/E12/1000</f>
        <v>3.0384615384615385E-2</v>
      </c>
      <c r="G12">
        <f>D12/$F$13</f>
        <v>1.2558548762343925E-2</v>
      </c>
      <c r="H12">
        <f>G12*1000</f>
        <v>12.558548762343925</v>
      </c>
      <c r="J12" t="s">
        <v>11</v>
      </c>
      <c r="K12">
        <v>154.21</v>
      </c>
      <c r="L12">
        <f>C12</f>
        <v>31.6</v>
      </c>
      <c r="M12">
        <f>L12/K12</f>
        <v>0.20491537513779912</v>
      </c>
      <c r="N12">
        <v>1.04</v>
      </c>
      <c r="O12">
        <f>L12/N12/1000</f>
        <v>3.0384615384615385E-2</v>
      </c>
      <c r="P12">
        <f>M12/$O$14</f>
        <v>1.2557803327916459E-2</v>
      </c>
      <c r="Q12">
        <f>P12*1000</f>
        <v>12.557803327916458</v>
      </c>
    </row>
    <row r="13" spans="1:20" x14ac:dyDescent="0.3">
      <c r="A13" t="s">
        <v>12</v>
      </c>
      <c r="F13">
        <f>SUM(F9:F12)</f>
        <v>16.316803717976228</v>
      </c>
      <c r="J13" t="s">
        <v>13</v>
      </c>
      <c r="K13">
        <v>94.11</v>
      </c>
      <c r="L13">
        <f>C11*(1-0.98911)</f>
        <v>4.6367441999999803</v>
      </c>
      <c r="M13">
        <f>L13/K13</f>
        <v>4.9269410264583792E-2</v>
      </c>
      <c r="N13">
        <v>1.07</v>
      </c>
      <c r="O13">
        <f>L13/N13/1000</f>
        <v>4.3334057943925043E-3</v>
      </c>
      <c r="P13">
        <f>M13/$O$14</f>
        <v>3.0193711124360725E-3</v>
      </c>
      <c r="Q13">
        <f>P13*1000</f>
        <v>3.0193711124360725</v>
      </c>
    </row>
    <row r="14" spans="1:20" x14ac:dyDescent="0.3">
      <c r="J14" t="s">
        <v>12</v>
      </c>
      <c r="O14">
        <f>SUM(O9:O13)</f>
        <v>16.317772287631286</v>
      </c>
    </row>
    <row r="15" spans="1:20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J15" t="s">
        <v>0</v>
      </c>
      <c r="K15" t="s">
        <v>1</v>
      </c>
      <c r="L15" t="s">
        <v>2</v>
      </c>
      <c r="M15" t="s">
        <v>3</v>
      </c>
      <c r="N15" t="s">
        <v>4</v>
      </c>
      <c r="O15" t="s">
        <v>5</v>
      </c>
      <c r="P15" t="s">
        <v>6</v>
      </c>
      <c r="Q15" t="s">
        <v>7</v>
      </c>
    </row>
    <row r="16" spans="1:20" x14ac:dyDescent="0.3">
      <c r="A16" t="s">
        <v>51</v>
      </c>
      <c r="F16">
        <f>$F$2</f>
        <v>15.773699984226301</v>
      </c>
      <c r="J16" t="s">
        <v>51</v>
      </c>
      <c r="O16">
        <f>$F$2</f>
        <v>15.773699984226301</v>
      </c>
    </row>
    <row r="17" spans="1:17" x14ac:dyDescent="0.3">
      <c r="A17" t="s">
        <v>9</v>
      </c>
      <c r="B17">
        <v>99.17</v>
      </c>
      <c r="C17">
        <f>C10+207.91</f>
        <v>378.64</v>
      </c>
      <c r="D17">
        <f>C17/B17</f>
        <v>3.8180901482303113</v>
      </c>
      <c r="E17">
        <v>0.83799999999999997</v>
      </c>
      <c r="F17">
        <f>C17/E17/1000</f>
        <v>0.45183770883054891</v>
      </c>
      <c r="G17">
        <f>D17/$F$20</f>
        <v>0.23049270965425511</v>
      </c>
      <c r="H17">
        <f>G17*1000</f>
        <v>230.49270965425512</v>
      </c>
      <c r="J17" t="s">
        <v>9</v>
      </c>
      <c r="K17">
        <v>99.17</v>
      </c>
      <c r="L17">
        <f>L10+207.91</f>
        <v>378.64</v>
      </c>
      <c r="M17">
        <f>L17/K17</f>
        <v>3.8180901482303113</v>
      </c>
      <c r="N17">
        <v>0.83799999999999997</v>
      </c>
      <c r="O17">
        <f>L17/N17/1000</f>
        <v>0.45183770883054891</v>
      </c>
      <c r="P17">
        <f>M17/$F$20</f>
        <v>0.23049270965425511</v>
      </c>
      <c r="Q17">
        <f>P17*1000</f>
        <v>230.49270965425512</v>
      </c>
    </row>
    <row r="18" spans="1:17" x14ac:dyDescent="0.3">
      <c r="A18" t="s">
        <v>10</v>
      </c>
      <c r="B18">
        <v>293.29000000000002</v>
      </c>
      <c r="C18">
        <v>425.78</v>
      </c>
      <c r="D18">
        <f>C18/B18</f>
        <v>1.4517371884482932</v>
      </c>
      <c r="E18">
        <v>1.3779999999999999</v>
      </c>
      <c r="F18">
        <f>C18/E18/1000</f>
        <v>0.30898403483309139</v>
      </c>
      <c r="G18">
        <f>D18/$F$20</f>
        <v>8.7639323661960006E-2</v>
      </c>
      <c r="H18">
        <f>G18*1000</f>
        <v>87.639323661960006</v>
      </c>
      <c r="J18" t="s">
        <v>10</v>
      </c>
      <c r="K18">
        <v>293.29000000000002</v>
      </c>
      <c r="L18">
        <f>C18*0.98911</f>
        <v>421.14325580000002</v>
      </c>
      <c r="M18">
        <f>L18/K18</f>
        <v>1.4359277704660915</v>
      </c>
      <c r="N18">
        <v>1.3779999999999999</v>
      </c>
      <c r="O18">
        <f>L18/N18/1000</f>
        <v>0.30561919869375914</v>
      </c>
      <c r="P18">
        <f>M18/$O$21</f>
        <v>8.667986315321953E-2</v>
      </c>
      <c r="Q18">
        <f>P18*1000</f>
        <v>86.679863153219529</v>
      </c>
    </row>
    <row r="19" spans="1:17" x14ac:dyDescent="0.3">
      <c r="A19" t="s">
        <v>11</v>
      </c>
      <c r="B19">
        <v>154.21</v>
      </c>
      <c r="C19">
        <v>31.6</v>
      </c>
      <c r="D19">
        <f>C19/B19</f>
        <v>0.20491537513779912</v>
      </c>
      <c r="E19">
        <v>1.04</v>
      </c>
      <c r="F19">
        <f>C19/E19/1000</f>
        <v>3.0384615384615385E-2</v>
      </c>
      <c r="G19">
        <f>D19/$F$20</f>
        <v>1.2370451778678234E-2</v>
      </c>
      <c r="H19">
        <f>G19*1000</f>
        <v>12.370451778678234</v>
      </c>
      <c r="J19" t="s">
        <v>11</v>
      </c>
      <c r="K19">
        <v>154.21</v>
      </c>
      <c r="L19">
        <f>C19</f>
        <v>31.6</v>
      </c>
      <c r="M19">
        <f>L19/K19</f>
        <v>0.20491537513779912</v>
      </c>
      <c r="N19">
        <v>1.04</v>
      </c>
      <c r="O19">
        <f>L19/N19/1000</f>
        <v>3.0384615384615385E-2</v>
      </c>
      <c r="P19">
        <f>M19/$O$21</f>
        <v>1.2369728506030386E-2</v>
      </c>
      <c r="Q19">
        <f>P19*1000</f>
        <v>12.369728506030386</v>
      </c>
    </row>
    <row r="20" spans="1:17" x14ac:dyDescent="0.3">
      <c r="A20" t="s">
        <v>12</v>
      </c>
      <c r="F20">
        <f>SUM(F16:F19)</f>
        <v>16.564906343274558</v>
      </c>
      <c r="J20" t="s">
        <v>13</v>
      </c>
      <c r="K20">
        <v>94.11</v>
      </c>
      <c r="L20">
        <f>C18*(1-0.98911)</f>
        <v>4.6367441999999803</v>
      </c>
      <c r="M20">
        <f>L20/K20</f>
        <v>4.9269410264583792E-2</v>
      </c>
      <c r="N20">
        <v>1.07</v>
      </c>
      <c r="O20">
        <f>L20/N20/1000</f>
        <v>4.3334057943925043E-3</v>
      </c>
      <c r="P20">
        <f>M20/$O$21</f>
        <v>2.9741508084266148E-3</v>
      </c>
      <c r="Q20">
        <f>P20*1000</f>
        <v>2.9741508084266148</v>
      </c>
    </row>
    <row r="21" spans="1:17" x14ac:dyDescent="0.3">
      <c r="J21" t="s">
        <v>12</v>
      </c>
      <c r="O21">
        <f>SUM(O16:O20)</f>
        <v>16.565874912929615</v>
      </c>
    </row>
    <row r="23" spans="1:17" x14ac:dyDescent="0.3">
      <c r="B23" t="s">
        <v>37</v>
      </c>
      <c r="C23" t="s">
        <v>16</v>
      </c>
      <c r="D23" t="s">
        <v>17</v>
      </c>
      <c r="E23" t="s">
        <v>18</v>
      </c>
    </row>
    <row r="24" spans="1:17" ht="15" customHeight="1" thickBot="1" x14ac:dyDescent="0.35">
      <c r="B24" s="13">
        <v>1.09E-3</v>
      </c>
      <c r="C24">
        <v>25</v>
      </c>
      <c r="D24">
        <f>C24+273.15</f>
        <v>298.14999999999998</v>
      </c>
      <c r="E24">
        <v>0.78600000000000003</v>
      </c>
    </row>
    <row r="25" spans="1:17" x14ac:dyDescent="0.3">
      <c r="C25">
        <v>70</v>
      </c>
      <c r="D25">
        <f>C25+273.15</f>
        <v>343.15</v>
      </c>
      <c r="E25">
        <f>E24*(1-(C25-C24)*B24)</f>
        <v>0.74744670000000002</v>
      </c>
    </row>
    <row r="26" spans="1:17" x14ac:dyDescent="0.3">
      <c r="C26">
        <f>E24/E25</f>
        <v>1.05157999894842</v>
      </c>
      <c r="E26">
        <f>E24/E25</f>
        <v>1.05157999894842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5"/>
  <sheetViews>
    <sheetView workbookViewId="0">
      <selection activeCell="N3" sqref="N3:O36"/>
    </sheetView>
  </sheetViews>
  <sheetFormatPr defaultColWidth="16.109375" defaultRowHeight="14.4" x14ac:dyDescent="0.3"/>
  <cols>
    <col min="1" max="1" width="18" bestFit="1" customWidth="1"/>
    <col min="2" max="2" width="10.6640625" bestFit="1" customWidth="1"/>
    <col min="3" max="3" width="5.44140625" bestFit="1" customWidth="1"/>
    <col min="4" max="4" width="12" bestFit="1" customWidth="1"/>
    <col min="5" max="5" width="6.6640625" bestFit="1" customWidth="1"/>
    <col min="6" max="8" width="12" bestFit="1" customWidth="1"/>
    <col min="10" max="11" width="1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3">
      <c r="A2" t="s">
        <v>52</v>
      </c>
      <c r="F2">
        <f>12.5*$D$35</f>
        <v>13.085867326771726</v>
      </c>
    </row>
    <row r="3" spans="1:11" x14ac:dyDescent="0.3">
      <c r="A3" t="s">
        <v>9</v>
      </c>
      <c r="B3">
        <v>99.17</v>
      </c>
      <c r="C3">
        <v>40.64</v>
      </c>
      <c r="D3">
        <f>C3/B3</f>
        <v>0.40980135121508521</v>
      </c>
      <c r="E3">
        <v>0.83799999999999997</v>
      </c>
      <c r="F3">
        <f>C3/E3/1000</f>
        <v>4.8496420047732698E-2</v>
      </c>
      <c r="G3">
        <f>D3/$F$6</f>
        <v>3.0459987622984616E-2</v>
      </c>
      <c r="H3">
        <f>G3*1000</f>
        <v>30.459987622984617</v>
      </c>
      <c r="J3">
        <f>H3</f>
        <v>30.459987622984617</v>
      </c>
      <c r="K3">
        <f>H6</f>
        <v>0</v>
      </c>
    </row>
    <row r="4" spans="1:11" x14ac:dyDescent="0.3">
      <c r="A4" t="s">
        <v>10</v>
      </c>
      <c r="B4">
        <v>293.29000000000002</v>
      </c>
      <c r="C4">
        <v>407.4</v>
      </c>
      <c r="D4">
        <f>C4/B4</f>
        <v>1.3890688397149578</v>
      </c>
      <c r="E4">
        <v>1.3779999999999999</v>
      </c>
      <c r="F4">
        <f>C4/E4/1000</f>
        <v>0.29564586357039191</v>
      </c>
      <c r="G4">
        <f>D4/$F$6</f>
        <v>0.10324763337098948</v>
      </c>
      <c r="H4">
        <f>G4*1000</f>
        <v>103.24763337098948</v>
      </c>
      <c r="J4">
        <f>H10</f>
        <v>106.03921771250096</v>
      </c>
      <c r="K4">
        <f>H13</f>
        <v>0</v>
      </c>
    </row>
    <row r="5" spans="1:11" x14ac:dyDescent="0.3">
      <c r="A5" t="s">
        <v>11</v>
      </c>
      <c r="B5">
        <v>154.21</v>
      </c>
      <c r="C5">
        <v>24.7</v>
      </c>
      <c r="D5">
        <f>C5/B5</f>
        <v>0.16017119512353284</v>
      </c>
      <c r="E5">
        <v>1.04</v>
      </c>
      <c r="F5">
        <f>C5/E5/1000</f>
        <v>2.375E-2</v>
      </c>
      <c r="G5">
        <f>D5/$F$6</f>
        <v>1.1905311211286875E-2</v>
      </c>
      <c r="H5">
        <f>G5*1000</f>
        <v>11.905311211286875</v>
      </c>
      <c r="J5">
        <f>H18</f>
        <v>252.75289865832383</v>
      </c>
      <c r="K5">
        <f>H21</f>
        <v>0</v>
      </c>
    </row>
    <row r="6" spans="1:11" x14ac:dyDescent="0.3">
      <c r="A6" t="s">
        <v>12</v>
      </c>
      <c r="F6">
        <f>SUM(F2:F5)</f>
        <v>13.453759610389852</v>
      </c>
      <c r="H6">
        <v>0</v>
      </c>
      <c r="J6">
        <f>H26</f>
        <v>359.19085660960758</v>
      </c>
      <c r="K6">
        <f>H29</f>
        <v>140.13040212864394</v>
      </c>
    </row>
    <row r="8" spans="1:1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</row>
    <row r="9" spans="1:11" x14ac:dyDescent="0.3">
      <c r="A9" t="s">
        <v>8</v>
      </c>
      <c r="F9">
        <f>$F$2</f>
        <v>13.085867326771726</v>
      </c>
    </row>
    <row r="10" spans="1:11" x14ac:dyDescent="0.3">
      <c r="A10" t="s">
        <v>9</v>
      </c>
      <c r="B10">
        <v>99.17</v>
      </c>
      <c r="C10">
        <f>C3+102.12</f>
        <v>142.76</v>
      </c>
      <c r="D10">
        <f>C10/B10</f>
        <v>1.4395482504789754</v>
      </c>
      <c r="E10">
        <v>0.83799999999999997</v>
      </c>
      <c r="F10">
        <f>C10/E10/1000</f>
        <v>0.17035799522673031</v>
      </c>
      <c r="G10">
        <f>D10/$F$14</f>
        <v>0.10603921771250095</v>
      </c>
      <c r="H10">
        <f>G10*1000</f>
        <v>106.03921771250096</v>
      </c>
    </row>
    <row r="11" spans="1:11" x14ac:dyDescent="0.3">
      <c r="A11" t="s">
        <v>10</v>
      </c>
      <c r="B11">
        <v>293.29000000000002</v>
      </c>
      <c r="C11">
        <f>C4</f>
        <v>407.4</v>
      </c>
      <c r="D11">
        <f>C11/B11</f>
        <v>1.3890688397149578</v>
      </c>
      <c r="E11">
        <v>1.3779999999999999</v>
      </c>
      <c r="F11">
        <f>C11/E11/1000</f>
        <v>0.29564586357039191</v>
      </c>
      <c r="G11">
        <f>D11/$F$14</f>
        <v>0.10232083090176125</v>
      </c>
      <c r="H11">
        <f>G11*1000</f>
        <v>102.32083090176125</v>
      </c>
    </row>
    <row r="12" spans="1:11" x14ac:dyDescent="0.3">
      <c r="A12" t="s">
        <v>11</v>
      </c>
      <c r="B12">
        <v>154.21</v>
      </c>
      <c r="C12">
        <f>$C$5</f>
        <v>24.7</v>
      </c>
      <c r="D12">
        <f>C12/B12</f>
        <v>0.16017119512353284</v>
      </c>
      <c r="E12">
        <v>1.04</v>
      </c>
      <c r="F12">
        <f>C12/E12/1000</f>
        <v>2.375E-2</v>
      </c>
      <c r="G12">
        <f>D12/$F$14</f>
        <v>1.1798443175020084E-2</v>
      </c>
      <c r="H12">
        <f>G12*1000</f>
        <v>11.798443175020084</v>
      </c>
    </row>
    <row r="13" spans="1:11" x14ac:dyDescent="0.3">
      <c r="A13" t="s">
        <v>13</v>
      </c>
      <c r="B13">
        <v>94.11</v>
      </c>
      <c r="C13">
        <v>0</v>
      </c>
      <c r="D13">
        <f>C13/B13</f>
        <v>0</v>
      </c>
      <c r="E13">
        <v>1.07</v>
      </c>
      <c r="F13">
        <f>C13/E13/1000</f>
        <v>0</v>
      </c>
      <c r="G13">
        <f>D13/$F$14</f>
        <v>0</v>
      </c>
      <c r="H13">
        <f>G13*1000</f>
        <v>0</v>
      </c>
    </row>
    <row r="14" spans="1:11" x14ac:dyDescent="0.3">
      <c r="A14" t="s">
        <v>12</v>
      </c>
      <c r="F14">
        <f>SUM(F9:F13)</f>
        <v>13.575621185568849</v>
      </c>
    </row>
    <row r="16" spans="1:11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3">
      <c r="A17" t="s">
        <v>8</v>
      </c>
      <c r="F17">
        <f>$F$2</f>
        <v>13.085867326771726</v>
      </c>
    </row>
    <row r="18" spans="1:8" x14ac:dyDescent="0.3">
      <c r="A18" t="s">
        <v>9</v>
      </c>
      <c r="B18">
        <v>99.17</v>
      </c>
      <c r="C18">
        <f>C10+203.61</f>
        <v>346.37</v>
      </c>
      <c r="D18">
        <f>C18/B18</f>
        <v>3.4926893213673491</v>
      </c>
      <c r="E18">
        <v>0.83799999999999997</v>
      </c>
      <c r="F18">
        <f>C18/E18/1000</f>
        <v>0.41332935560859191</v>
      </c>
      <c r="G18">
        <f>D18/$F$22</f>
        <v>0.25275289865832384</v>
      </c>
      <c r="H18">
        <f>G18*1000</f>
        <v>252.75289865832383</v>
      </c>
    </row>
    <row r="19" spans="1:8" x14ac:dyDescent="0.3">
      <c r="A19" t="s">
        <v>10</v>
      </c>
      <c r="B19">
        <v>293.29000000000002</v>
      </c>
      <c r="C19">
        <f>C4</f>
        <v>407.4</v>
      </c>
      <c r="D19">
        <f>C19/B19</f>
        <v>1.3890688397149578</v>
      </c>
      <c r="E19">
        <v>1.3779999999999999</v>
      </c>
      <c r="F19">
        <f>C19/E19/1000</f>
        <v>0.29564586357039191</v>
      </c>
      <c r="G19">
        <f>D19/$F$22</f>
        <v>0.10052173078379095</v>
      </c>
      <c r="H19">
        <f>G19*1000</f>
        <v>100.52173078379096</v>
      </c>
    </row>
    <row r="20" spans="1:8" x14ac:dyDescent="0.3">
      <c r="A20" t="s">
        <v>11</v>
      </c>
      <c r="B20">
        <v>154.21</v>
      </c>
      <c r="C20">
        <f>$C$5</f>
        <v>24.7</v>
      </c>
      <c r="D20">
        <f>C20/B20</f>
        <v>0.16017119512353284</v>
      </c>
      <c r="E20">
        <v>1.04</v>
      </c>
      <c r="F20">
        <f>C20/E20/1000</f>
        <v>2.375E-2</v>
      </c>
      <c r="G20">
        <f>D20/$F$22</f>
        <v>1.1590991961802081E-2</v>
      </c>
      <c r="H20">
        <f>G20*1000</f>
        <v>11.59099196180208</v>
      </c>
    </row>
    <row r="21" spans="1:8" x14ac:dyDescent="0.3">
      <c r="A21" t="s">
        <v>13</v>
      </c>
      <c r="B21">
        <v>94.11</v>
      </c>
      <c r="C21">
        <v>0</v>
      </c>
      <c r="D21">
        <f>C21/B21</f>
        <v>0</v>
      </c>
      <c r="E21">
        <v>1.07</v>
      </c>
      <c r="F21">
        <f>C21/E21/1000</f>
        <v>0</v>
      </c>
      <c r="G21">
        <f>D21/$F$22</f>
        <v>0</v>
      </c>
      <c r="H21">
        <f>G21*1000</f>
        <v>0</v>
      </c>
    </row>
    <row r="22" spans="1:8" x14ac:dyDescent="0.3">
      <c r="A22" t="s">
        <v>12</v>
      </c>
      <c r="F22">
        <f>SUM(F17:F21)</f>
        <v>13.818592545950711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 t="s">
        <v>8</v>
      </c>
      <c r="F25">
        <f>$F$2</f>
        <v>13.085867326771726</v>
      </c>
    </row>
    <row r="26" spans="1:8" x14ac:dyDescent="0.3">
      <c r="A26" t="s">
        <v>9</v>
      </c>
      <c r="B26">
        <v>99.17</v>
      </c>
      <c r="C26">
        <f>C18+158.84</f>
        <v>505.21000000000004</v>
      </c>
      <c r="D26">
        <f>C26/B26</f>
        <v>5.0943833820711912</v>
      </c>
      <c r="E26">
        <v>0.83799999999999997</v>
      </c>
      <c r="F26">
        <f>C26/E26/1000</f>
        <v>0.60287589498806693</v>
      </c>
      <c r="G26">
        <f>D26/$F$30</f>
        <v>0.35919085660960759</v>
      </c>
      <c r="H26">
        <f>G26*1000</f>
        <v>359.19085660960758</v>
      </c>
    </row>
    <row r="27" spans="1:8" x14ac:dyDescent="0.3">
      <c r="A27" t="s">
        <v>10</v>
      </c>
      <c r="B27">
        <v>293.29000000000002</v>
      </c>
      <c r="C27">
        <f>C4</f>
        <v>407.4</v>
      </c>
      <c r="D27">
        <f>C27/B27</f>
        <v>1.3890688397149578</v>
      </c>
      <c r="E27">
        <v>1.3779999999999999</v>
      </c>
      <c r="F27">
        <f>C27/E27/1000</f>
        <v>0.29564586357039191</v>
      </c>
      <c r="G27">
        <f>D27/$F$30</f>
        <v>9.7939395017435482E-2</v>
      </c>
      <c r="H27">
        <f>G27*1000</f>
        <v>97.939395017435487</v>
      </c>
    </row>
    <row r="28" spans="1:8" x14ac:dyDescent="0.3">
      <c r="A28" t="s">
        <v>11</v>
      </c>
      <c r="B28">
        <v>154.21</v>
      </c>
      <c r="C28">
        <f>$C$5</f>
        <v>24.7</v>
      </c>
      <c r="D28">
        <f>C28/B28</f>
        <v>0.16017119512353284</v>
      </c>
      <c r="E28">
        <v>1.04</v>
      </c>
      <c r="F28">
        <f>C28/E28/1000</f>
        <v>2.375E-2</v>
      </c>
      <c r="G28">
        <f>D28/$F$30</f>
        <v>1.1293227161324464E-2</v>
      </c>
      <c r="H28">
        <f>G28*1000</f>
        <v>11.293227161324463</v>
      </c>
    </row>
    <row r="29" spans="1:8" x14ac:dyDescent="0.3">
      <c r="A29" t="s">
        <v>13</v>
      </c>
      <c r="B29">
        <v>94.11</v>
      </c>
      <c r="C29">
        <v>187.04</v>
      </c>
      <c r="D29">
        <f>C29/B29</f>
        <v>1.987461481245351</v>
      </c>
      <c r="E29">
        <v>1.07</v>
      </c>
      <c r="F29">
        <f>C29/E29/1000</f>
        <v>0.174803738317757</v>
      </c>
      <c r="G29">
        <f>D29/$F$30</f>
        <v>0.14013040212864394</v>
      </c>
      <c r="H29">
        <f>G29*1000</f>
        <v>140.13040212864394</v>
      </c>
    </row>
    <row r="30" spans="1:8" x14ac:dyDescent="0.3">
      <c r="A30" t="s">
        <v>12</v>
      </c>
      <c r="F30">
        <f>SUM(F25:F29)</f>
        <v>14.182942823647943</v>
      </c>
    </row>
    <row r="32" spans="1:8" x14ac:dyDescent="0.3">
      <c r="A32" t="s">
        <v>14</v>
      </c>
      <c r="B32" t="s">
        <v>15</v>
      </c>
      <c r="D32" t="s">
        <v>16</v>
      </c>
      <c r="E32" t="s">
        <v>17</v>
      </c>
      <c r="F32" t="s">
        <v>18</v>
      </c>
    </row>
    <row r="33" spans="1:6" x14ac:dyDescent="0.3">
      <c r="A33">
        <v>1.395135</v>
      </c>
      <c r="B33">
        <v>-1.0047000000000001E-3</v>
      </c>
      <c r="C33" t="s">
        <v>19</v>
      </c>
      <c r="D33">
        <v>21</v>
      </c>
      <c r="E33">
        <f>D33+273.15</f>
        <v>294.14999999999998</v>
      </c>
      <c r="F33">
        <f>E33*$B$33+$A$33</f>
        <v>1.0996024950000001</v>
      </c>
    </row>
    <row r="34" spans="1:6" x14ac:dyDescent="0.3">
      <c r="C34" t="s">
        <v>20</v>
      </c>
      <c r="D34">
        <v>70</v>
      </c>
      <c r="E34">
        <f>D34+273.15</f>
        <v>343.15</v>
      </c>
      <c r="F34">
        <f>E34*$B$33+$A$33</f>
        <v>1.050372195</v>
      </c>
    </row>
    <row r="35" spans="1:6" x14ac:dyDescent="0.3">
      <c r="C35" t="s">
        <v>21</v>
      </c>
      <c r="D35">
        <f>F33/F34</f>
        <v>1.0468693861417382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1D53-D2AE-4C0D-A057-0674B326C9B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C1_E1</vt:lpstr>
      <vt:lpstr>C1_E2</vt:lpstr>
      <vt:lpstr>C1_E3</vt:lpstr>
      <vt:lpstr>C1_E4a</vt:lpstr>
      <vt:lpstr>C1_E4b</vt:lpstr>
      <vt:lpstr>C1_E5</vt:lpstr>
      <vt:lpstr>C1_E6</vt:lpstr>
      <vt:lpstr>C1_E7</vt:lpstr>
      <vt:lpstr>C2_E1</vt:lpstr>
      <vt:lpstr>C2_E2</vt:lpstr>
      <vt:lpstr>C2_E3</vt:lpstr>
      <vt:lpstr>C2_E4</vt:lpstr>
      <vt:lpstr>C2_E5</vt:lpstr>
      <vt:lpstr>C2_E6</vt:lpstr>
      <vt:lpstr>C2_E7a</vt:lpstr>
      <vt:lpstr>C2_E7b</vt:lpstr>
      <vt:lpstr>C3_E1</vt:lpstr>
      <vt:lpstr>C3_E2</vt:lpstr>
      <vt:lpstr>C3_E3</vt:lpstr>
      <vt:lpstr>C3_E4</vt:lpstr>
      <vt:lpstr>C4_E1a</vt:lpstr>
      <vt:lpstr>C4_E1b</vt:lpstr>
      <vt:lpstr>C4_E2</vt:lpstr>
      <vt:lpstr>C4_E3</vt:lpstr>
      <vt:lpstr>C4_E4</vt:lpstr>
      <vt:lpstr>C4_E5</vt:lpstr>
      <vt:lpstr>C4_E6</vt:lpstr>
      <vt:lpstr>C4_E7</vt:lpstr>
      <vt:lpstr>C4_E8</vt:lpstr>
      <vt:lpstr>C4_E9</vt:lpstr>
      <vt:lpstr>C4_E10</vt:lpstr>
      <vt:lpstr>C4_E11</vt:lpstr>
      <vt:lpstr>C4_E12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Dalland, Daniel</dc:creator>
  <cp:lastModifiedBy>Dalland, Daniel</cp:lastModifiedBy>
  <dcterms:created xsi:type="dcterms:W3CDTF">2025-01-03T11:40:34Z</dcterms:created>
  <dcterms:modified xsi:type="dcterms:W3CDTF">2026-09-22T17:08:29Z</dcterms:modified>
</cp:coreProperties>
</file>